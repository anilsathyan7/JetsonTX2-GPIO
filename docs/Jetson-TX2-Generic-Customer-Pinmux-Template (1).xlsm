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ichards\WMP\WMP\Projects\T18x\Doc\ExtCustomer Release Files\"/>
    </mc:Choice>
  </mc:AlternateContent>
  <workbookProtection workbookAlgorithmName="SHA-512" workbookHashValue="/bYWxwZCVLN9W/IMRMVpurL3k7whBrv6Y1Ih8MW+8d6zHBqdsFvuqtC8NubmDBcyDxdRpsZpf7UeDN+1B7W5xA==" workbookSaltValue="s4DSeMbH6iNQyBf2vyDHmg==" workbookSpinCount="100000" lockStructure="1"/>
  <bookViews>
    <workbookView xWindow="330" yWindow="90" windowWidth="15060" windowHeight="10320" tabRatio="664"/>
  </bookViews>
  <sheets>
    <sheet name="Customer-Readme" sheetId="18" r:id="rId1"/>
    <sheet name="Jetson-TX2-Config-Template" sheetId="62" r:id="rId2"/>
  </sheets>
  <definedNames>
    <definedName name="_xlnm._FilterDatabase" localSheetId="1" hidden="1">'Jetson-TX2-Config-Template'!$B$1:$B$803</definedName>
    <definedName name="AllowedPinDirection_GPIO" localSheetId="1">'Jetson-TX2-Config-Template'!$L$7</definedName>
    <definedName name="AllowedPinDirection_SFIO0" localSheetId="1">'Jetson-TX2-Config-Template'!$M$7</definedName>
    <definedName name="AllowedPinDirection_SFIO1" localSheetId="1">'Jetson-TX2-Config-Template'!$N$7</definedName>
    <definedName name="AllowedPinDirection_SFIO2" localSheetId="1">'Jetson-TX2-Config-Template'!$O$7</definedName>
    <definedName name="AllowedPinDirection_SFIO3" localSheetId="1">'Jetson-TX2-Config-Template'!$P$7</definedName>
    <definedName name="ConfigFirstCell" localSheetId="1">'Jetson-TX2-Config-Template'!$AD$10</definedName>
    <definedName name="ConfigLastCell" localSheetId="1">'Jetson-TX2-Config-Template'!$AI$248</definedName>
    <definedName name="Customer_Usage" localSheetId="1">'Jetson-TX2-Config-Template'!$AQ$7</definedName>
    <definedName name="Customer_Usage_Checker" localSheetId="1">'Jetson-TX2-Config-Template'!$AJ$7</definedName>
    <definedName name="CV_Config_Table">#REF!</definedName>
    <definedName name="DriveCX_Config_Table">#REF!</definedName>
    <definedName name="E_Input" localSheetId="1">'Jetson-TX2-Config-Template'!$AH$7</definedName>
    <definedName name="E2379A_Config_Table">#REF!</definedName>
    <definedName name="E2379B_Config_Table">#REF!</definedName>
    <definedName name="E2679A_Config_Table">#REF!</definedName>
    <definedName name="E2679B_Config_Table">#REF!</definedName>
    <definedName name="E2681_Config_Table">#REF!</definedName>
    <definedName name="E2785_Drew_CX_Config">#REF!</definedName>
    <definedName name="E3301_1000_Config_Table">#REF!</definedName>
    <definedName name="E3301_1080_Config_Table">#REF!</definedName>
    <definedName name="E3301E2598A01_Config">#REF!</definedName>
    <definedName name="E3340CHAR_Config_Table">#REF!</definedName>
    <definedName name="E3340E2598A01_config">#REF!</definedName>
    <definedName name="E3340VCM_Config_Table">#REF!</definedName>
    <definedName name="E3341MIDCHAR_config_table">#REF!</definedName>
    <definedName name="E3341SLTMID_config_table">#REF!</definedName>
    <definedName name="EQOS_LPBK_Enable" localSheetId="1">'Jetson-TX2-Config-Template'!$AX$7</definedName>
    <definedName name="Error_Check" localSheetId="1">'Jetson-TX2-Config-Template'!$AP$7</definedName>
    <definedName name="Ext_Pull_Down" localSheetId="1">'Jetson-TX2-Config-Template'!$AZ$7</definedName>
    <definedName name="Ext_Pull_Up" localSheetId="1">'Jetson-TX2-Config-Template'!$AY$7</definedName>
    <definedName name="FirstMPIO" localSheetId="1">'Jetson-TX2-Config-Template'!$C$9</definedName>
    <definedName name="FirstPadVoltageConfig" localSheetId="1">'Jetson-TX2-Config-Template'!$AD$673</definedName>
    <definedName name="FirstPinMuxingOption" localSheetId="1">'Jetson-TX2-Config-Template'!$G$10</definedName>
    <definedName name="Function_0" localSheetId="1">'Jetson-TX2-Config-Template'!$Q$7</definedName>
    <definedName name="Function_Safe" localSheetId="1">'Jetson-TX2-Config-Template'!$U$7</definedName>
    <definedName name="GPIO_Init_Value" localSheetId="1">'Jetson-TX2-Config-Template'!$AI$7</definedName>
    <definedName name="Initial_State" localSheetId="1">'Jetson-TX2-Config-Template'!$AS$7</definedName>
    <definedName name="Initial_State_Checker" localSheetId="1">'Jetson-TX2-Config-Template'!$AK$7</definedName>
    <definedName name="LastMPIO" localSheetId="1">'Jetson-TX2-Config-Template'!$C$248</definedName>
    <definedName name="LastPadVoltageConfig" localSheetId="1">'Jetson-TX2-Config-Template'!$AD$678</definedName>
    <definedName name="LastSignameRow">#REF!</definedName>
    <definedName name="Lock" localSheetId="1">'Jetson-TX2-Config-Template'!$AU$7</definedName>
    <definedName name="LPDR_Enable" localSheetId="1">'Jetson-TX2-Config-Template'!$AW$7</definedName>
    <definedName name="MPIOName" localSheetId="1">'Jetson-TX2-Config-Template'!$V$7</definedName>
    <definedName name="NTG6_Config_table">#REF!</definedName>
    <definedName name="P3310_A03_Config_Table">#REF!</definedName>
    <definedName name="PadVoltageConfig" localSheetId="1">'Jetson-TX2-Config-Template'!$AE$672</definedName>
    <definedName name="Pin_Direction" localSheetId="1">'Jetson-TX2-Config-Template'!$AR$7</definedName>
    <definedName name="Pin_Direction_Checker" localSheetId="1">'Jetson-TX2-Config-Template'!$AL$7</definedName>
    <definedName name="Pin_Group" localSheetId="1">'Jetson-TX2-Config-Template'!$AD$7</definedName>
    <definedName name="Pinmux_GPIO" localSheetId="1">'Jetson-TX2-Config-Template'!$G$7</definedName>
    <definedName name="Pinmux_SFIO0" localSheetId="1">'Jetson-TX2-Config-Template'!$H$7</definedName>
    <definedName name="Pinmux_SFIO1" localSheetId="1">'Jetson-TX2-Config-Template'!$I$7</definedName>
    <definedName name="Pinmux_SFIO2" localSheetId="1">'Jetson-TX2-Config-Template'!$J$7</definedName>
    <definedName name="Pinmux_SFIO3" localSheetId="1">'Jetson-TX2-Config-Template'!$K$7</definedName>
    <definedName name="Pinmux_Unused" localSheetId="1">'Jetson-TX2-Config-Template'!$F$7</definedName>
    <definedName name="PUPD" localSheetId="1">'Jetson-TX2-Config-Template'!$AF$7</definedName>
    <definedName name="PX2_E2379C00A_Config_Table">#REF!</definedName>
    <definedName name="PX2_E2379C00B_Config_Table">#REF!</definedName>
    <definedName name="PX2_E2379C01A_Config_Table">#REF!</definedName>
    <definedName name="RCV_SEL" localSheetId="1">'Jetson-TX2-Config-Template'!$AV$7</definedName>
    <definedName name="RCV_SEL_Checker" localSheetId="1">'Jetson-TX2-Config-Template'!$AO$7</definedName>
    <definedName name="Resistor_Checker" localSheetId="1">'Jetson-TX2-Config-Template'!$AN$7</definedName>
    <definedName name="Tristate" localSheetId="1">'Jetson-TX2-Config-Template'!$AG$7</definedName>
    <definedName name="Wake_Checker" localSheetId="1">'Jetson-TX2-Config-Template'!$AM$7</definedName>
    <definedName name="Wake_Pin" localSheetId="1">'Jetson-TX2-Config-Template'!$AT$7</definedName>
  </definedNames>
  <calcPr calcId="171027"/>
</workbook>
</file>

<file path=xl/calcChain.xml><?xml version="1.0" encoding="utf-8"?>
<calcChain xmlns="http://schemas.openxmlformats.org/spreadsheetml/2006/main">
  <c r="C9" i="18" l="1"/>
  <c r="B3" i="62" s="1"/>
  <c r="AE678" i="62" l="1"/>
  <c r="AE677" i="62"/>
  <c r="AE676" i="62"/>
  <c r="AE675" i="62"/>
  <c r="AE674" i="62"/>
  <c r="AE673" i="62"/>
  <c r="AP247" i="62"/>
  <c r="AD247" i="62"/>
  <c r="AP246" i="62"/>
  <c r="AH246" i="62"/>
  <c r="AP244" i="62"/>
  <c r="AD244" i="62"/>
  <c r="AP243" i="62"/>
  <c r="AF243" i="62"/>
  <c r="AD243" i="62"/>
  <c r="AP242" i="62"/>
  <c r="AD242" i="62"/>
  <c r="AH242" i="62"/>
  <c r="AP241" i="62"/>
  <c r="AG241" i="62"/>
  <c r="AP240" i="62"/>
  <c r="AG240" i="62"/>
  <c r="AP239" i="62"/>
  <c r="AG239" i="62"/>
  <c r="AP238" i="62"/>
  <c r="AF238" i="62"/>
  <c r="AH238" i="62"/>
  <c r="AP237" i="62"/>
  <c r="AH237" i="62"/>
  <c r="AP236" i="62"/>
  <c r="AP235" i="62"/>
  <c r="AH235" i="62"/>
  <c r="AP234" i="62"/>
  <c r="AG234" i="62"/>
  <c r="AF234" i="62"/>
  <c r="AP232" i="62"/>
  <c r="AF232" i="62"/>
  <c r="AP231" i="62"/>
  <c r="AD231" i="62"/>
  <c r="AP230" i="62"/>
  <c r="AP229" i="62"/>
  <c r="AD229" i="62"/>
  <c r="AP228" i="62"/>
  <c r="AD228" i="62"/>
  <c r="AP227" i="62"/>
  <c r="AH227" i="62"/>
  <c r="AP226" i="62"/>
  <c r="AG226" i="62"/>
  <c r="AP224" i="62"/>
  <c r="AG224" i="62"/>
  <c r="AP223" i="62"/>
  <c r="AP222" i="62"/>
  <c r="AF222" i="62"/>
  <c r="AP221" i="62"/>
  <c r="AP220" i="62"/>
  <c r="AD220" i="62"/>
  <c r="AP219" i="62"/>
  <c r="AF219" i="62"/>
  <c r="AD219" i="62"/>
  <c r="AP218" i="62"/>
  <c r="AD218" i="62"/>
  <c r="AH218" i="62"/>
  <c r="AP217" i="62"/>
  <c r="AH217" i="62"/>
  <c r="AP216" i="62"/>
  <c r="AH216" i="62"/>
  <c r="AD216" i="62"/>
  <c r="AF216" i="62"/>
  <c r="AP215" i="62"/>
  <c r="AG215" i="62"/>
  <c r="AP214" i="62"/>
  <c r="AF214" i="62"/>
  <c r="AP213" i="62"/>
  <c r="AF213" i="62"/>
  <c r="AP211" i="62"/>
  <c r="AH211" i="62"/>
  <c r="AD211" i="62"/>
  <c r="AF211" i="62"/>
  <c r="AP210" i="62"/>
  <c r="AG210" i="62"/>
  <c r="AP209" i="62"/>
  <c r="AG209" i="62"/>
  <c r="AP208" i="62"/>
  <c r="AD208" i="62"/>
  <c r="AG208" i="62"/>
  <c r="AP207" i="62"/>
  <c r="AD207" i="62"/>
  <c r="AF207" i="62"/>
  <c r="AP206" i="62"/>
  <c r="AF206" i="62"/>
  <c r="AP205" i="62"/>
  <c r="AP204" i="62"/>
  <c r="AD204" i="62"/>
  <c r="AP203" i="62"/>
  <c r="AD203" i="62"/>
  <c r="AP202" i="62"/>
  <c r="AF202" i="62"/>
  <c r="AD202" i="62"/>
  <c r="AP201" i="62"/>
  <c r="AG201" i="62"/>
  <c r="AH201" i="62"/>
  <c r="AP200" i="62"/>
  <c r="AG200" i="62"/>
  <c r="AP199" i="62"/>
  <c r="AG199" i="62"/>
  <c r="AP198" i="62"/>
  <c r="AH198" i="62"/>
  <c r="AP197" i="62"/>
  <c r="AD197" i="62"/>
  <c r="AP196" i="62"/>
  <c r="AP195" i="62"/>
  <c r="AD195" i="62"/>
  <c r="AP194" i="62"/>
  <c r="AH194" i="62"/>
  <c r="AD194" i="62"/>
  <c r="AP193" i="62"/>
  <c r="AD193" i="62"/>
  <c r="AH193" i="62"/>
  <c r="AP191" i="62"/>
  <c r="AF191" i="62"/>
  <c r="AG191" i="62"/>
  <c r="AP190" i="62"/>
  <c r="AH190" i="62"/>
  <c r="AP189" i="62"/>
  <c r="AH189" i="62"/>
  <c r="AP188" i="62"/>
  <c r="AG188" i="62"/>
  <c r="AF188" i="62"/>
  <c r="AP187" i="62"/>
  <c r="AF187" i="62"/>
  <c r="AG187" i="62"/>
  <c r="AP186" i="62"/>
  <c r="AP185" i="62"/>
  <c r="AF185" i="62"/>
  <c r="AP184" i="62"/>
  <c r="AD184" i="62"/>
  <c r="AF184" i="62"/>
  <c r="AP183" i="62"/>
  <c r="AP182" i="62"/>
  <c r="AG182" i="62"/>
  <c r="AP180" i="62"/>
  <c r="AH180" i="62"/>
  <c r="AP179" i="62"/>
  <c r="AF179" i="62"/>
  <c r="AP178" i="62"/>
  <c r="AG178" i="62"/>
  <c r="AP177" i="62"/>
  <c r="AG177" i="62"/>
  <c r="AP176" i="62"/>
  <c r="AG176" i="62"/>
  <c r="AH176" i="62"/>
  <c r="AP175" i="62"/>
  <c r="AF175" i="62"/>
  <c r="AP174" i="62"/>
  <c r="AG174" i="62"/>
  <c r="AP173" i="62"/>
  <c r="AH173" i="62"/>
  <c r="AP172" i="62"/>
  <c r="AH172" i="62"/>
  <c r="AP171" i="62"/>
  <c r="AP170" i="62"/>
  <c r="AH170" i="62"/>
  <c r="AD170" i="62"/>
  <c r="AF170" i="62"/>
  <c r="AP169" i="62"/>
  <c r="AP168" i="62"/>
  <c r="AF168" i="62"/>
  <c r="AP167" i="62"/>
  <c r="AP166" i="62"/>
  <c r="AD166" i="62"/>
  <c r="AP165" i="62"/>
  <c r="AH165" i="62"/>
  <c r="AD165" i="62"/>
  <c r="AP164" i="62"/>
  <c r="AH164" i="62"/>
  <c r="AP163" i="62"/>
  <c r="AG163" i="62"/>
  <c r="AP162" i="62"/>
  <c r="AG162" i="62"/>
  <c r="AP161" i="62"/>
  <c r="AP160" i="62"/>
  <c r="AH160" i="62"/>
  <c r="AP159" i="62"/>
  <c r="AF159" i="62"/>
  <c r="AP158" i="62"/>
  <c r="AF158" i="62"/>
  <c r="AP157" i="62"/>
  <c r="AD157" i="62"/>
  <c r="AP156" i="62"/>
  <c r="AG156" i="62"/>
  <c r="AH156" i="62"/>
  <c r="AP155" i="62"/>
  <c r="AG155" i="62"/>
  <c r="AP154" i="62"/>
  <c r="AP153" i="62"/>
  <c r="AH153" i="62"/>
  <c r="AD153" i="62"/>
  <c r="AP152" i="62"/>
  <c r="AP151" i="62"/>
  <c r="AH151" i="62"/>
  <c r="AG151" i="62"/>
  <c r="AP150" i="62"/>
  <c r="AG150" i="62"/>
  <c r="AP149" i="62"/>
  <c r="AH149" i="62"/>
  <c r="AD149" i="62"/>
  <c r="AP147" i="62"/>
  <c r="AH147" i="62"/>
  <c r="AP146" i="62"/>
  <c r="AG146" i="62"/>
  <c r="AF146" i="62"/>
  <c r="AP145" i="62"/>
  <c r="AP144" i="62"/>
  <c r="AP143" i="62"/>
  <c r="AH143" i="62"/>
  <c r="AP142" i="62"/>
  <c r="AG142" i="62"/>
  <c r="AH142" i="62"/>
  <c r="AP141" i="62"/>
  <c r="AH141" i="62"/>
  <c r="AP140" i="62"/>
  <c r="AH140" i="62"/>
  <c r="AD140" i="62"/>
  <c r="AF140" i="62"/>
  <c r="AP139" i="62"/>
  <c r="AP138" i="62"/>
  <c r="AH138" i="62"/>
  <c r="AP137" i="62"/>
  <c r="AG137" i="62"/>
  <c r="AP136" i="62"/>
  <c r="AG136" i="62"/>
  <c r="AH136" i="62"/>
  <c r="AP135" i="62"/>
  <c r="AF135" i="62"/>
  <c r="AP134" i="62"/>
  <c r="AH134" i="62"/>
  <c r="AD134" i="62"/>
  <c r="AF134" i="62"/>
  <c r="AP133" i="62"/>
  <c r="AF133" i="62"/>
  <c r="AD133" i="62"/>
  <c r="AP132" i="62"/>
  <c r="AP131" i="62"/>
  <c r="AD131" i="62"/>
  <c r="AG131" i="62"/>
  <c r="AP130" i="62"/>
  <c r="AP129" i="62"/>
  <c r="AH129" i="62"/>
  <c r="AD129" i="62"/>
  <c r="AP128" i="62"/>
  <c r="AF128" i="62"/>
  <c r="AP127" i="62"/>
  <c r="AH127" i="62"/>
  <c r="AG127" i="62"/>
  <c r="AP112" i="62"/>
  <c r="AP111" i="62"/>
  <c r="AP110" i="62"/>
  <c r="AG110" i="62"/>
  <c r="AP109" i="62"/>
  <c r="AG109" i="62"/>
  <c r="AP108" i="62"/>
  <c r="AG108" i="62"/>
  <c r="AP107" i="62"/>
  <c r="AP106" i="62"/>
  <c r="AG106" i="62"/>
  <c r="AP88" i="62"/>
  <c r="AP87" i="62"/>
  <c r="AG87" i="62"/>
  <c r="AP86" i="62"/>
  <c r="AP85" i="62"/>
  <c r="AP84" i="62"/>
  <c r="AH84" i="62"/>
  <c r="AD84" i="62"/>
  <c r="AE84" i="62" s="1"/>
  <c r="AG84" i="62"/>
  <c r="AP83" i="62"/>
  <c r="AG83" i="62"/>
  <c r="AP82" i="62"/>
  <c r="AF82" i="62"/>
  <c r="AP80" i="62"/>
  <c r="AH80" i="62"/>
  <c r="AP79" i="62"/>
  <c r="AH79" i="62"/>
  <c r="AP78" i="62"/>
  <c r="AP77" i="62"/>
  <c r="AP76" i="62"/>
  <c r="AH76" i="62"/>
  <c r="AP75" i="62"/>
  <c r="AH75" i="62"/>
  <c r="AF75" i="62"/>
  <c r="AP73" i="62"/>
  <c r="AF73" i="62"/>
  <c r="AP72" i="62"/>
  <c r="AD72" i="62"/>
  <c r="AP71" i="62"/>
  <c r="AD71" i="62"/>
  <c r="AG71" i="62"/>
  <c r="AP70" i="62"/>
  <c r="AG70" i="62"/>
  <c r="AD70" i="62"/>
  <c r="AP69" i="62"/>
  <c r="AF69" i="62"/>
  <c r="AP68" i="62"/>
  <c r="AD68" i="62"/>
  <c r="AP67" i="62"/>
  <c r="AP65" i="62"/>
  <c r="AD65" i="62"/>
  <c r="AP64" i="62"/>
  <c r="AF64" i="62"/>
  <c r="AP63" i="62"/>
  <c r="AD63" i="62"/>
  <c r="AP62" i="62"/>
  <c r="AF62" i="62"/>
  <c r="AP61" i="62"/>
  <c r="AD61" i="62"/>
  <c r="AP60" i="62"/>
  <c r="AF60" i="62"/>
  <c r="AP59" i="62"/>
  <c r="AD59" i="62"/>
  <c r="AP58" i="62"/>
  <c r="AH58" i="62"/>
  <c r="AD58" i="62"/>
  <c r="AF58" i="62"/>
  <c r="AP57" i="62"/>
  <c r="AG57" i="62"/>
  <c r="AD57" i="62"/>
  <c r="AP56" i="62"/>
  <c r="AF56" i="62"/>
  <c r="AP55" i="62"/>
  <c r="AD55" i="62"/>
  <c r="AP53" i="62"/>
  <c r="AH53" i="62"/>
  <c r="AF53" i="62"/>
  <c r="AP52" i="62"/>
  <c r="AD52" i="62"/>
  <c r="AP51" i="62"/>
  <c r="AH51" i="62"/>
  <c r="AP50" i="62"/>
  <c r="AG50" i="62"/>
  <c r="AP49" i="62"/>
  <c r="AH49" i="62"/>
  <c r="AF49" i="62"/>
  <c r="AP48" i="62"/>
  <c r="AD48" i="62"/>
  <c r="AP47" i="62"/>
  <c r="AH47" i="62"/>
  <c r="AP46" i="62"/>
  <c r="AG46" i="62"/>
  <c r="AP44" i="62"/>
  <c r="AH44" i="62"/>
  <c r="AD44" i="62"/>
  <c r="AF44" i="62"/>
  <c r="AP43" i="62"/>
  <c r="AD43" i="62"/>
  <c r="AP42" i="62"/>
  <c r="AH42" i="62"/>
  <c r="AP41" i="62"/>
  <c r="AG41" i="62"/>
  <c r="AP40" i="62"/>
  <c r="AH40" i="62"/>
  <c r="AD40" i="62"/>
  <c r="AF40" i="62"/>
  <c r="AP39" i="62"/>
  <c r="AD39" i="62"/>
  <c r="AP38" i="62"/>
  <c r="AH38" i="62"/>
  <c r="AP37" i="62"/>
  <c r="AG37" i="62"/>
  <c r="AP36" i="62"/>
  <c r="AH36" i="62"/>
  <c r="AF36" i="62"/>
  <c r="AP35" i="62"/>
  <c r="AD35" i="62"/>
  <c r="AP33" i="62"/>
  <c r="AH33" i="62"/>
  <c r="AP32" i="62"/>
  <c r="AG32" i="62"/>
  <c r="AP31" i="62"/>
  <c r="AH31" i="62"/>
  <c r="AF31" i="62"/>
  <c r="AP30" i="62"/>
  <c r="AD30" i="62"/>
  <c r="AP29" i="62"/>
  <c r="AH29" i="62"/>
  <c r="AP28" i="62"/>
  <c r="AG28" i="62"/>
  <c r="AP27" i="62"/>
  <c r="AH27" i="62"/>
  <c r="AD27" i="62"/>
  <c r="AF27" i="62"/>
  <c r="AP26" i="62"/>
  <c r="AD26" i="62"/>
  <c r="AP25" i="62"/>
  <c r="AH25" i="62"/>
  <c r="AP23" i="62"/>
  <c r="AG23" i="62"/>
  <c r="AP22" i="62"/>
  <c r="AF22" i="62"/>
  <c r="AP21" i="62"/>
  <c r="AF21" i="62"/>
  <c r="AP20" i="62"/>
  <c r="AF20" i="62"/>
  <c r="AP19" i="62"/>
  <c r="AD19" i="62"/>
  <c r="AH19" i="62"/>
  <c r="AP18" i="62"/>
  <c r="AH18" i="62"/>
  <c r="AF18" i="62"/>
  <c r="AP17" i="62"/>
  <c r="AF17" i="62"/>
  <c r="AP16" i="62"/>
  <c r="AG16" i="62"/>
  <c r="AP15" i="62"/>
  <c r="AD15" i="62"/>
  <c r="AH15" i="62"/>
  <c r="AP14" i="62"/>
  <c r="AH14" i="62"/>
  <c r="AF14" i="62"/>
  <c r="AP13" i="62"/>
  <c r="AF13" i="62"/>
  <c r="AP12" i="62"/>
  <c r="AG12" i="62"/>
  <c r="AP11" i="62"/>
  <c r="AD11" i="62"/>
  <c r="AF11" i="62"/>
  <c r="AP10" i="62"/>
  <c r="AH10" i="62"/>
  <c r="AF10" i="62"/>
  <c r="AF154" i="62" l="1"/>
  <c r="AD154" i="62"/>
  <c r="AG10" i="62"/>
  <c r="AH13" i="62"/>
  <c r="AG14" i="62"/>
  <c r="AH17" i="62"/>
  <c r="AG18" i="62"/>
  <c r="AH21" i="62"/>
  <c r="AH22" i="62"/>
  <c r="AG25" i="62"/>
  <c r="AH28" i="62"/>
  <c r="AD29" i="62"/>
  <c r="AH30" i="62"/>
  <c r="AG31" i="62"/>
  <c r="AD32" i="62"/>
  <c r="AH35" i="62"/>
  <c r="AG36" i="62"/>
  <c r="AD37" i="62"/>
  <c r="AG38" i="62"/>
  <c r="AG42" i="62"/>
  <c r="AH46" i="62"/>
  <c r="AD47" i="62"/>
  <c r="AH48" i="62"/>
  <c r="AG49" i="62"/>
  <c r="AD50" i="62"/>
  <c r="AH52" i="62"/>
  <c r="AG53" i="62"/>
  <c r="AG61" i="62"/>
  <c r="AD62" i="62"/>
  <c r="AH65" i="62"/>
  <c r="AF67" i="62"/>
  <c r="AH67" i="62"/>
  <c r="AG67" i="62"/>
  <c r="AD110" i="62"/>
  <c r="AE110" i="62" s="1"/>
  <c r="AF110" i="62" s="1"/>
  <c r="AF130" i="62"/>
  <c r="AH130" i="62"/>
  <c r="AG130" i="62"/>
  <c r="AH132" i="62"/>
  <c r="AG132" i="62"/>
  <c r="AF139" i="62"/>
  <c r="AH139" i="62"/>
  <c r="AG144" i="62"/>
  <c r="AF144" i="62"/>
  <c r="AG154" i="62"/>
  <c r="AD155" i="62"/>
  <c r="AF157" i="62"/>
  <c r="AD158" i="62"/>
  <c r="AG160" i="62"/>
  <c r="AG164" i="62"/>
  <c r="AG167" i="62"/>
  <c r="AH167" i="62"/>
  <c r="AG171" i="62"/>
  <c r="AD171" i="62"/>
  <c r="AD178" i="62"/>
  <c r="AH179" i="62"/>
  <c r="AG180" i="62"/>
  <c r="AF180" i="62"/>
  <c r="AH187" i="62"/>
  <c r="AD200" i="62"/>
  <c r="AH202" i="62"/>
  <c r="AF203" i="62"/>
  <c r="AH203" i="62"/>
  <c r="AG203" i="62"/>
  <c r="AD227" i="62"/>
  <c r="AF228" i="62"/>
  <c r="AH50" i="62"/>
  <c r="AG138" i="62"/>
  <c r="AF138" i="62"/>
  <c r="AH178" i="62"/>
  <c r="AF195" i="62"/>
  <c r="AH195" i="62"/>
  <c r="AG195" i="62"/>
  <c r="AF199" i="62"/>
  <c r="AD199" i="62"/>
  <c r="AH199" i="62"/>
  <c r="AH200" i="62"/>
  <c r="AG227" i="62"/>
  <c r="AH228" i="62"/>
  <c r="AF229" i="62"/>
  <c r="AH229" i="62"/>
  <c r="AG229" i="62"/>
  <c r="AG235" i="62"/>
  <c r="AF235" i="62"/>
  <c r="AH61" i="62"/>
  <c r="AG62" i="62"/>
  <c r="AH78" i="62"/>
  <c r="AF78" i="62"/>
  <c r="AH109" i="62"/>
  <c r="AH157" i="62"/>
  <c r="AH70" i="62"/>
  <c r="AF77" i="62"/>
  <c r="AH77" i="62"/>
  <c r="AH110" i="62"/>
  <c r="AG141" i="62"/>
  <c r="AD141" i="62"/>
  <c r="AF150" i="62"/>
  <c r="AD150" i="62"/>
  <c r="AH150" i="62"/>
  <c r="AH158" i="62"/>
  <c r="AD169" i="62"/>
  <c r="AH169" i="62"/>
  <c r="AF174" i="62"/>
  <c r="AD174" i="62"/>
  <c r="AH174" i="62"/>
  <c r="AG217" i="62"/>
  <c r="AD217" i="62"/>
  <c r="AG218" i="62"/>
  <c r="AH219" i="62"/>
  <c r="AF220" i="62"/>
  <c r="AH220" i="62"/>
  <c r="AG220" i="62"/>
  <c r="AF224" i="62"/>
  <c r="AD224" i="62"/>
  <c r="AH224" i="62"/>
  <c r="AG242" i="62"/>
  <c r="AH243" i="62"/>
  <c r="AF244" i="62"/>
  <c r="AH244" i="62"/>
  <c r="AG244" i="62"/>
  <c r="AH32" i="62"/>
  <c r="AD143" i="62"/>
  <c r="AF143" i="62"/>
  <c r="AH154" i="62"/>
  <c r="AH155" i="62"/>
  <c r="AG158" i="62"/>
  <c r="AH62" i="62"/>
  <c r="AF71" i="62"/>
  <c r="AH71" i="62"/>
  <c r="AD10" i="62"/>
  <c r="AG13" i="62"/>
  <c r="AD14" i="62"/>
  <c r="AG17" i="62"/>
  <c r="AD18" i="62"/>
  <c r="AG21" i="62"/>
  <c r="AD22" i="62"/>
  <c r="AD25" i="62"/>
  <c r="AG27" i="62"/>
  <c r="AD31" i="62"/>
  <c r="AF35" i="62"/>
  <c r="AD36" i="62"/>
  <c r="AF39" i="62"/>
  <c r="AG40" i="62"/>
  <c r="AD42" i="62"/>
  <c r="AG44" i="62"/>
  <c r="AD49" i="62"/>
  <c r="AG52" i="62"/>
  <c r="AD53" i="62"/>
  <c r="AH57" i="62"/>
  <c r="AG58" i="62"/>
  <c r="AG65" i="62"/>
  <c r="AD67" i="62"/>
  <c r="AG86" i="62"/>
  <c r="AD130" i="62"/>
  <c r="AH144" i="62"/>
  <c r="AH145" i="62"/>
  <c r="AG145" i="62"/>
  <c r="AF162" i="62"/>
  <c r="AD162" i="62"/>
  <c r="AH162" i="62"/>
  <c r="AH163" i="62"/>
  <c r="AD164" i="62"/>
  <c r="AF166" i="62"/>
  <c r="AH166" i="62"/>
  <c r="AG166" i="62"/>
  <c r="AH171" i="62"/>
  <c r="AG172" i="62"/>
  <c r="AD173" i="62"/>
  <c r="AF173" i="62"/>
  <c r="AH182" i="62"/>
  <c r="AD182" i="62"/>
  <c r="AG189" i="62"/>
  <c r="AF189" i="62"/>
  <c r="AH209" i="62"/>
  <c r="AD209" i="62"/>
  <c r="AF240" i="62"/>
  <c r="AD240" i="62"/>
  <c r="AH240" i="62"/>
  <c r="AH83" i="62"/>
  <c r="AF84" i="62"/>
  <c r="AH87" i="62"/>
  <c r="AH131" i="62"/>
  <c r="AH133" i="62"/>
  <c r="AG134" i="62"/>
  <c r="AG140" i="62"/>
  <c r="AG170" i="62"/>
  <c r="AH184" i="62"/>
  <c r="AH207" i="62"/>
  <c r="AH208" i="62"/>
  <c r="AG211" i="62"/>
  <c r="AG216" i="62"/>
  <c r="AG184" i="62"/>
  <c r="AH191" i="62"/>
  <c r="AG193" i="62"/>
  <c r="AG207" i="62"/>
  <c r="AF33" i="62"/>
  <c r="AD161" i="62"/>
  <c r="AH161" i="62"/>
  <c r="AF161" i="62"/>
  <c r="AD183" i="62"/>
  <c r="AH183" i="62"/>
  <c r="AF183" i="62"/>
  <c r="AH186" i="62"/>
  <c r="AF186" i="62"/>
  <c r="AF19" i="62"/>
  <c r="AG20" i="62"/>
  <c r="AH26" i="62"/>
  <c r="AF29" i="62"/>
  <c r="AG33" i="62"/>
  <c r="AH41" i="62"/>
  <c r="AH43" i="62"/>
  <c r="AG11" i="62"/>
  <c r="AH12" i="62"/>
  <c r="AD13" i="62"/>
  <c r="AG15" i="62"/>
  <c r="AH16" i="62"/>
  <c r="AD17" i="62"/>
  <c r="AG19" i="62"/>
  <c r="AH20" i="62"/>
  <c r="AD21" i="62"/>
  <c r="AG22" i="62"/>
  <c r="AF25" i="62"/>
  <c r="AD28" i="62"/>
  <c r="AG29" i="62"/>
  <c r="AF30" i="62"/>
  <c r="AF32" i="62"/>
  <c r="AG35" i="62"/>
  <c r="AH37" i="62"/>
  <c r="AD38" i="62"/>
  <c r="AH39" i="62"/>
  <c r="AF42" i="62"/>
  <c r="AD46" i="62"/>
  <c r="AG47" i="62"/>
  <c r="AF48" i="62"/>
  <c r="AF50" i="62"/>
  <c r="AG59" i="62"/>
  <c r="AH59" i="62"/>
  <c r="AF59" i="62"/>
  <c r="AH64" i="62"/>
  <c r="AD64" i="62"/>
  <c r="AG64" i="62"/>
  <c r="AG107" i="62"/>
  <c r="AD107" i="62"/>
  <c r="AE107" i="62" s="1"/>
  <c r="AF107" i="62" s="1"/>
  <c r="AH107" i="62"/>
  <c r="AH152" i="62"/>
  <c r="AG152" i="62"/>
  <c r="AD152" i="62"/>
  <c r="AD223" i="62"/>
  <c r="AH223" i="62"/>
  <c r="AF223" i="62"/>
  <c r="AG246" i="62"/>
  <c r="AD246" i="62"/>
  <c r="AF246" i="62"/>
  <c r="AF12" i="62"/>
  <c r="AF16" i="62"/>
  <c r="AF23" i="62"/>
  <c r="AG230" i="62"/>
  <c r="AD230" i="62"/>
  <c r="AF230" i="62"/>
  <c r="AF15" i="62"/>
  <c r="AH11" i="62"/>
  <c r="AD12" i="62"/>
  <c r="AD16" i="62"/>
  <c r="AD20" i="62"/>
  <c r="AD23" i="62"/>
  <c r="AF26" i="62"/>
  <c r="AF28" i="62"/>
  <c r="AG30" i="62"/>
  <c r="AD33" i="62"/>
  <c r="AF38" i="62"/>
  <c r="AD41" i="62"/>
  <c r="AF43" i="62"/>
  <c r="AF46" i="62"/>
  <c r="AG48" i="62"/>
  <c r="AD51" i="62"/>
  <c r="AG55" i="62"/>
  <c r="AH55" i="62"/>
  <c r="AF55" i="62"/>
  <c r="AH60" i="62"/>
  <c r="AD60" i="62"/>
  <c r="AG60" i="62"/>
  <c r="AG72" i="62"/>
  <c r="AH72" i="62"/>
  <c r="AF72" i="62"/>
  <c r="AF76" i="62"/>
  <c r="AG85" i="62"/>
  <c r="AD85" i="62"/>
  <c r="AE85" i="62" s="1"/>
  <c r="AF85" i="62" s="1"/>
  <c r="AH85" i="62"/>
  <c r="AG111" i="62"/>
  <c r="AD111" i="62"/>
  <c r="AH111" i="62"/>
  <c r="AH128" i="62"/>
  <c r="AG128" i="62"/>
  <c r="AD128" i="62"/>
  <c r="AG161" i="62"/>
  <c r="AH168" i="62"/>
  <c r="AG168" i="62"/>
  <c r="AD168" i="62"/>
  <c r="AG183" i="62"/>
  <c r="AG186" i="62"/>
  <c r="AD198" i="62"/>
  <c r="AF198" i="62"/>
  <c r="AG198" i="62"/>
  <c r="AD210" i="62"/>
  <c r="AH210" i="62"/>
  <c r="AF210" i="62"/>
  <c r="AH230" i="62"/>
  <c r="AF41" i="62"/>
  <c r="AG43" i="62"/>
  <c r="AG68" i="62"/>
  <c r="AH68" i="62"/>
  <c r="AF68" i="62"/>
  <c r="AG26" i="62"/>
  <c r="AF51" i="62"/>
  <c r="AH56" i="62"/>
  <c r="AD56" i="62"/>
  <c r="AG56" i="62"/>
  <c r="AH73" i="62"/>
  <c r="AD73" i="62"/>
  <c r="AG73" i="62"/>
  <c r="AG76" i="62"/>
  <c r="AG159" i="62"/>
  <c r="AH159" i="62"/>
  <c r="AD159" i="62"/>
  <c r="AH214" i="62"/>
  <c r="AG214" i="62"/>
  <c r="AD214" i="62"/>
  <c r="AD239" i="62"/>
  <c r="AH239" i="62"/>
  <c r="AF239" i="62"/>
  <c r="AH23" i="62"/>
  <c r="AF37" i="62"/>
  <c r="AG39" i="62"/>
  <c r="AF47" i="62"/>
  <c r="AG51" i="62"/>
  <c r="AG63" i="62"/>
  <c r="AH63" i="62"/>
  <c r="AF63" i="62"/>
  <c r="AH69" i="62"/>
  <c r="AD69" i="62"/>
  <c r="AG69" i="62"/>
  <c r="AG78" i="62"/>
  <c r="AF80" i="62"/>
  <c r="AG80" i="62"/>
  <c r="AG82" i="62"/>
  <c r="AD82" i="62"/>
  <c r="AG135" i="62"/>
  <c r="AH135" i="62"/>
  <c r="AD135" i="62"/>
  <c r="AD137" i="62"/>
  <c r="AH137" i="62"/>
  <c r="AF137" i="62"/>
  <c r="AF152" i="62"/>
  <c r="AG175" i="62"/>
  <c r="AH175" i="62"/>
  <c r="AD175" i="62"/>
  <c r="AD177" i="62"/>
  <c r="AH177" i="62"/>
  <c r="AF177" i="62"/>
  <c r="AG223" i="62"/>
  <c r="AF52" i="62"/>
  <c r="AF57" i="62"/>
  <c r="AF61" i="62"/>
  <c r="AF65" i="62"/>
  <c r="AF70" i="62"/>
  <c r="AG75" i="62"/>
  <c r="AG77" i="62"/>
  <c r="AG79" i="62"/>
  <c r="AD86" i="62"/>
  <c r="AE86" i="62" s="1"/>
  <c r="AF86" i="62" s="1"/>
  <c r="AF106" i="62"/>
  <c r="AD108" i="62"/>
  <c r="AE108" i="62" s="1"/>
  <c r="AF108" i="62" s="1"/>
  <c r="AF127" i="62"/>
  <c r="AG129" i="62"/>
  <c r="AD132" i="62"/>
  <c r="AF136" i="62"/>
  <c r="AG139" i="62"/>
  <c r="AD142" i="62"/>
  <c r="AD145" i="62"/>
  <c r="AG147" i="62"/>
  <c r="AF149" i="62"/>
  <c r="AF151" i="62"/>
  <c r="AG153" i="62"/>
  <c r="AD156" i="62"/>
  <c r="AF160" i="62"/>
  <c r="AD163" i="62"/>
  <c r="AF165" i="62"/>
  <c r="AF167" i="62"/>
  <c r="AG169" i="62"/>
  <c r="AD172" i="62"/>
  <c r="AF176" i="62"/>
  <c r="AG179" i="62"/>
  <c r="AG190" i="62"/>
  <c r="AF194" i="62"/>
  <c r="AG196" i="62"/>
  <c r="AD196" i="62"/>
  <c r="AH196" i="62"/>
  <c r="AF201" i="62"/>
  <c r="AH205" i="62"/>
  <c r="AD205" i="62"/>
  <c r="AG205" i="62"/>
  <c r="AG221" i="62"/>
  <c r="AH221" i="62"/>
  <c r="AF221" i="62"/>
  <c r="AF226" i="62"/>
  <c r="AG232" i="62"/>
  <c r="AH232" i="62"/>
  <c r="AH236" i="62"/>
  <c r="AG236" i="62"/>
  <c r="AF236" i="62"/>
  <c r="AF241" i="62"/>
  <c r="AF132" i="62"/>
  <c r="AF142" i="62"/>
  <c r="AF145" i="62"/>
  <c r="AG149" i="62"/>
  <c r="AF156" i="62"/>
  <c r="AF163" i="62"/>
  <c r="AG165" i="62"/>
  <c r="AF172" i="62"/>
  <c r="AG185" i="62"/>
  <c r="AD185" i="62"/>
  <c r="AH185" i="62"/>
  <c r="AG194" i="62"/>
  <c r="AH197" i="62"/>
  <c r="AG197" i="62"/>
  <c r="AF197" i="62"/>
  <c r="AD206" i="62"/>
  <c r="AH206" i="62"/>
  <c r="AG206" i="62"/>
  <c r="AG213" i="62"/>
  <c r="AD213" i="62"/>
  <c r="AH213" i="62"/>
  <c r="AF218" i="62"/>
  <c r="AH222" i="62"/>
  <c r="AD222" i="62"/>
  <c r="AG222" i="62"/>
  <c r="AH226" i="62"/>
  <c r="AF237" i="62"/>
  <c r="AG237" i="62"/>
  <c r="AG238" i="62"/>
  <c r="AH241" i="62"/>
  <c r="AF79" i="62"/>
  <c r="AD83" i="62"/>
  <c r="AE83" i="62" s="1"/>
  <c r="AF83" i="62" s="1"/>
  <c r="AH86" i="62"/>
  <c r="AD87" i="62"/>
  <c r="AE87" i="62" s="1"/>
  <c r="AF87" i="62" s="1"/>
  <c r="AD106" i="62"/>
  <c r="AH108" i="62"/>
  <c r="AD109" i="62"/>
  <c r="AE109" i="62" s="1"/>
  <c r="AF109" i="62" s="1"/>
  <c r="AD127" i="62"/>
  <c r="AF129" i="62"/>
  <c r="AF131" i="62"/>
  <c r="AG133" i="62"/>
  <c r="AD136" i="62"/>
  <c r="AF141" i="62"/>
  <c r="AG143" i="62"/>
  <c r="AH146" i="62"/>
  <c r="AF147" i="62"/>
  <c r="AD151" i="62"/>
  <c r="AF153" i="62"/>
  <c r="AF155" i="62"/>
  <c r="AG157" i="62"/>
  <c r="AD160" i="62"/>
  <c r="AF164" i="62"/>
  <c r="AD167" i="62"/>
  <c r="AF169" i="62"/>
  <c r="AF171" i="62"/>
  <c r="AG173" i="62"/>
  <c r="AD176" i="62"/>
  <c r="AH188" i="62"/>
  <c r="AF190" i="62"/>
  <c r="AF196" i="62"/>
  <c r="AD201" i="62"/>
  <c r="AG204" i="62"/>
  <c r="AH204" i="62"/>
  <c r="AF204" i="62"/>
  <c r="AF205" i="62"/>
  <c r="AF208" i="62"/>
  <c r="AD215" i="62"/>
  <c r="AF215" i="62"/>
  <c r="AH215" i="62"/>
  <c r="AD221" i="62"/>
  <c r="AD226" i="62"/>
  <c r="AG228" i="62"/>
  <c r="AH231" i="62"/>
  <c r="AG231" i="62"/>
  <c r="AF231" i="62"/>
  <c r="AH234" i="62"/>
  <c r="AD236" i="62"/>
  <c r="AD241" i="62"/>
  <c r="AG243" i="62"/>
  <c r="AH247" i="62"/>
  <c r="AG247" i="62"/>
  <c r="AF247" i="62"/>
  <c r="AF178" i="62"/>
  <c r="AF182" i="62"/>
  <c r="AF193" i="62"/>
  <c r="AF200" i="62"/>
  <c r="AG202" i="62"/>
  <c r="AF209" i="62"/>
  <c r="AF217" i="62"/>
  <c r="AG219" i="62"/>
  <c r="AF227" i="62"/>
  <c r="AF242" i="62"/>
  <c r="AI69" i="62" l="1"/>
  <c r="AI10" i="62"/>
  <c r="AI78" i="62"/>
  <c r="AI27" i="62"/>
  <c r="AI51" i="62"/>
  <c r="AI70" i="62"/>
  <c r="AI35" i="62"/>
  <c r="AI106" i="62"/>
  <c r="AI195" i="62"/>
  <c r="AI129" i="62"/>
  <c r="AI179" i="62"/>
  <c r="AI207" i="62"/>
  <c r="AI211" i="62"/>
  <c r="AI224" i="62"/>
  <c r="AI241" i="62"/>
  <c r="AI110" i="62"/>
  <c r="AI247" i="62" l="1"/>
  <c r="AI242" i="62"/>
  <c r="AI232" i="62"/>
  <c r="AI228" i="62"/>
  <c r="AI204" i="62"/>
  <c r="AI200" i="62"/>
  <c r="AI243" i="62"/>
  <c r="AI201" i="62"/>
  <c r="AI197" i="62"/>
  <c r="AI193" i="62"/>
  <c r="AI107" i="62"/>
  <c r="AI244" i="62"/>
  <c r="AI240" i="62"/>
  <c r="AI140" i="62"/>
  <c r="AI77" i="62"/>
  <c r="AI59" i="62"/>
  <c r="AI41" i="62"/>
  <c r="AI23" i="62"/>
  <c r="AI203" i="62"/>
  <c r="AI136" i="62"/>
  <c r="AI199" i="62"/>
  <c r="AI64" i="62"/>
  <c r="AI52" i="62"/>
  <c r="AI49" i="62"/>
  <c r="AI56" i="62"/>
  <c r="AI39" i="62"/>
  <c r="AI38" i="62"/>
  <c r="AI26" i="62"/>
  <c r="AI22" i="62"/>
  <c r="AI36" i="62"/>
  <c r="AI48" i="62"/>
  <c r="AH106" i="62"/>
  <c r="AI33" i="62"/>
  <c r="AI16" i="62"/>
  <c r="AI62" i="62"/>
  <c r="AI139" i="62"/>
  <c r="AI234" i="62"/>
  <c r="AI229" i="62"/>
  <c r="AI213" i="62"/>
  <c r="AI208" i="62"/>
  <c r="AI239" i="62"/>
  <c r="AI222" i="62"/>
  <c r="AI218" i="62"/>
  <c r="AI214" i="62"/>
  <c r="AI209" i="62"/>
  <c r="AI205" i="62"/>
  <c r="AI147" i="62"/>
  <c r="AI111" i="62"/>
  <c r="AI236" i="62"/>
  <c r="AI145" i="62"/>
  <c r="AI82" i="62"/>
  <c r="AI63" i="62"/>
  <c r="AI46" i="62"/>
  <c r="AI28" i="62"/>
  <c r="AI11" i="62"/>
  <c r="AI246" i="62"/>
  <c r="AI237" i="62"/>
  <c r="AI216" i="62"/>
  <c r="AI128" i="62"/>
  <c r="AI164" i="62"/>
  <c r="AI174" i="62"/>
  <c r="AI43" i="62"/>
  <c r="AI40" i="62"/>
  <c r="AI47" i="62"/>
  <c r="AI71" i="62"/>
  <c r="AI65" i="62"/>
  <c r="AI87" i="62"/>
  <c r="AI30" i="62"/>
  <c r="AI20" i="62"/>
  <c r="AI25" i="62"/>
  <c r="AI238" i="62"/>
  <c r="AI230" i="62"/>
  <c r="AI226" i="62"/>
  <c r="AI221" i="62"/>
  <c r="AI217" i="62"/>
  <c r="AI180" i="62"/>
  <c r="AI165" i="62"/>
  <c r="AI161" i="62"/>
  <c r="AI157" i="62"/>
  <c r="AI153" i="62"/>
  <c r="AI149" i="62"/>
  <c r="AI235" i="62"/>
  <c r="AI150" i="62"/>
  <c r="AI134" i="62"/>
  <c r="AI130" i="62"/>
  <c r="AI146" i="62"/>
  <c r="AI143" i="62"/>
  <c r="AE111" i="62"/>
  <c r="AF111" i="62" s="1"/>
  <c r="AI85" i="62"/>
  <c r="AI223" i="62"/>
  <c r="AI219" i="62"/>
  <c r="AI215" i="62"/>
  <c r="AI210" i="62"/>
  <c r="AI206" i="62"/>
  <c r="AI202" i="62"/>
  <c r="AI198" i="62"/>
  <c r="AI194" i="62"/>
  <c r="AI182" i="62"/>
  <c r="AI189" i="62"/>
  <c r="AI177" i="62"/>
  <c r="AI173" i="62"/>
  <c r="AI169" i="62"/>
  <c r="AI167" i="62"/>
  <c r="AI163" i="62"/>
  <c r="AI159" i="62"/>
  <c r="AI155" i="62"/>
  <c r="AI151" i="62"/>
  <c r="AI135" i="62"/>
  <c r="AI131" i="62"/>
  <c r="AI127" i="62"/>
  <c r="AH82" i="62"/>
  <c r="AI68" i="62"/>
  <c r="AI50" i="62"/>
  <c r="AI32" i="62"/>
  <c r="AI15" i="62"/>
  <c r="AI220" i="62"/>
  <c r="AI183" i="62"/>
  <c r="AI142" i="62"/>
  <c r="AI75" i="62"/>
  <c r="AI73" i="62"/>
  <c r="AI57" i="62"/>
  <c r="AI17" i="62"/>
  <c r="AI67" i="62"/>
  <c r="AI29" i="62"/>
  <c r="AI109" i="62"/>
  <c r="AI190" i="62"/>
  <c r="AI137" i="62"/>
  <c r="AI84" i="62"/>
  <c r="AI18" i="62"/>
  <c r="AI80" i="62"/>
  <c r="AI231" i="62"/>
  <c r="AI227" i="62"/>
  <c r="AI196" i="62"/>
  <c r="AI184" i="62"/>
  <c r="AI191" i="62"/>
  <c r="AI187" i="62"/>
  <c r="AI175" i="62"/>
  <c r="AI171" i="62"/>
  <c r="AI133" i="62"/>
  <c r="AI185" i="62"/>
  <c r="AI186" i="62"/>
  <c r="AI188" i="62"/>
  <c r="AI176" i="62"/>
  <c r="AI172" i="62"/>
  <c r="AI168" i="62"/>
  <c r="AI166" i="62"/>
  <c r="AI162" i="62"/>
  <c r="AI158" i="62"/>
  <c r="AI154" i="62"/>
  <c r="AI108" i="62"/>
  <c r="AI86" i="62"/>
  <c r="AI72" i="62"/>
  <c r="AI55" i="62"/>
  <c r="AI37" i="62"/>
  <c r="AI19" i="62"/>
  <c r="AI170" i="62"/>
  <c r="AI160" i="62"/>
  <c r="AI178" i="62"/>
  <c r="AI144" i="62"/>
  <c r="AI79" i="62"/>
  <c r="AI76" i="62"/>
  <c r="AI53" i="62"/>
  <c r="AI61" i="62"/>
  <c r="AI58" i="62"/>
  <c r="AI21" i="62"/>
  <c r="AI31" i="62"/>
  <c r="AI14" i="62"/>
  <c r="AI13" i="62"/>
  <c r="AI12" i="62"/>
  <c r="AI152" i="62"/>
  <c r="AI83" i="62"/>
  <c r="AI156" i="62"/>
  <c r="AI132" i="62"/>
  <c r="AI138" i="62"/>
  <c r="AI44" i="62"/>
  <c r="AI141" i="62"/>
  <c r="AI60" i="62"/>
  <c r="AI42" i="62"/>
</calcChain>
</file>

<file path=xl/comments1.xml><?xml version="1.0" encoding="utf-8"?>
<comments xmlns="http://schemas.openxmlformats.org/spreadsheetml/2006/main">
  <authors>
    <author>David Lee</author>
    <author>NVIDIA</author>
  </authors>
  <commentList>
    <comment ref="AQ7" authorId="0" shapeId="0">
      <text>
        <r>
          <rPr>
            <sz val="9"/>
            <color indexed="81"/>
            <rFont val="Tahoma"/>
            <family val="2"/>
          </rPr>
          <t xml:space="preserve">Select the pin configuration from the pulldown menu
</t>
        </r>
      </text>
    </comment>
    <comment ref="AR7" authorId="0" shapeId="0">
      <text>
        <r>
          <rPr>
            <sz val="9"/>
            <color indexed="81"/>
            <rFont val="Tahoma"/>
            <family val="2"/>
          </rPr>
          <t>If a pin is used as GPIO, select the pin direction from the following list:
Input
Output
Bidirectional
Open-Drain
N/A</t>
        </r>
      </text>
    </comment>
    <comment ref="AS7" authorId="0" shapeId="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text>
        <r>
          <rPr>
            <sz val="9"/>
            <color indexed="81"/>
            <rFont val="Tahoma"/>
            <family val="2"/>
          </rPr>
          <t xml:space="preserve">If an external pull up on the platform, list the value in this column
</t>
        </r>
      </text>
    </comment>
    <comment ref="AZ7" authorId="0" shapeId="0">
      <text>
        <r>
          <rPr>
            <b/>
            <sz val="9"/>
            <color indexed="81"/>
            <rFont val="Tahoma"/>
            <family val="2"/>
          </rPr>
          <t>If an external pull down on the platform, list the value in this column</t>
        </r>
        <r>
          <rPr>
            <sz val="9"/>
            <color indexed="81"/>
            <rFont val="Tahoma"/>
            <family val="2"/>
          </rPr>
          <t xml:space="preserve">
</t>
        </r>
      </text>
    </comment>
    <comment ref="BA7" authorId="0" shapeId="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47" authorId="1" shapeId="0">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sharedStrings.xml><?xml version="1.0" encoding="utf-8"?>
<sst xmlns="http://schemas.openxmlformats.org/spreadsheetml/2006/main" count="16594" uniqueCount="3983">
  <si>
    <t>General</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</si>
  <si>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</si>
  <si>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</si>
  <si>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</si>
  <si>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</si>
  <si>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</si>
  <si>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</si>
  <si>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</si>
  <si>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</si>
  <si>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</si>
  <si>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</si>
  <si>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</si>
  <si>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</si>
  <si>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</si>
  <si>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</si>
  <si>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</si>
  <si>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</si>
  <si>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</si>
  <si>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</si>
  <si>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</si>
  <si>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</si>
  <si>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</si>
  <si>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</si>
  <si>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</si>
  <si>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</si>
  <si>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</si>
  <si>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</si>
  <si>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</si>
  <si>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</si>
  <si>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</si>
  <si>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</si>
  <si>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</si>
  <si>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</si>
  <si>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</si>
  <si>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</si>
  <si>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</si>
  <si>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</si>
  <si>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</si>
  <si>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</si>
  <si>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</si>
  <si>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</si>
  <si>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</si>
  <si>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</si>
  <si>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</si>
  <si>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</si>
  <si>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</si>
  <si>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</si>
  <si>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</si>
  <si>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</si>
  <si>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</si>
  <si>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</si>
  <si>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</si>
  <si>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</si>
  <si>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</si>
  <si>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</si>
  <si>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SDMMC3</t>
  </si>
  <si>
    <t>SDMMC1</t>
  </si>
  <si>
    <t>PEX_CTL</t>
  </si>
  <si>
    <t>USB_VBUS_EN0</t>
  </si>
  <si>
    <t>USB_VBUS_EN1</t>
  </si>
  <si>
    <t>POR</t>
  </si>
  <si>
    <t>Revision</t>
  </si>
  <si>
    <t>Description</t>
  </si>
  <si>
    <t>DP_AUX_CH0_P</t>
  </si>
  <si>
    <t>DP_AUX_CH0_N</t>
  </si>
  <si>
    <t>Pad Type</t>
  </si>
  <si>
    <t>Req. Initial State</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</si>
  <si>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</si>
  <si>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</si>
  <si>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</si>
  <si>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</si>
  <si>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</si>
  <si>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</si>
  <si>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</si>
  <si>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</si>
  <si>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</si>
  <si>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</si>
  <si>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</si>
  <si>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</si>
  <si>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</si>
  <si>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</si>
  <si>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</si>
  <si>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</si>
  <si>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</si>
  <si>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</si>
  <si>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</si>
  <si>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</si>
  <si>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</si>
  <si>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</si>
  <si>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</si>
  <si>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</si>
  <si>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</si>
  <si>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</si>
  <si>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</si>
  <si>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</si>
  <si>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</si>
  <si>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</si>
  <si>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</si>
  <si>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</si>
  <si>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</si>
  <si>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</si>
  <si>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</si>
  <si>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</si>
  <si>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</si>
  <si>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</si>
  <si>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</si>
  <si>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</si>
  <si>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</si>
  <si>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</si>
  <si>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</si>
  <si>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</si>
  <si>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</si>
  <si>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</si>
  <si>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</si>
  <si>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</si>
  <si>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</si>
  <si>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</si>
  <si>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</si>
  <si>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</si>
  <si>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</si>
  <si>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</si>
  <si>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</si>
  <si>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</si>
  <si>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</si>
  <si>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</si>
  <si>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</si>
  <si>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</si>
  <si>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</si>
  <si>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</si>
  <si>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</si>
  <si>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</si>
  <si>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</si>
  <si>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</si>
  <si>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DTV</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</si>
  <si>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</si>
  <si>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</si>
  <si>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</si>
  <si>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</si>
  <si>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</si>
  <si>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</si>
  <si>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</si>
  <si>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</si>
  <si>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</si>
  <si>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</si>
  <si>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</si>
  <si>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</si>
  <si>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</si>
  <si>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</si>
  <si>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</si>
  <si>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</si>
  <si>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</si>
  <si>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</si>
  <si>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</si>
  <si>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</si>
  <si>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</si>
  <si>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</si>
  <si>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</si>
  <si>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</si>
  <si>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</si>
  <si>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</si>
  <si>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</si>
  <si>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</si>
  <si>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</si>
  <si>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</si>
  <si>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</si>
  <si>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</si>
  <si>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</si>
  <si>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</si>
  <si>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</si>
  <si>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</si>
  <si>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</si>
  <si>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</si>
  <si>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</si>
  <si>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</si>
  <si>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</si>
  <si>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</si>
  <si>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</si>
  <si>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</si>
  <si>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</si>
  <si>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</si>
  <si>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</si>
  <si>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</si>
  <si>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</si>
  <si>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</si>
  <si>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</si>
  <si>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</si>
  <si>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</si>
  <si>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</si>
  <si>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</si>
  <si>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</si>
  <si>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</si>
  <si>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</si>
  <si>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</si>
  <si>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</si>
  <si>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</si>
  <si>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</si>
  <si>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</si>
  <si>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</si>
  <si>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</si>
  <si>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</si>
  <si>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</si>
  <si>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</si>
  <si>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</si>
  <si>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</si>
  <si>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</si>
  <si>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</si>
  <si>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</si>
  <si>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</si>
  <si>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</si>
  <si>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</si>
  <si>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</si>
  <si>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</si>
  <si>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</si>
  <si>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</si>
  <si>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</si>
  <si>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</si>
  <si>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</si>
  <si>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</si>
  <si>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</si>
  <si>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</si>
  <si>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</si>
  <si>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</si>
  <si>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</si>
  <si>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</si>
  <si>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</si>
  <si>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HSIC_REXT</t>
  </si>
  <si>
    <t>unused_HSIC_REXT</t>
  </si>
  <si>
    <t>USB1_DN</t>
  </si>
  <si>
    <t>USB1_DP</t>
  </si>
  <si>
    <t>USB_REXT</t>
  </si>
  <si>
    <t>unused_USB_REXT</t>
  </si>
  <si>
    <t>THERM_DP</t>
  </si>
  <si>
    <t>unused_THERM_DP</t>
  </si>
  <si>
    <t>THERM_DN</t>
  </si>
  <si>
    <t>unused_THERM_DN</t>
  </si>
  <si>
    <t>XTAL</t>
  </si>
  <si>
    <t>XTAL_IN</t>
  </si>
  <si>
    <t>XTAL_OUT</t>
  </si>
  <si>
    <t>DSC</t>
  </si>
  <si>
    <t>unused_DP_AUX_CH0_P</t>
  </si>
  <si>
    <t>unused_DP_AUX_CH0_N</t>
  </si>
  <si>
    <t>USB0_DN</t>
  </si>
  <si>
    <t>USB0_DP</t>
  </si>
  <si>
    <t>USB2_DN</t>
  </si>
  <si>
    <t>USB2_DP</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</si>
  <si>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</si>
  <si>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</si>
  <si>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</si>
  <si>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</si>
  <si>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</si>
  <si>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</si>
  <si>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</si>
  <si>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</si>
  <si>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</si>
  <si>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</si>
  <si>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</si>
  <si>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</si>
  <si>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</si>
  <si>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</si>
  <si>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</si>
  <si>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</si>
  <si>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</si>
  <si>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</si>
  <si>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</si>
  <si>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</si>
  <si>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</si>
  <si>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</si>
  <si>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</si>
  <si>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</si>
  <si>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</si>
  <si>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</si>
  <si>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</si>
  <si>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</si>
  <si>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</si>
  <si>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</si>
  <si>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</si>
  <si>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AUD_MCLK</t>
  </si>
  <si>
    <t>TOUCH_CLK</t>
  </si>
  <si>
    <t>UART2_CTS</t>
  </si>
  <si>
    <t>UART2_RTS</t>
  </si>
  <si>
    <t>UART3_CTS</t>
  </si>
  <si>
    <t>UART3_RTS</t>
  </si>
  <si>
    <t>UART4_CTS</t>
  </si>
  <si>
    <t>UART4_RTS</t>
  </si>
  <si>
    <t>SOC_PWR_REQ</t>
  </si>
  <si>
    <t>IO Block Voltage</t>
  </si>
  <si>
    <t>1.2V</t>
  </si>
  <si>
    <t>DSI_B_CLK_N</t>
  </si>
  <si>
    <t>DSI_B_CLK_P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</si>
  <si>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</si>
  <si>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</si>
  <si>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</si>
  <si>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</si>
  <si>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</si>
  <si>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</si>
  <si>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</si>
  <si>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DMIC1_CLK</t>
  </si>
  <si>
    <t>DMIC2_CLK</t>
  </si>
  <si>
    <t>DMIC1_DAT</t>
  </si>
  <si>
    <t>DMIC2_DAT</t>
  </si>
  <si>
    <t>SHUTDOWN</t>
  </si>
  <si>
    <t>UART4_TX</t>
  </si>
  <si>
    <t>UART4_RX</t>
  </si>
  <si>
    <t>SPI</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</si>
  <si>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</si>
  <si>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</si>
  <si>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</si>
  <si>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</si>
  <si>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</si>
  <si>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</si>
  <si>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</si>
  <si>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</si>
  <si>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</si>
  <si>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</si>
  <si>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</si>
  <si>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</si>
  <si>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</si>
  <si>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</si>
  <si>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</si>
  <si>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</si>
  <si>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</si>
  <si>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</si>
  <si>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</si>
  <si>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</si>
  <si>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</si>
  <si>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</si>
  <si>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</si>
  <si>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</si>
  <si>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</si>
  <si>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</si>
  <si>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</si>
  <si>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</si>
  <si>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</si>
  <si>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</si>
  <si>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</si>
  <si>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</si>
  <si>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</si>
  <si>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</si>
  <si>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</si>
  <si>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</si>
  <si>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</si>
  <si>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</si>
  <si>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</si>
  <si>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</si>
  <si>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</si>
  <si>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QSPI_IO0</t>
  </si>
  <si>
    <t>QSPI_IO1</t>
  </si>
  <si>
    <t>QSPI_SCK</t>
  </si>
  <si>
    <t>QSPI_CS_N</t>
  </si>
  <si>
    <t>QSPI_IO2</t>
  </si>
  <si>
    <t>QSPI_IO3</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</si>
  <si>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</si>
  <si>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</si>
  <si>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</si>
  <si>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</si>
  <si>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</si>
  <si>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</si>
  <si>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</si>
  <si>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</si>
  <si>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</si>
  <si>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</si>
  <si>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</si>
  <si>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</si>
  <si>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</si>
  <si>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</si>
  <si>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</si>
  <si>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</si>
  <si>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</si>
  <si>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</si>
  <si>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</si>
  <si>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</si>
  <si>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</si>
  <si>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</si>
  <si>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</si>
  <si>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</si>
  <si>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</si>
  <si>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</si>
  <si>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</si>
  <si>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</si>
  <si>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</si>
  <si>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</si>
  <si>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</si>
  <si>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</si>
  <si>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</si>
  <si>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</si>
  <si>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</si>
  <si>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</si>
  <si>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</si>
  <si>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</si>
  <si>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</si>
  <si>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</si>
  <si>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</si>
  <si>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</si>
  <si>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</si>
  <si>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</si>
  <si>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</si>
  <si>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</si>
  <si>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</si>
  <si>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</si>
  <si>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</si>
  <si>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</si>
  <si>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</si>
  <si>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</si>
  <si>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</si>
  <si>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</si>
  <si>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</si>
  <si>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</si>
  <si>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</si>
  <si>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</si>
  <si>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</si>
  <si>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</si>
  <si>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</si>
  <si>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</si>
  <si>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</si>
  <si>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</si>
  <si>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</si>
  <si>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</si>
  <si>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</si>
  <si>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</si>
  <si>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</si>
  <si>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</si>
  <si>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</si>
  <si>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</si>
  <si>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</si>
  <si>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</si>
  <si>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</si>
  <si>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</si>
  <si>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</si>
  <si>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</si>
  <si>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</si>
  <si>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</si>
  <si>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</si>
  <si>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</si>
  <si>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</si>
  <si>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</si>
  <si>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</si>
  <si>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</si>
  <si>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</si>
  <si>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</si>
  <si>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</si>
  <si>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</si>
  <si>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</si>
  <si>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</si>
  <si>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</si>
  <si>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</si>
  <si>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</si>
  <si>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</si>
  <si>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</si>
  <si>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</si>
  <si>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</si>
  <si>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</si>
  <si>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</si>
  <si>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</si>
  <si>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</si>
  <si>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</si>
  <si>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</si>
  <si>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</si>
  <si>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</si>
  <si>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</si>
  <si>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</si>
  <si>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</si>
  <si>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</si>
  <si>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</si>
  <si>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</si>
  <si>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</si>
  <si>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</si>
  <si>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</si>
  <si>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</si>
  <si>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</si>
  <si>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</si>
  <si>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</si>
  <si>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</si>
  <si>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</si>
  <si>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</si>
  <si>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</si>
  <si>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</si>
  <si>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</si>
  <si>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</si>
  <si>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</si>
  <si>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</si>
  <si>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</si>
  <si>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</si>
  <si>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</si>
  <si>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</si>
  <si>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</si>
  <si>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</si>
  <si>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</si>
  <si>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</si>
  <si>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</si>
  <si>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</si>
  <si>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</si>
  <si>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</si>
  <si>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</si>
  <si>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</si>
  <si>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</si>
  <si>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</si>
  <si>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</si>
  <si>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</si>
  <si>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</si>
  <si>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</si>
  <si>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</si>
  <si>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</si>
  <si>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</si>
  <si>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</si>
  <si>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</si>
  <si>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</si>
  <si>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</si>
  <si>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</si>
  <si>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</si>
  <si>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</si>
  <si>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</si>
  <si>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1.05V</t>
  </si>
  <si>
    <t>1.1V</t>
  </si>
  <si>
    <t>unused_QSPI_IO3</t>
  </si>
  <si>
    <t>unused_QSPI_IO1</t>
  </si>
  <si>
    <t>unused_QSPI_SCK</t>
  </si>
  <si>
    <t>unused_QSPI_CS_N</t>
  </si>
  <si>
    <t>unused_QSPI_IO2</t>
  </si>
  <si>
    <t>unused_DMIC1_CLK</t>
  </si>
  <si>
    <t>unused_DMIC1_DAT</t>
  </si>
  <si>
    <t>unused_DMIC2_CLK</t>
  </si>
  <si>
    <t>unused_DMIC2_DAT</t>
  </si>
  <si>
    <t>unused_PEX_L0_CLKREQ_N</t>
  </si>
  <si>
    <t>unused_PEX_L0_RST_N</t>
  </si>
  <si>
    <t>unused_PEX_L1_CLKREQ_N</t>
  </si>
  <si>
    <t>unused_PEX_L1_RST_N</t>
  </si>
  <si>
    <t>unused_PEX_WAKE_N</t>
  </si>
  <si>
    <t>unused_PEX_CLK1P</t>
  </si>
  <si>
    <t>unused_PEX_CLK1N</t>
  </si>
  <si>
    <t>unused_PEX_CLK2P</t>
  </si>
  <si>
    <t>unused_PEX_CLK2N</t>
  </si>
  <si>
    <t>unused_SDMMC1_COMP</t>
  </si>
  <si>
    <t>unused_SDMMC3_COMP</t>
  </si>
  <si>
    <t>unused_TOUCH_CLK</t>
  </si>
  <si>
    <t>unused_SHUTDOWN</t>
  </si>
  <si>
    <t>unused_SYS_RESET_N</t>
  </si>
  <si>
    <t>unused_CLK_32K_IN</t>
  </si>
  <si>
    <t>unused_UART2_TX</t>
  </si>
  <si>
    <t>unused_UART2_RTS</t>
  </si>
  <si>
    <t>unused_UART2_CTS</t>
  </si>
  <si>
    <t>unused_UART1_TX</t>
  </si>
  <si>
    <t>unused_UART1_RX</t>
  </si>
  <si>
    <t>unused_UART1_RTS</t>
  </si>
  <si>
    <t>unused_UART1_CTS</t>
  </si>
  <si>
    <t>unused_JTAG_TRST_N</t>
  </si>
  <si>
    <t>unused_JTAG_TDO</t>
  </si>
  <si>
    <t>unused_JTAG_TMS</t>
  </si>
  <si>
    <t>unused_JTAG_TCK</t>
  </si>
  <si>
    <t>unused_JTAG_TDI</t>
  </si>
  <si>
    <t>unused_UART3_TX</t>
  </si>
  <si>
    <t>unused_UART3_RX</t>
  </si>
  <si>
    <t>unused_UART3_RTS</t>
  </si>
  <si>
    <t>unused_UART3_CTS</t>
  </si>
  <si>
    <t>unused_UART4_TX</t>
  </si>
  <si>
    <t>unused_UART4_RX</t>
  </si>
  <si>
    <t>unused_UART4_RTS</t>
  </si>
  <si>
    <t>unused_UART4_CTS</t>
  </si>
  <si>
    <t>unused_QSPI_IO0</t>
  </si>
  <si>
    <t>unused_DP_AUX_CH1_P</t>
  </si>
  <si>
    <t>unused_DP_AUX_CH1_N</t>
  </si>
  <si>
    <t>3.3V Tolerance Enable</t>
  </si>
  <si>
    <t>unused_DSI_B_CLK_N</t>
  </si>
  <si>
    <t>unused_DSI_B_CLK_P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</si>
  <si>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</si>
  <si>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</si>
  <si>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</si>
  <si>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</si>
  <si>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</si>
  <si>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</si>
  <si>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</si>
  <si>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</si>
  <si>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</si>
  <si>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</si>
  <si>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</si>
  <si>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</si>
  <si>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</si>
  <si>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</si>
  <si>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</si>
  <si>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</si>
  <si>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</si>
  <si>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</si>
  <si>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</si>
  <si>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</si>
  <si>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</si>
  <si>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</si>
  <si>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</si>
  <si>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</si>
  <si>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</si>
  <si>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</si>
  <si>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</si>
  <si>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</si>
  <si>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</si>
  <si>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</si>
  <si>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</si>
  <si>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</si>
  <si>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</si>
  <si>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</si>
  <si>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</si>
  <si>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</si>
  <si>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</si>
  <si>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</si>
  <si>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</si>
  <si>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</si>
  <si>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</si>
  <si>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</si>
  <si>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</si>
  <si>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</si>
  <si>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</si>
  <si>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</si>
  <si>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</si>
  <si>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</si>
  <si>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</si>
  <si>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</si>
  <si>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</si>
  <si>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</si>
  <si>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</si>
  <si>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</si>
  <si>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</si>
  <si>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</si>
  <si>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</si>
  <si>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</si>
  <si>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</si>
  <si>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</si>
  <si>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</si>
  <si>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</si>
  <si>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</si>
  <si>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</si>
  <si>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</si>
  <si>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</si>
  <si>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</si>
  <si>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</si>
  <si>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</si>
  <si>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</si>
  <si>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</si>
  <si>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</si>
  <si>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</si>
  <si>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</si>
  <si>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</si>
  <si>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</si>
  <si>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</si>
  <si>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</si>
  <si>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</si>
  <si>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</si>
  <si>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</si>
  <si>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</si>
  <si>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</si>
  <si>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</si>
  <si>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</si>
  <si>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</si>
  <si>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</si>
  <si>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</si>
  <si>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</si>
  <si>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</si>
  <si>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</si>
  <si>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</si>
  <si>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</si>
  <si>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</si>
  <si>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</si>
  <si>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</si>
  <si>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</si>
  <si>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</si>
  <si>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</si>
  <si>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</si>
  <si>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</si>
  <si>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</si>
  <si>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</si>
  <si>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</si>
  <si>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</si>
  <si>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</si>
  <si>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</si>
  <si>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</si>
  <si>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</si>
  <si>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</si>
  <si>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</si>
  <si>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</si>
  <si>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</si>
  <si>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</si>
  <si>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</si>
  <si>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</si>
  <si>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</si>
  <si>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</si>
  <si>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</si>
  <si>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</si>
  <si>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</si>
  <si>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</si>
  <si>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</si>
  <si>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</si>
  <si>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</si>
  <si>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</si>
  <si>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</si>
  <si>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</si>
  <si>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</si>
  <si>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</si>
  <si>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</si>
  <si>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</si>
  <si>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</si>
  <si>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</si>
  <si>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</si>
  <si>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</si>
  <si>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</si>
  <si>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</si>
  <si>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</si>
  <si>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</si>
  <si>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</si>
  <si>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</si>
  <si>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</si>
  <si>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</si>
  <si>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</si>
  <si>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</si>
  <si>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</si>
  <si>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</si>
  <si>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</si>
  <si>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</si>
  <si>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</si>
  <si>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</si>
  <si>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</si>
  <si>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</si>
  <si>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</si>
  <si>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</si>
  <si>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</si>
  <si>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</si>
  <si>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</si>
  <si>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</si>
  <si>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</si>
  <si>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</si>
  <si>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</si>
  <si>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</si>
  <si>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</si>
  <si>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</si>
  <si>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</si>
  <si>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</si>
  <si>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</si>
  <si>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</si>
  <si>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</si>
  <si>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</si>
  <si>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</si>
  <si>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</si>
  <si>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</si>
  <si>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</si>
  <si>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</si>
  <si>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unused_DAP1_SCLK</t>
  </si>
  <si>
    <t>AUD</t>
  </si>
  <si>
    <t>DMIC1</t>
  </si>
  <si>
    <t>DMIC2</t>
  </si>
  <si>
    <t>DMIC3</t>
  </si>
  <si>
    <t>PE0</t>
  </si>
  <si>
    <t>PE1</t>
  </si>
  <si>
    <t>PE</t>
  </si>
  <si>
    <t>TOUCH</t>
  </si>
  <si>
    <t>CCLA</t>
  </si>
  <si>
    <t>I2C2</t>
  </si>
  <si>
    <t>IQC0</t>
  </si>
  <si>
    <t>IQC1</t>
  </si>
  <si>
    <t>QSPI</t>
  </si>
  <si>
    <t>Single-cell
Tablet usage
8 Lane DSI Panel</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</si>
  <si>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</si>
  <si>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</si>
  <si>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</si>
  <si>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</si>
  <si>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</si>
  <si>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</si>
  <si>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</si>
  <si>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</si>
  <si>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</si>
  <si>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</si>
  <si>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</si>
  <si>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</si>
  <si>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</si>
  <si>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</si>
  <si>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</si>
  <si>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</si>
  <si>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</si>
  <si>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</si>
  <si>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</si>
  <si>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</si>
  <si>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</si>
  <si>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</si>
  <si>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</si>
  <si>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</si>
  <si>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</si>
  <si>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</si>
  <si>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</si>
  <si>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</si>
  <si>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</si>
  <si>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</si>
  <si>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</si>
  <si>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</si>
  <si>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</si>
  <si>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</si>
  <si>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</si>
  <si>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</si>
  <si>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</si>
  <si>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</si>
  <si>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</si>
  <si>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</si>
  <si>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</si>
  <si>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</si>
  <si>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</si>
  <si>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</si>
  <si>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</si>
  <si>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</si>
  <si>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</si>
  <si>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</si>
  <si>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</si>
  <si>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</si>
  <si>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</si>
  <si>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</si>
  <si>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</si>
  <si>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</si>
  <si>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</si>
  <si>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</si>
  <si>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</si>
  <si>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</si>
  <si>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</si>
  <si>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</si>
  <si>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</si>
  <si>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</si>
  <si>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</si>
  <si>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</si>
  <si>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</si>
  <si>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</si>
  <si>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</si>
  <si>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</si>
  <si>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</si>
  <si>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</si>
  <si>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</si>
  <si>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</si>
  <si>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</si>
  <si>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</si>
  <si>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</si>
  <si>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</si>
  <si>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</si>
  <si>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</si>
  <si>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</si>
  <si>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</si>
  <si>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</si>
  <si>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</si>
  <si>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</si>
  <si>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</si>
  <si>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</si>
  <si>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</si>
  <si>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</si>
  <si>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</si>
  <si>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</si>
  <si>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</si>
  <si>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</si>
  <si>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</si>
  <si>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</si>
  <si>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</si>
  <si>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</si>
  <si>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</si>
  <si>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</si>
  <si>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</si>
  <si>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</si>
  <si>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</si>
  <si>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</si>
  <si>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</si>
  <si>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</si>
  <si>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</si>
  <si>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</si>
  <si>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</si>
  <si>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</si>
  <si>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</si>
  <si>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</si>
  <si>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</si>
  <si>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</si>
  <si>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</si>
  <si>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</si>
  <si>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</si>
  <si>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</si>
  <si>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</si>
  <si>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</si>
  <si>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</si>
  <si>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</si>
  <si>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</si>
  <si>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</si>
  <si>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</si>
  <si>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</si>
  <si>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</si>
  <si>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</si>
  <si>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</si>
  <si>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</si>
  <si>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</si>
  <si>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</si>
  <si>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</si>
  <si>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</si>
  <si>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</si>
  <si>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</si>
  <si>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</si>
  <si>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</si>
  <si>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</si>
  <si>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</si>
  <si>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</si>
  <si>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</si>
  <si>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</si>
  <si>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</si>
  <si>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</si>
  <si>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</si>
  <si>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</si>
  <si>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</si>
  <si>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</si>
  <si>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</si>
  <si>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</si>
  <si>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</si>
  <si>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</si>
  <si>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</si>
  <si>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</si>
  <si>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</si>
  <si>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</si>
  <si>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</si>
  <si>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</si>
  <si>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QSPI_COMP</t>
  </si>
  <si>
    <t>GPIO_WAN1</t>
  </si>
  <si>
    <t>GPIO_WAN2</t>
  </si>
  <si>
    <t>GPIO_WAN3</t>
  </si>
  <si>
    <t>GPIO_WAN4</t>
  </si>
  <si>
    <t>GPIO_AUD0</t>
  </si>
  <si>
    <t>GPIO_AUD1</t>
  </si>
  <si>
    <t>GPIO_AUD2</t>
  </si>
  <si>
    <t>GPIO_AUD3</t>
  </si>
  <si>
    <t>DMIC4_CLK</t>
  </si>
  <si>
    <t>DMIC4_DAT</t>
  </si>
  <si>
    <t>DMIC_HV</t>
  </si>
  <si>
    <t>GPIO_PQ0</t>
  </si>
  <si>
    <t>GPIO_PQ1</t>
  </si>
  <si>
    <t>GPIO_PQ2</t>
  </si>
  <si>
    <t>GPIO_PQ3</t>
  </si>
  <si>
    <t>GPIO_PQ4</t>
  </si>
  <si>
    <t>GPIO_PQ5</t>
  </si>
  <si>
    <t>GPIO_PQ6</t>
  </si>
  <si>
    <t>GPIO_PQ7</t>
  </si>
  <si>
    <t>EXTPERIPH1_CLK</t>
  </si>
  <si>
    <t>EXTPERIPH2_CLK</t>
  </si>
  <si>
    <t>GPIO_CAM1</t>
  </si>
  <si>
    <t>GPIO_CAM2</t>
  </si>
  <si>
    <t>GPIO_CAM3</t>
  </si>
  <si>
    <t>GPIO_CAM4</t>
  </si>
  <si>
    <t>GPIO_CAM5</t>
  </si>
  <si>
    <t>GPIO_CAM6</t>
  </si>
  <si>
    <t>GPIO_CAM7</t>
  </si>
  <si>
    <t>PMU_INT_N</t>
  </si>
  <si>
    <t>SAFE_STATE</t>
  </si>
  <si>
    <t>VCOMP_ALERT</t>
  </si>
  <si>
    <t>BATT_OC</t>
  </si>
  <si>
    <t>GPIO_SW1</t>
  </si>
  <si>
    <t>GPIO_SW2</t>
  </si>
  <si>
    <t>GPIO_SW3</t>
  </si>
  <si>
    <t>GPIO_SW4</t>
  </si>
  <si>
    <t>GPIO_DIS0</t>
  </si>
  <si>
    <t>GPIO_DIS1</t>
  </si>
  <si>
    <t>GPIO_DIS2</t>
  </si>
  <si>
    <t>GPIO_DIS3</t>
  </si>
  <si>
    <t>GPIO_DIS4</t>
  </si>
  <si>
    <t>GPIO_DIS5</t>
  </si>
  <si>
    <t>AO</t>
  </si>
  <si>
    <t>GEN8_I2C_SCL</t>
  </si>
  <si>
    <t>GEN8_I2C_SDA</t>
  </si>
  <si>
    <t>UART7_TX</t>
  </si>
  <si>
    <t>UART7_RX</t>
  </si>
  <si>
    <t>GPIO_SEN0</t>
  </si>
  <si>
    <t>GPIO_SEN1</t>
  </si>
  <si>
    <t>GPIO_SEN2</t>
  </si>
  <si>
    <t>GPIO_SEN3</t>
  </si>
  <si>
    <t>GPIO_SEN4</t>
  </si>
  <si>
    <t>GPIO_SEN5</t>
  </si>
  <si>
    <t>GPIO_SEN6</t>
  </si>
  <si>
    <t>GPIO_SEN7</t>
  </si>
  <si>
    <t>GPIO_SEN8</t>
  </si>
  <si>
    <t>GPIO_SEN9</t>
  </si>
  <si>
    <t>AO_HV</t>
  </si>
  <si>
    <t>CAN1_DOUT</t>
  </si>
  <si>
    <t>CAN1_DIN</t>
  </si>
  <si>
    <t>CAN0_DOUT</t>
  </si>
  <si>
    <t>CAN0_DIN</t>
  </si>
  <si>
    <t>CAN_GPIO0</t>
  </si>
  <si>
    <t>CAN_GPIO1</t>
  </si>
  <si>
    <t>CAN_GPIO2</t>
  </si>
  <si>
    <t>CAN_GPIO3</t>
  </si>
  <si>
    <t>CAN_GPIO4</t>
  </si>
  <si>
    <t>CAN_GPIO5</t>
  </si>
  <si>
    <t>CAN_GPIO6</t>
  </si>
  <si>
    <t>CAN_GPIO7</t>
  </si>
  <si>
    <t>UART5_TX</t>
  </si>
  <si>
    <t>UART5_RX</t>
  </si>
  <si>
    <t>UART5_RTS</t>
  </si>
  <si>
    <t>UART5_CTS</t>
  </si>
  <si>
    <t>GPIO_MDM1</t>
  </si>
  <si>
    <t>GPIO_MDM2</t>
  </si>
  <si>
    <t>GPIO_MDM3</t>
  </si>
  <si>
    <t>GPIO_MDM4</t>
  </si>
  <si>
    <t>GPIO_MDM5</t>
  </si>
  <si>
    <t>GPIO_MDM6</t>
  </si>
  <si>
    <t>GPIO_MDM7</t>
  </si>
  <si>
    <t>GEN7_I2C_SCL</t>
  </si>
  <si>
    <t>GEN7_I2C_SDA</t>
  </si>
  <si>
    <t>GEN9_I2C_SCL</t>
  </si>
  <si>
    <t>GEN9_I2C_SDA</t>
  </si>
  <si>
    <t>BCPU_PWR_REQ</t>
  </si>
  <si>
    <t>MCPU_PWR_REQ</t>
  </si>
  <si>
    <t>GPU_PWR_REQ</t>
  </si>
  <si>
    <t>GP_PWM6</t>
  </si>
  <si>
    <t>GP_PWM7</t>
  </si>
  <si>
    <t>GPIO_WAN5</t>
  </si>
  <si>
    <t>GPIO_WAN6</t>
  </si>
  <si>
    <t>GPIO_WAN7</t>
  </si>
  <si>
    <t>GPIO_WAN8</t>
  </si>
  <si>
    <t>NVJTAG_SEL</t>
  </si>
  <si>
    <t>PEX_L2_RST_N</t>
  </si>
  <si>
    <t>PEX_L2_CLKREQ_N</t>
  </si>
  <si>
    <t>DP_AUX_CH0_HPD</t>
  </si>
  <si>
    <t>DP_AUX_CH1_HPD</t>
  </si>
  <si>
    <t>GPIO_EDP0</t>
  </si>
  <si>
    <t>GPIO_EDP1</t>
  </si>
  <si>
    <t>GPIO_EDP2</t>
  </si>
  <si>
    <t>GPIO_EDP3</t>
  </si>
  <si>
    <t>DSI_C_CLK_N</t>
  </si>
  <si>
    <t>DSI_C_CLK_P</t>
  </si>
  <si>
    <t>DSI_C_D0_N</t>
  </si>
  <si>
    <t>DSI_C_D0_P</t>
  </si>
  <si>
    <t>DSI_C_D1_N</t>
  </si>
  <si>
    <t>DSI_C_D1_P</t>
  </si>
  <si>
    <t>DSI_D_CLK_N</t>
  </si>
  <si>
    <t>DSI_D_CLK_P</t>
  </si>
  <si>
    <t>DSI_D_D0_N</t>
  </si>
  <si>
    <t>DSI_D_D0_P</t>
  </si>
  <si>
    <t>DSI_D_D1_N</t>
  </si>
  <si>
    <t>DSI_D_D1_P</t>
  </si>
  <si>
    <t>HDMI_DP0</t>
  </si>
  <si>
    <t>HDMI_DP0_TXDP0</t>
  </si>
  <si>
    <t>HDMI_DP0_TXDN0</t>
  </si>
  <si>
    <t>HDMI_DP0_TXDP1</t>
  </si>
  <si>
    <t>HDMI_DP0_TXDN1</t>
  </si>
  <si>
    <t>HDMI_DP0_TXDP2</t>
  </si>
  <si>
    <t>HDMI_DP0_TXDN2</t>
  </si>
  <si>
    <t>HDMI_DP0_TXDP3</t>
  </si>
  <si>
    <t>HDMI_DP0_TXDN3</t>
  </si>
  <si>
    <t>HDMI_DP0_RSET</t>
  </si>
  <si>
    <t>HDMI_DP0_VCM</t>
  </si>
  <si>
    <t>HDMI_DP1</t>
  </si>
  <si>
    <t>HDMI_DP1_TXDP0</t>
  </si>
  <si>
    <t>HDMI_DP1_TXDN0</t>
  </si>
  <si>
    <t>HDMI_DP1_TXDP1</t>
  </si>
  <si>
    <t>HDMI_DP1_TXDN1</t>
  </si>
  <si>
    <t>HDMI_DP1_TXDP2</t>
  </si>
  <si>
    <t>HDMI_DP1_TXDN2</t>
  </si>
  <si>
    <t>HDMI_DP1_TXDP3</t>
  </si>
  <si>
    <t>HDMI_DP1_TXDN3</t>
  </si>
  <si>
    <t>HDMI_DP1_RSET</t>
  </si>
  <si>
    <t>HDMI_DP1_VCM</t>
  </si>
  <si>
    <t>HSIC0_STROBE</t>
  </si>
  <si>
    <t>UFS</t>
  </si>
  <si>
    <t>UFS0_REF_CLK</t>
  </si>
  <si>
    <t>UFS0_RST</t>
  </si>
  <si>
    <t>UPHY</t>
  </si>
  <si>
    <t>PEX_REFCLK0P</t>
  </si>
  <si>
    <t>PEX_REFCLK0N</t>
  </si>
  <si>
    <t>PEX_REFCLK1P</t>
  </si>
  <si>
    <t>PEX_REFCLK1N</t>
  </si>
  <si>
    <t>PLL0_TERMP</t>
  </si>
  <si>
    <t>PLL1_TERMP</t>
  </si>
  <si>
    <t>PEX_CLK</t>
  </si>
  <si>
    <t>HSIC0_DAT0</t>
  </si>
  <si>
    <t>unused_DDR_XM1_B0D0</t>
  </si>
  <si>
    <t>unused_DDR_XM1_B0D1</t>
  </si>
  <si>
    <t>unused_DDR_XM1_B0D2</t>
  </si>
  <si>
    <t>unused_DDR_XM1_B0D3</t>
  </si>
  <si>
    <t>unused_DDR_XM1_B0D4</t>
  </si>
  <si>
    <t>unused_DDR_XM1_B0D5</t>
  </si>
  <si>
    <t>unused_DDR_XM1_B0D6</t>
  </si>
  <si>
    <t>unused_DDR_XM1_B0D7</t>
  </si>
  <si>
    <t>unused_DDR_XM1_B0D8</t>
  </si>
  <si>
    <t>unused_DDR_XM1_B0DIFFN</t>
  </si>
  <si>
    <t>unused_DDR_XM1_B0DIFFP</t>
  </si>
  <si>
    <t>unused_DDR_XM1_B0C</t>
  </si>
  <si>
    <t>unused_DDR_XM1_B1D0</t>
  </si>
  <si>
    <t>unused_DDR_XM1_B1D1</t>
  </si>
  <si>
    <t>unused_DDR_XM1_B1D2</t>
  </si>
  <si>
    <t>unused_DDR_XM1_B1D3</t>
  </si>
  <si>
    <t>unused_DDR_XM1_B1D4</t>
  </si>
  <si>
    <t>unused_DDR_XM1_B1D5</t>
  </si>
  <si>
    <t>unused_DDR_XM1_B1D6</t>
  </si>
  <si>
    <t>unused_DDR_XM1_B1D7</t>
  </si>
  <si>
    <t>unused_DDR_XM1_B1D8</t>
  </si>
  <si>
    <t>unused_DDR_XM1_B1DIFFN</t>
  </si>
  <si>
    <t>unused_DDR_XM1_B1DIFFP</t>
  </si>
  <si>
    <t>unused_DDR_XM1_B1C</t>
  </si>
  <si>
    <t>unused_DDR_XM1_B2D0</t>
  </si>
  <si>
    <t>unused_DDR_XM1_B2D1</t>
  </si>
  <si>
    <t>unused_DDR_XM1_B2D2</t>
  </si>
  <si>
    <t>unused_DDR_XM1_B2D3</t>
  </si>
  <si>
    <t>unused_DDR_XM1_B2D4</t>
  </si>
  <si>
    <t>unused_DDR_XM1_B2D5</t>
  </si>
  <si>
    <t>unused_DDR_XM1_B2D6</t>
  </si>
  <si>
    <t>unused_DDR_XM1_B2D7</t>
  </si>
  <si>
    <t>unused_DDR_XM1_B2D8</t>
  </si>
  <si>
    <t>unused_DDR_XM1_B2DIFFN</t>
  </si>
  <si>
    <t>unused_DDR_XM1_B2DIFFP</t>
  </si>
  <si>
    <t>unused_DDR_XM1_B2C</t>
  </si>
  <si>
    <t>unused_DDR_XM1_B3D0</t>
  </si>
  <si>
    <t>unused_DDR_XM1_B3D1</t>
  </si>
  <si>
    <t>unused_DDR_XM1_B3D2</t>
  </si>
  <si>
    <t>unused_DDR_XM1_B3D3</t>
  </si>
  <si>
    <t>unused_DDR_XM1_B3D4</t>
  </si>
  <si>
    <t>unused_DDR_XM1_B3D5</t>
  </si>
  <si>
    <t>unused_DDR_XM1_B3D6</t>
  </si>
  <si>
    <t>unused_DDR_XM1_B3D7</t>
  </si>
  <si>
    <t>unused_DDR_XM1_B3D8</t>
  </si>
  <si>
    <t>unused_DDR_XM1_B3DIFFN</t>
  </si>
  <si>
    <t>unused_DDR_XM1_B3DIFFP</t>
  </si>
  <si>
    <t>unused_DDR_XM1_B3C</t>
  </si>
  <si>
    <t>unused_DDR_XM1_B4D0</t>
  </si>
  <si>
    <t>unused_DDR_XM1_B4D1</t>
  </si>
  <si>
    <t>unused_DDR_XM1_B4D2</t>
  </si>
  <si>
    <t>unused_DDR_XM1_B4D3</t>
  </si>
  <si>
    <t>unused_DDR_XM1_B4D4</t>
  </si>
  <si>
    <t>unused_DDR_XM1_B4D5</t>
  </si>
  <si>
    <t>unused_DDR_XM1_B4D6</t>
  </si>
  <si>
    <t>unused_DDR_XM1_B4D7</t>
  </si>
  <si>
    <t>unused_DDR_XM1_B4D8</t>
  </si>
  <si>
    <t>unused_DDR_XM1_B4DIFFN</t>
  </si>
  <si>
    <t>unused_DDR_XM1_B4DIFFP</t>
  </si>
  <si>
    <t>unused_DDR_XM1_B4C</t>
  </si>
  <si>
    <t>unused_DDR_XM1_B5D0</t>
  </si>
  <si>
    <t>unused_DDR_XM1_B5D1</t>
  </si>
  <si>
    <t>unused_DDR_XM1_B5D2</t>
  </si>
  <si>
    <t>unused_DDR_XM1_B5D3</t>
  </si>
  <si>
    <t>unused_DDR_XM1_B5D4</t>
  </si>
  <si>
    <t>unused_DDR_XM1_B5D5</t>
  </si>
  <si>
    <t>unused_DDR_XM1_B5D6</t>
  </si>
  <si>
    <t>unused_DDR_XM1_B5D7</t>
  </si>
  <si>
    <t>unused_DDR_XM1_B5D8</t>
  </si>
  <si>
    <t>unused_DDR_XM1_B5DIFFN</t>
  </si>
  <si>
    <t>unused_DDR_XM1_B5DIFFP</t>
  </si>
  <si>
    <t>unused_DDR_XM1_B5C</t>
  </si>
  <si>
    <t>unused_DDR_XM1_B6D0</t>
  </si>
  <si>
    <t>unused_DDR_XM1_B6D1</t>
  </si>
  <si>
    <t>unused_DDR_XM1_B6D2</t>
  </si>
  <si>
    <t>unused_DDR_XM1_B6D3</t>
  </si>
  <si>
    <t>unused_DDR_XM1_B6D4</t>
  </si>
  <si>
    <t>unused_DDR_XM1_B6D5</t>
  </si>
  <si>
    <t>unused_DDR_XM1_B6D6</t>
  </si>
  <si>
    <t>unused_DDR_XM1_B6D7</t>
  </si>
  <si>
    <t>unused_DDR_XM1_B6D8</t>
  </si>
  <si>
    <t>unused_DDR_XM1_B6DIFFN</t>
  </si>
  <si>
    <t>unused_DDR_XM1_B6DIFFP</t>
  </si>
  <si>
    <t>unused_DDR_XM1_B6C</t>
  </si>
  <si>
    <t>unused_DDR_XM1_B7D0</t>
  </si>
  <si>
    <t>unused_DDR_XM1_B7D1</t>
  </si>
  <si>
    <t>unused_DDR_XM1_B7D2</t>
  </si>
  <si>
    <t>unused_DDR_XM1_B7D3</t>
  </si>
  <si>
    <t>unused_DDR_XM1_B7D4</t>
  </si>
  <si>
    <t>unused_DDR_XM1_B7D5</t>
  </si>
  <si>
    <t>unused_DDR_XM1_B7D6</t>
  </si>
  <si>
    <t>unused_DDR_XM1_B7D7</t>
  </si>
  <si>
    <t>unused_DDR_XM1_B7D8</t>
  </si>
  <si>
    <t>unused_DDR_XM1_B7DIFFN</t>
  </si>
  <si>
    <t>unused_DDR_XM1_B7DIFFP</t>
  </si>
  <si>
    <t>unused_DDR_XM1_B7C</t>
  </si>
  <si>
    <t>unused_DDR_XM1_B8D0</t>
  </si>
  <si>
    <t>unused_DDR_XM1_B8D1</t>
  </si>
  <si>
    <t>unused_DDR_XM1_B8D2</t>
  </si>
  <si>
    <t>unused_DDR_XM1_B8D3</t>
  </si>
  <si>
    <t>unused_DDR_XM1_B8D4</t>
  </si>
  <si>
    <t>unused_DDR_XM1_B8D5</t>
  </si>
  <si>
    <t>unused_DDR_XM1_B8D6</t>
  </si>
  <si>
    <t>unused_DDR_XM1_B8D7</t>
  </si>
  <si>
    <t>unused_DDR_XM1_B8D8</t>
  </si>
  <si>
    <t>unused_DDR_XM1_B8DIFFN</t>
  </si>
  <si>
    <t>unused_DDR_XM1_B8DIFFP</t>
  </si>
  <si>
    <t>unused_DDR_XM1_B8C</t>
  </si>
  <si>
    <t>unused_DDR_XM1_B9D0</t>
  </si>
  <si>
    <t>unused_DDR_XM1_B9D1</t>
  </si>
  <si>
    <t>unused_DDR_XM1_B9D2</t>
  </si>
  <si>
    <t>unused_DDR_XM1_B9D3</t>
  </si>
  <si>
    <t>unused_DDR_XM1_B9D4</t>
  </si>
  <si>
    <t>unused_DDR_XM1_B9D5</t>
  </si>
  <si>
    <t>unused_DDR_XM1_B9D6</t>
  </si>
  <si>
    <t>unused_DDR_XM1_B9D7</t>
  </si>
  <si>
    <t>unused_DDR_XM1_B9D8</t>
  </si>
  <si>
    <t>unused_DDR_XM1_B9DIFFN</t>
  </si>
  <si>
    <t>unused_DDR_XM1_B9DIFFP</t>
  </si>
  <si>
    <t>unused_DDR_XM1_B9C</t>
  </si>
  <si>
    <t>unused_DDR_XM1_B10D0</t>
  </si>
  <si>
    <t>unused_DDR_XM1_B10D1</t>
  </si>
  <si>
    <t>unused_DDR_XM1_B10D2</t>
  </si>
  <si>
    <t>unused_DDR_XM1_B10D3</t>
  </si>
  <si>
    <t>unused_DDR_XM1_B10D4</t>
  </si>
  <si>
    <t>unused_DDR_XM1_B10D5</t>
  </si>
  <si>
    <t>unused_DDR_XM1_B10D6</t>
  </si>
  <si>
    <t>unused_DDR_XM1_B10D7</t>
  </si>
  <si>
    <t>unused_DDR_XM1_B10D8</t>
  </si>
  <si>
    <t>unused_DDR_XM1_B10DIFFN</t>
  </si>
  <si>
    <t>unused_DDR_XM1_B10DIFFP</t>
  </si>
  <si>
    <t>unused_DDR_XM1_B10C</t>
  </si>
  <si>
    <t>unused_DDR_XM1_B11D0</t>
  </si>
  <si>
    <t>unused_DDR_XM1_B11D1</t>
  </si>
  <si>
    <t>unused_DDR_XM1_B11D2</t>
  </si>
  <si>
    <t>unused_DDR_XM1_B11D3</t>
  </si>
  <si>
    <t>unused_DDR_XM1_B11D4</t>
  </si>
  <si>
    <t>unused_DDR_XM1_B11D5</t>
  </si>
  <si>
    <t>unused_DDR_XM1_B11D6</t>
  </si>
  <si>
    <t>unused_DDR_XM1_B11D7</t>
  </si>
  <si>
    <t>unused_DDR_XM1_B11D8</t>
  </si>
  <si>
    <t>unused_DDR_XM1_B11DIFFN</t>
  </si>
  <si>
    <t>unused_DDR_XM1_B11DIFFP</t>
  </si>
  <si>
    <t>unused_GPIO_WAN1</t>
  </si>
  <si>
    <t>unused_GPIO_WAN2</t>
  </si>
  <si>
    <t>unused_GPIO_WAN3</t>
  </si>
  <si>
    <t>unused_GPIO_WAN4</t>
  </si>
  <si>
    <t>unused_GPIO_AUD0</t>
  </si>
  <si>
    <t>unused_GPIO_AUD1</t>
  </si>
  <si>
    <t>unused_GPIO_AUD2</t>
  </si>
  <si>
    <t>unused_GPIO_AUD3</t>
  </si>
  <si>
    <t>unused_DMIC4_CLK</t>
  </si>
  <si>
    <t>unused_DMIC4_DAT</t>
  </si>
  <si>
    <t>unused_GPIO_PQ0</t>
  </si>
  <si>
    <t>unused_GPIO_PQ1</t>
  </si>
  <si>
    <t>unused_GPIO_PQ2</t>
  </si>
  <si>
    <t>unused_GPIO_PQ3</t>
  </si>
  <si>
    <t>unused_GPIO_PQ4</t>
  </si>
  <si>
    <t>unused_GPIO_PQ5</t>
  </si>
  <si>
    <t>unused_GPIO_PQ6</t>
  </si>
  <si>
    <t>unused_GPIO_PQ7</t>
  </si>
  <si>
    <t>unused_EXTPERIPH1_CLK</t>
  </si>
  <si>
    <t>unused_EXTPERIPH2_CLK</t>
  </si>
  <si>
    <t>unused_GPIO_CAM1</t>
  </si>
  <si>
    <t>unused_GPIO_CAM2</t>
  </si>
  <si>
    <t>unused_GPIO_CAM3</t>
  </si>
  <si>
    <t>unused_GPIO_CAM4</t>
  </si>
  <si>
    <t>unused_GPIO_CAM5</t>
  </si>
  <si>
    <t>unused_GPIO_CAM6</t>
  </si>
  <si>
    <t>unused_GPIO_CAM7</t>
  </si>
  <si>
    <t>unused_PEX_L2_RST_N</t>
  </si>
  <si>
    <t>unused_PEX_L2_CLKREQ_N</t>
  </si>
  <si>
    <t>unused_GPIO_SW1</t>
  </si>
  <si>
    <t>unused_GPIO_SW2</t>
  </si>
  <si>
    <t>unused_GPIO_SW3</t>
  </si>
  <si>
    <t>unused_GPIO_SW4</t>
  </si>
  <si>
    <t>unused_GPIO_DIS0</t>
  </si>
  <si>
    <t>unused_GPIO_DIS1</t>
  </si>
  <si>
    <t>unused_GPIO_DIS2</t>
  </si>
  <si>
    <t>unused_GPIO_DIS3</t>
  </si>
  <si>
    <t>unused_GPIO_DIS4</t>
  </si>
  <si>
    <t>unused_GPIO_DIS5</t>
  </si>
  <si>
    <t>unused_POWER_ON</t>
  </si>
  <si>
    <t>unused_SAFE_STATE</t>
  </si>
  <si>
    <t>unused_VCOMP_ALERT</t>
  </si>
  <si>
    <t>unused_BATT_OC</t>
  </si>
  <si>
    <t>unused_SOC_PWR_REQ</t>
  </si>
  <si>
    <t>unused_PMU_INT_N</t>
  </si>
  <si>
    <t>unused_UART5_TX</t>
  </si>
  <si>
    <t>unused_UART5_RX</t>
  </si>
  <si>
    <t>unused_UART5_RTS</t>
  </si>
  <si>
    <t>unused_UART5_CTS</t>
  </si>
  <si>
    <t>unused_GPIO_MDM1</t>
  </si>
  <si>
    <t>unused_GPIO_MDM2</t>
  </si>
  <si>
    <t>unused_GPIO_MDM3</t>
  </si>
  <si>
    <t>unused_GPIO_MDM4</t>
  </si>
  <si>
    <t>unused_GPIO_MDM5</t>
  </si>
  <si>
    <t>unused_GPIO_MDM6</t>
  </si>
  <si>
    <t>unused_GPIO_MDM7</t>
  </si>
  <si>
    <t>unused_GEN7_I2C_SCL</t>
  </si>
  <si>
    <t>unused_GEN7_I2C_SDA</t>
  </si>
  <si>
    <t>unused_GEN9_I2C_SCL</t>
  </si>
  <si>
    <t>unused_GEN9_I2C_SDA</t>
  </si>
  <si>
    <t>unused_BCPU_PWR_REQ</t>
  </si>
  <si>
    <t>unused_MCPU_PWR_REQ</t>
  </si>
  <si>
    <t>unused_GPU_PWR_REQ</t>
  </si>
  <si>
    <t>unused_GP_PWM6</t>
  </si>
  <si>
    <t>unused_GP_PWM7</t>
  </si>
  <si>
    <t>unused_GPIO_WAN5</t>
  </si>
  <si>
    <t>unused_GPIO_WAN6</t>
  </si>
  <si>
    <t>unused_GPIO_WAN7</t>
  </si>
  <si>
    <t>unused_GPIO_WAN8</t>
  </si>
  <si>
    <t>unused_NVJTAG_SEL</t>
  </si>
  <si>
    <t>unused_GEN8_I2C_SCL</t>
  </si>
  <si>
    <t>unused_GEN8_I2C_SDA</t>
  </si>
  <si>
    <t>unused_UART7_TX</t>
  </si>
  <si>
    <t>unused_UART7_RX</t>
  </si>
  <si>
    <t>unused_GPIO_SEN0</t>
  </si>
  <si>
    <t>unused_GPIO_SEN1</t>
  </si>
  <si>
    <t>unused_GPIO_SEN2</t>
  </si>
  <si>
    <t>unused_GPIO_SEN3</t>
  </si>
  <si>
    <t>unused_GPIO_SEN4</t>
  </si>
  <si>
    <t>unused_GPIO_SEN5</t>
  </si>
  <si>
    <t>unused_GPIO_SEN6</t>
  </si>
  <si>
    <t>unused_GPIO_SEN7</t>
  </si>
  <si>
    <t>unused_GPIO_SEN8</t>
  </si>
  <si>
    <t>unused_GPIO_SEN9</t>
  </si>
  <si>
    <t>unused_CAN1_DOUT</t>
  </si>
  <si>
    <t>unused_CAN1_DIN</t>
  </si>
  <si>
    <t>unused_CAN0_DOUT</t>
  </si>
  <si>
    <t>unused_CAN0_DIN</t>
  </si>
  <si>
    <t>unused_CAN_GPIO0</t>
  </si>
  <si>
    <t>unused_CAN_GPIO1</t>
  </si>
  <si>
    <t>unused_CAN_GPIO2</t>
  </si>
  <si>
    <t>unused_CAN_GPIO3</t>
  </si>
  <si>
    <t>unused_CAN_GPIO4</t>
  </si>
  <si>
    <t>unused_CAN_GPIO5</t>
  </si>
  <si>
    <t>unused_CAN_GPIO6</t>
  </si>
  <si>
    <t>unused_CAN_GPIO7</t>
  </si>
  <si>
    <t>unused_QSPI_COMP</t>
  </si>
  <si>
    <t>unused_DP_AUX_CH0_HPD</t>
  </si>
  <si>
    <t>unused_DP_AUX_CH1_HPD</t>
  </si>
  <si>
    <t>unused_GPIO_EDP0</t>
  </si>
  <si>
    <t>unused_GPIO_EDP1</t>
  </si>
  <si>
    <t>unused_GPIO_EDP2</t>
  </si>
  <si>
    <t>unused_GPIO_EDP3</t>
  </si>
  <si>
    <t>unused_DSI_C_CLK_N</t>
  </si>
  <si>
    <t>unused_DSI_C_CLK_P</t>
  </si>
  <si>
    <t>unused_DSI_C_D0_N</t>
  </si>
  <si>
    <t>unused_DSI_C_D0_P</t>
  </si>
  <si>
    <t>unused_DSI_C_D1_N</t>
  </si>
  <si>
    <t>unused_DSI_C_D1_P</t>
  </si>
  <si>
    <t>unused_DSI_D_CLK_N</t>
  </si>
  <si>
    <t>unused_DSI_D_CLK_P</t>
  </si>
  <si>
    <t>unused_DSI_D_D0_N</t>
  </si>
  <si>
    <t>unused_DSI_D_D0_P</t>
  </si>
  <si>
    <t>unused_DSI_D_D1_N</t>
  </si>
  <si>
    <t>unused_DSI_D_D1_P</t>
  </si>
  <si>
    <t>unused_CSI_DSI_RDN</t>
  </si>
  <si>
    <t>unused_HDMI_DP0_TXDP0</t>
  </si>
  <si>
    <t>unused_HDMI_DP0_TXDN0</t>
  </si>
  <si>
    <t>unused_HDMI_DP0_TXDP1</t>
  </si>
  <si>
    <t>unused_HDMI_DP0_TXDN1</t>
  </si>
  <si>
    <t>unused_HDMI_DP0_TXDP2</t>
  </si>
  <si>
    <t>unused_HDMI_DP0_TXDN2</t>
  </si>
  <si>
    <t>unused_HDMI_DP0_TXDP3</t>
  </si>
  <si>
    <t>unused_HDMI_DP0_TXDN3</t>
  </si>
  <si>
    <t>unused_HDMI_DP0_RSET</t>
  </si>
  <si>
    <t>unused_HDMI_DP0_VCM</t>
  </si>
  <si>
    <t>unused_HDMI_DP1_TXDP0</t>
  </si>
  <si>
    <t>unused_HDMI_DP1_TXDN0</t>
  </si>
  <si>
    <t>unused_HDMI_DP1_TXDP1</t>
  </si>
  <si>
    <t>unused_HDMI_DP1_TXDN1</t>
  </si>
  <si>
    <t>unused_HDMI_DP1_TXDP2</t>
  </si>
  <si>
    <t>unused_HDMI_DP1_TXDN2</t>
  </si>
  <si>
    <t>unused_HDMI_DP1_TXDP3</t>
  </si>
  <si>
    <t>unused_HDMI_DP1_TXDN3</t>
  </si>
  <si>
    <t>unused_HDMI_DP1_RSET</t>
  </si>
  <si>
    <t>unused_HDMI_DP1_VCM</t>
  </si>
  <si>
    <t>unused_HSIC0_STROBE</t>
  </si>
  <si>
    <t>unused_HSIC0_DAT0</t>
  </si>
  <si>
    <t>unused_PEX_REFCLK0N</t>
  </si>
  <si>
    <t>unused_PEX_REFCLK0P</t>
  </si>
  <si>
    <t>unused_PEX_REFCLK1N</t>
  </si>
  <si>
    <t>unused_PEX_REFCLK1P</t>
  </si>
  <si>
    <t>unused_PLL0_TERMP</t>
  </si>
  <si>
    <t>unused_PLL1_TERMP</t>
  </si>
  <si>
    <t>unused_UFS0_REF_CLK</t>
  </si>
  <si>
    <t>unused_UFS0_RST</t>
  </si>
  <si>
    <t>1.8V/3.3V</t>
  </si>
  <si>
    <t>AO_HV (3.3V Capable)</t>
  </si>
  <si>
    <t>DSPK1</t>
  </si>
  <si>
    <t>DMIC4</t>
  </si>
  <si>
    <t>DSPK0</t>
  </si>
  <si>
    <t>I2S4</t>
  </si>
  <si>
    <t>I2S6</t>
  </si>
  <si>
    <t>EXTPERIPH1</t>
  </si>
  <si>
    <t>EXTPERIPH2</t>
  </si>
  <si>
    <t>EXTPERIPH4</t>
  </si>
  <si>
    <t>PE2</t>
  </si>
  <si>
    <t>GP</t>
  </si>
  <si>
    <t>SCE</t>
  </si>
  <si>
    <t>DCC</t>
  </si>
  <si>
    <t>I2C5</t>
  </si>
  <si>
    <t>UARTE</t>
  </si>
  <si>
    <t>NV</t>
  </si>
  <si>
    <t>I2C7</t>
  </si>
  <si>
    <t>I2S5</t>
  </si>
  <si>
    <t>I2C9</t>
  </si>
  <si>
    <t>I2C8</t>
  </si>
  <si>
    <t>UARTG</t>
  </si>
  <si>
    <t>WDT</t>
  </si>
  <si>
    <t>CAN1</t>
  </si>
  <si>
    <t>CAN0</t>
  </si>
  <si>
    <t>DMIC5</t>
  </si>
  <si>
    <t>UARTF</t>
  </si>
  <si>
    <t>UFS0</t>
  </si>
  <si>
    <t>PEX_CLK3P</t>
  </si>
  <si>
    <t>PEX_CLK3N</t>
  </si>
  <si>
    <t>DCB</t>
  </si>
  <si>
    <t>DCA</t>
  </si>
  <si>
    <t>DP</t>
  </si>
  <si>
    <t>SDMMC1_HV (3.3V Capable)</t>
  </si>
  <si>
    <t>SDMMC3_HV (3.3V Capable)</t>
  </si>
  <si>
    <t>AUDIO_MCLK</t>
  </si>
  <si>
    <t>DSPK1_DAT</t>
  </si>
  <si>
    <t>DSPK1_CLK</t>
  </si>
  <si>
    <t>I2S3_SDATA_IN</t>
  </si>
  <si>
    <t>I2S3_LRCK</t>
  </si>
  <si>
    <t>I2S3_SCLK</t>
  </si>
  <si>
    <t>I2S3_SDATA_OUT</t>
  </si>
  <si>
    <t>I2S6_SCLK</t>
  </si>
  <si>
    <t>I2S6_SDATA_OUT</t>
  </si>
  <si>
    <t>I2S6_SDATA_IN</t>
  </si>
  <si>
    <t>I2S6_LRCK</t>
  </si>
  <si>
    <t>CAM0_MCLK</t>
  </si>
  <si>
    <t>CAM1_MCLK</t>
  </si>
  <si>
    <t>EXTPERIPH3_CLK</t>
  </si>
  <si>
    <t>SPI4_SCK</t>
  </si>
  <si>
    <t>SPI4_CS0</t>
  </si>
  <si>
    <t>PEX0_RST#</t>
  </si>
  <si>
    <t>PEX0_CLKREQ#</t>
  </si>
  <si>
    <t>PEX_WAKE#</t>
  </si>
  <si>
    <t>RESET_IN#</t>
  </si>
  <si>
    <t>POWER_BTN#</t>
  </si>
  <si>
    <t>FORCE_RECOV#</t>
  </si>
  <si>
    <t>SLEEP#</t>
  </si>
  <si>
    <t>USB0_VBUS_DET</t>
  </si>
  <si>
    <t>GPIO_EXP0_INT</t>
  </si>
  <si>
    <t>GPIO16/MDM_WAKE_AP</t>
  </si>
  <si>
    <t>BATLOW#</t>
  </si>
  <si>
    <t>GPIO_EXP1_INT</t>
  </si>
  <si>
    <t>I2C_GP3_CLK</t>
  </si>
  <si>
    <t>I2C_GP3_DAT</t>
  </si>
  <si>
    <t>JTAG_GP0</t>
  </si>
  <si>
    <t>JTAG_GP1</t>
  </si>
  <si>
    <t>FAN_PWM</t>
  </si>
  <si>
    <t>WDT_TIME_OUT#</t>
  </si>
  <si>
    <t>GPIO0/CAM0_PWR#</t>
  </si>
  <si>
    <t>GPIO2/CAM0_RST#</t>
  </si>
  <si>
    <t>GPIO3/CAM1_RST#</t>
  </si>
  <si>
    <t>CAM_VSYNC</t>
  </si>
  <si>
    <t>LCD_VDD_EN</t>
  </si>
  <si>
    <t>SDCARD_WP</t>
  </si>
  <si>
    <t>SDCARD_PWR_EN</t>
  </si>
  <si>
    <t>PMICINTR</t>
  </si>
  <si>
    <t>Device Tree Pin Name</t>
  </si>
  <si>
    <t/>
  </si>
  <si>
    <t>Voltage Configuration</t>
  </si>
  <si>
    <t>Voltage Rail</t>
  </si>
  <si>
    <t>Voltage Setting</t>
  </si>
  <si>
    <t>SDMMC1_HV</t>
  </si>
  <si>
    <t>SDMMC3_HV</t>
  </si>
  <si>
    <t>100k</t>
  </si>
  <si>
    <t>DDR_XM0_RESET</t>
  </si>
  <si>
    <t>DDR_XM1_RESET</t>
  </si>
  <si>
    <t>PE1_CLKREQ_L</t>
  </si>
  <si>
    <t>SOC_THERM_OC1</t>
  </si>
  <si>
    <t>UA3_TXD</t>
  </si>
  <si>
    <t>UA3_RXD</t>
  </si>
  <si>
    <t>GPIO3_PT.02</t>
  </si>
  <si>
    <t>GPIO3_PT.03</t>
  </si>
  <si>
    <t>PEX2_RX0P</t>
  </si>
  <si>
    <t>PEX2_RX0N</t>
  </si>
  <si>
    <t>PEX2_TX0P</t>
  </si>
  <si>
    <t>PEX2_TX0N</t>
  </si>
  <si>
    <t>USB_SS1_RXN</t>
  </si>
  <si>
    <t>USB_SS1_RXP</t>
  </si>
  <si>
    <t>USB_SS1_TXN</t>
  </si>
  <si>
    <t>USB_SS1_TXP</t>
  </si>
  <si>
    <t>USB_SS2_RXN</t>
  </si>
  <si>
    <t>USB_SS2_RXP</t>
  </si>
  <si>
    <t>USB_SS2_TXN</t>
  </si>
  <si>
    <t>USB_SS2_TXP</t>
  </si>
  <si>
    <t>PEX1_RX0P</t>
  </si>
  <si>
    <t>PEX1_RX0N</t>
  </si>
  <si>
    <t>PEX1_TX0P</t>
  </si>
  <si>
    <t>PEX1_TX0N</t>
  </si>
  <si>
    <t>PEX0_RX0P</t>
  </si>
  <si>
    <t>PEX0_RX0N</t>
  </si>
  <si>
    <t>PEX0_TX0P</t>
  </si>
  <si>
    <t>PEX0_TX0N</t>
  </si>
  <si>
    <t>SATA_L0_RXN</t>
  </si>
  <si>
    <t>SATA_L0_RXP</t>
  </si>
  <si>
    <t>SATA_L0_TXN</t>
  </si>
  <si>
    <t>SATA_L0_TXP</t>
  </si>
  <si>
    <t>I2C4_SCL</t>
  </si>
  <si>
    <t>I2C4_SDA</t>
  </si>
  <si>
    <t>Pad Category</t>
  </si>
  <si>
    <t>FAN_TACH</t>
  </si>
  <si>
    <t>Pad Info</t>
  </si>
  <si>
    <t>Pull Strength</t>
  </si>
  <si>
    <t>LPDR Enable</t>
  </si>
  <si>
    <t>EQOS LPBK Enable</t>
  </si>
  <si>
    <t>N/A</t>
  </si>
  <si>
    <t>UD3_TXD</t>
  </si>
  <si>
    <t>UD3_RXD</t>
  </si>
  <si>
    <t>UD3_RTS</t>
  </si>
  <si>
    <t>UD3_CTS</t>
  </si>
  <si>
    <t>GPIO3_PB.04</t>
  </si>
  <si>
    <t>GPIO3_PB.05</t>
  </si>
  <si>
    <t>GPIO3_PB.06</t>
  </si>
  <si>
    <t>I2S2_SCLK</t>
  </si>
  <si>
    <t>I2S2_SDATA_OUT</t>
  </si>
  <si>
    <t>I2S2_SDATA_IN</t>
  </si>
  <si>
    <t>I2S2_LRCK</t>
  </si>
  <si>
    <t>I2C1_CLK</t>
  </si>
  <si>
    <t>I2C1_DAT</t>
  </si>
  <si>
    <t>I2S1_SCLK</t>
  </si>
  <si>
    <t>I2S1_SDATA_OUT</t>
  </si>
  <si>
    <t>I2S1_SDATA_IN</t>
  </si>
  <si>
    <t>I2S1_LRCK</t>
  </si>
  <si>
    <t>GPIO3_PJ.05</t>
  </si>
  <si>
    <t>GPIO3_PJ.06</t>
  </si>
  <si>
    <t>GPIO3_PJ.07</t>
  </si>
  <si>
    <t>GPIO3_PK.00</t>
  </si>
  <si>
    <t>GPIO3_PM.05</t>
  </si>
  <si>
    <t>GPIO3_PM.04</t>
  </si>
  <si>
    <t>I2S4_SCLK</t>
  </si>
  <si>
    <t>I2S4_SDATA_OUT</t>
  </si>
  <si>
    <t>I2S4_SDATA_IN</t>
  </si>
  <si>
    <t>I2S4_LRCK</t>
  </si>
  <si>
    <t>GPIO3_PI.04</t>
  </si>
  <si>
    <t>GPIO3_PI.05</t>
  </si>
  <si>
    <t>GPIO3_PI.06</t>
  </si>
  <si>
    <t>GPIO3_PI.07</t>
  </si>
  <si>
    <t>GPIO3_PO.00</t>
  </si>
  <si>
    <t>GPIO3_PO.01</t>
  </si>
  <si>
    <t>GPIO3_PN.00</t>
  </si>
  <si>
    <t>GPIO3_PN.02</t>
  </si>
  <si>
    <t>SPI4_DIN</t>
  </si>
  <si>
    <t>SPI4_DOUT</t>
  </si>
  <si>
    <t>I2C3_CLK</t>
  </si>
  <si>
    <t>I2C3_DAT</t>
  </si>
  <si>
    <t>PE1_RST_L</t>
  </si>
  <si>
    <t>PE_WAKE_L</t>
  </si>
  <si>
    <t>PEX_CLK_OUT_2_P</t>
  </si>
  <si>
    <t>PEX_CLK_OUT_2_N</t>
  </si>
  <si>
    <t>GPIO3_PFF.01</t>
  </si>
  <si>
    <t>GPIO3_PFF.02</t>
  </si>
  <si>
    <t>GPIO3_PFF.03</t>
  </si>
  <si>
    <t>GPIO3_PFF.04</t>
  </si>
  <si>
    <t>GPIO3_PU.00</t>
  </si>
  <si>
    <t>GPIO3_PU.01</t>
  </si>
  <si>
    <t>GPIO3_PU.02</t>
  </si>
  <si>
    <t>GPIO3_PU.03</t>
  </si>
  <si>
    <t>GPIO3_PU.04</t>
  </si>
  <si>
    <t>GPIO3_PU.05</t>
  </si>
  <si>
    <t>GPIO3_PFF.00</t>
  </si>
  <si>
    <t>RESET</t>
  </si>
  <si>
    <t>I2C5_CLK</t>
  </si>
  <si>
    <t>I2C5_DAT</t>
  </si>
  <si>
    <t>GPIO3_PS.02</t>
  </si>
  <si>
    <t>UB3_TXD</t>
  </si>
  <si>
    <t>UB3_RXD</t>
  </si>
  <si>
    <t>GPIO3_PY.00</t>
  </si>
  <si>
    <t>GPIO3_PY.01</t>
  </si>
  <si>
    <t>GPIO3_PY.02</t>
  </si>
  <si>
    <t>SPI1_CS1</t>
  </si>
  <si>
    <t>GPIO3_PY.05</t>
  </si>
  <si>
    <t>GPIO3_PY.06</t>
  </si>
  <si>
    <t>GPIO3_PL.04</t>
  </si>
  <si>
    <t>GPIO3_PL.05</t>
  </si>
  <si>
    <t>GPIO3_PH.06</t>
  </si>
  <si>
    <t>GPIO3_PH.04</t>
  </si>
  <si>
    <t>SPI1_SCK</t>
  </si>
  <si>
    <t>SPI1_DIN</t>
  </si>
  <si>
    <t>SPI1_DOUT</t>
  </si>
  <si>
    <t>SPI1_CS0</t>
  </si>
  <si>
    <t>UA3_RTS</t>
  </si>
  <si>
    <t>UA3_CTS</t>
  </si>
  <si>
    <t>UC3_TXD</t>
  </si>
  <si>
    <t>UC3_RXD</t>
  </si>
  <si>
    <t>I2C8_CLK</t>
  </si>
  <si>
    <t>I2C8_DAT</t>
  </si>
  <si>
    <t>UG3_TXD</t>
  </si>
  <si>
    <t>UG3_RXD</t>
  </si>
  <si>
    <t>GPIO3_PV.00</t>
  </si>
  <si>
    <t>SPI2_SCK</t>
  </si>
  <si>
    <t>SPI2_DIN</t>
  </si>
  <si>
    <t>SPI2_DOUT</t>
  </si>
  <si>
    <t>SPI2_CS0</t>
  </si>
  <si>
    <t>GPIO3_PV.05</t>
  </si>
  <si>
    <t>GPIO3_PV.07</t>
  </si>
  <si>
    <t>I2C2_CLK</t>
  </si>
  <si>
    <t>I2C2_DAT</t>
  </si>
  <si>
    <t>GPIO3_PAA.03</t>
  </si>
  <si>
    <t>GPIO3_PAA.04</t>
  </si>
  <si>
    <t>GPIO3_PAA.05</t>
  </si>
  <si>
    <t>GPIO3_PAA.06</t>
  </si>
  <si>
    <t>GPIO3_PAA.07</t>
  </si>
  <si>
    <t>GPIO3_PP.01</t>
  </si>
  <si>
    <t>GPIO3_PP.03</t>
  </si>
  <si>
    <t>GPIO3_PP.04</t>
  </si>
  <si>
    <t>GPIO3_PP.05</t>
  </si>
  <si>
    <t>GPIO3_PP.06</t>
  </si>
  <si>
    <t>C38</t>
  </si>
  <si>
    <t>B36</t>
  </si>
  <si>
    <t>B</t>
  </si>
  <si>
    <t>O</t>
  </si>
  <si>
    <t>uart4_tx_pb0</t>
  </si>
  <si>
    <t>vddio_conn</t>
  </si>
  <si>
    <t>boot_sel1</t>
  </si>
  <si>
    <t>ST</t>
  </si>
  <si>
    <t>BDPGLP_IFC_VXVDP1P1P1</t>
  </si>
  <si>
    <t>pd</t>
  </si>
  <si>
    <t>B39</t>
  </si>
  <si>
    <t>F33</t>
  </si>
  <si>
    <t>I</t>
  </si>
  <si>
    <t>uart4_rx_pb1</t>
  </si>
  <si>
    <t>A41</t>
  </si>
  <si>
    <t>D35</t>
  </si>
  <si>
    <t>uart4_rts_pb2</t>
  </si>
  <si>
    <t>boot_sel0</t>
  </si>
  <si>
    <t>C39</t>
  </si>
  <si>
    <t>E34</t>
  </si>
  <si>
    <t>uart4_cts_pb3</t>
  </si>
  <si>
    <t>wake7</t>
  </si>
  <si>
    <t>BDPGLP_IFC_VDVXP1P1P1</t>
  </si>
  <si>
    <t>C40</t>
  </si>
  <si>
    <t>E35</t>
  </si>
  <si>
    <t>gpio_wan1_pb4</t>
  </si>
  <si>
    <t>B41</t>
  </si>
  <si>
    <t>F34</t>
  </si>
  <si>
    <t>gpio_wan2_pb5</t>
  </si>
  <si>
    <t>wake8</t>
  </si>
  <si>
    <t>A39</t>
  </si>
  <si>
    <t>F35</t>
  </si>
  <si>
    <t>gpio_wan3_pb6</t>
  </si>
  <si>
    <t>D37</t>
  </si>
  <si>
    <t>C35</t>
  </si>
  <si>
    <t>GPIO3_PC.00</t>
  </si>
  <si>
    <t>gpio_wan4_pc0</t>
  </si>
  <si>
    <t>wake9</t>
  </si>
  <si>
    <t>A38</t>
  </si>
  <si>
    <t>A36</t>
  </si>
  <si>
    <t>dap2_sclk_pc1</t>
  </si>
  <si>
    <t>C37</t>
  </si>
  <si>
    <t>A35</t>
  </si>
  <si>
    <t>dap2_dout_pc2</t>
  </si>
  <si>
    <t>B38</t>
  </si>
  <si>
    <t>E33</t>
  </si>
  <si>
    <t>dap2_din_pc3</t>
  </si>
  <si>
    <t>C36</t>
  </si>
  <si>
    <t>B35</t>
  </si>
  <si>
    <t>dap2_fs_pc4</t>
  </si>
  <si>
    <t>F32</t>
  </si>
  <si>
    <t>G32</t>
  </si>
  <si>
    <t>gen1_i2c_scl_pc5</t>
  </si>
  <si>
    <t>DD</t>
  </si>
  <si>
    <t>BDPGLPHVIN_D2FC_VDVXP1P1P1</t>
  </si>
  <si>
    <t>z</t>
  </si>
  <si>
    <t>D33</t>
  </si>
  <si>
    <t>gen1_i2c_sda_pc6</t>
  </si>
  <si>
    <t>wake31</t>
  </si>
  <si>
    <t>BB23</t>
  </si>
  <si>
    <t>AR22</t>
  </si>
  <si>
    <t>GPIO3_PJ.00</t>
  </si>
  <si>
    <t>dap1_sclk_pj0</t>
  </si>
  <si>
    <t>vddio_pexctl_aud</t>
  </si>
  <si>
    <t>AW23</t>
  </si>
  <si>
    <t>AV21</t>
  </si>
  <si>
    <t>GPIO3_PJ.01</t>
  </si>
  <si>
    <t>dap1_dout_pj1</t>
  </si>
  <si>
    <t>BC23</t>
  </si>
  <si>
    <t>AU21</t>
  </si>
  <si>
    <t>GPIO3_PJ.02</t>
  </si>
  <si>
    <t>dap1_din_pj2</t>
  </si>
  <si>
    <t>BA22</t>
  </si>
  <si>
    <t>AT21</t>
  </si>
  <si>
    <t>GPIO3_PJ.03</t>
  </si>
  <si>
    <t>dap1_fs_pj3</t>
  </si>
  <si>
    <t>BA23</t>
  </si>
  <si>
    <t>AP23</t>
  </si>
  <si>
    <t>GPIO3_PJ.04</t>
  </si>
  <si>
    <t>aud_mclk_pj4</t>
  </si>
  <si>
    <t>AY22</t>
  </si>
  <si>
    <t>AP21</t>
  </si>
  <si>
    <t>gpio_aud0_pj5</t>
  </si>
  <si>
    <t>wake12</t>
  </si>
  <si>
    <t>AR21</t>
  </si>
  <si>
    <t>gpio_aud1_pj6</t>
  </si>
  <si>
    <t>wake13</t>
  </si>
  <si>
    <t>AW21</t>
  </si>
  <si>
    <t>SPDIF_IN</t>
  </si>
  <si>
    <t>gpio_aud2_pj7</t>
  </si>
  <si>
    <t>wake14</t>
  </si>
  <si>
    <t>AY23</t>
  </si>
  <si>
    <t>AY21</t>
  </si>
  <si>
    <t>SPDIF_OUT</t>
  </si>
  <si>
    <t>gpio_aud3_pk0</t>
  </si>
  <si>
    <t>wake15</t>
  </si>
  <si>
    <t>pu</t>
  </si>
  <si>
    <t>AV23</t>
  </si>
  <si>
    <t>dmic1_clk_pm1</t>
  </si>
  <si>
    <t>vddio_audio_hv</t>
  </si>
  <si>
    <t>CZ</t>
  </si>
  <si>
    <t>BDSDMEM_CFC_VXVDP1P1P1VC</t>
  </si>
  <si>
    <t>AV24</t>
  </si>
  <si>
    <t>dmic1_dat_pm0</t>
  </si>
  <si>
    <t>AY25</t>
  </si>
  <si>
    <t>AU23</t>
  </si>
  <si>
    <t>dmic2_clk_pm3</t>
  </si>
  <si>
    <t>BA24</t>
  </si>
  <si>
    <t>dmic2_dat_pm2</t>
  </si>
  <si>
    <t>AY24</t>
  </si>
  <si>
    <t>AR24</t>
  </si>
  <si>
    <t>dmic4_clk_pm5</t>
  </si>
  <si>
    <t>wake18</t>
  </si>
  <si>
    <t>BA25</t>
  </si>
  <si>
    <t>AP24</t>
  </si>
  <si>
    <t>dmic4_dat_pm4</t>
  </si>
  <si>
    <t>BC26</t>
  </si>
  <si>
    <t>AN24</t>
  </si>
  <si>
    <t>dap4_sclk_pcc0</t>
  </si>
  <si>
    <t>BB24</t>
  </si>
  <si>
    <t>AM24</t>
  </si>
  <si>
    <t>dap4_dout_pcc1</t>
  </si>
  <si>
    <t>BC24</t>
  </si>
  <si>
    <t>AR23</t>
  </si>
  <si>
    <t>dap4_din_pcc2</t>
  </si>
  <si>
    <t>AW24</t>
  </si>
  <si>
    <t>AT23</t>
  </si>
  <si>
    <t>dap4_fs_pcc3</t>
  </si>
  <si>
    <t>AW43</t>
  </si>
  <si>
    <t>AR40</t>
  </si>
  <si>
    <t>gpio_pq0_pi0</t>
  </si>
  <si>
    <t>vddio_dmic_hv</t>
  </si>
  <si>
    <t>BDSDMEM_CFCR90_VXVDP1P1P1VC</t>
  </si>
  <si>
    <t>AW42</t>
  </si>
  <si>
    <t>AT40</t>
  </si>
  <si>
    <t>gpio_pq1_pi1</t>
  </si>
  <si>
    <t>AY41</t>
  </si>
  <si>
    <t>AT39</t>
  </si>
  <si>
    <t>gpio_pq2_pi2</t>
  </si>
  <si>
    <t>BA42</t>
  </si>
  <si>
    <t>AR39</t>
  </si>
  <si>
    <t>gpio_pq3_pi3</t>
  </si>
  <si>
    <t>BA43</t>
  </si>
  <si>
    <t>AP36</t>
  </si>
  <si>
    <t>gpio_pq4_pi4</t>
  </si>
  <si>
    <t>wake63</t>
  </si>
  <si>
    <t>AW41</t>
  </si>
  <si>
    <t>AR38</t>
  </si>
  <si>
    <t>gpio_pq5_pi5</t>
  </si>
  <si>
    <t>BB41</t>
  </si>
  <si>
    <t>AR37</t>
  </si>
  <si>
    <t>gpio_pq6_pi6</t>
  </si>
  <si>
    <t>wake64</t>
  </si>
  <si>
    <t>BA41</t>
  </si>
  <si>
    <t>AR36</t>
  </si>
  <si>
    <t>gpio_pq7_pi7</t>
  </si>
  <si>
    <t>BA33</t>
  </si>
  <si>
    <t>AM29</t>
  </si>
  <si>
    <t>extperiph1_clk_po0</t>
  </si>
  <si>
    <t>vddio_uartcam</t>
  </si>
  <si>
    <t>BC35</t>
  </si>
  <si>
    <t>AT30</t>
  </si>
  <si>
    <t>extperiph2_clk_po1</t>
  </si>
  <si>
    <t>AY33</t>
  </si>
  <si>
    <t>AU30</t>
  </si>
  <si>
    <t>gpio_cam1_pn0</t>
  </si>
  <si>
    <t>BB35</t>
  </si>
  <si>
    <t>AY30</t>
  </si>
  <si>
    <t>GPIO3_PN.01</t>
  </si>
  <si>
    <t>gpio_cam2_pn1</t>
  </si>
  <si>
    <t>AV33</t>
  </si>
  <si>
    <t>AW30</t>
  </si>
  <si>
    <t>EXTPERIPH4_CLK</t>
  </si>
  <si>
    <t>gpio_cam3_pn2</t>
  </si>
  <si>
    <t>AW33</t>
  </si>
  <si>
    <t>AV30</t>
  </si>
  <si>
    <t>GPIO3_PN.03</t>
  </si>
  <si>
    <t>gpio_cam4_pn3</t>
  </si>
  <si>
    <t>BA35</t>
  </si>
  <si>
    <t>AY32</t>
  </si>
  <si>
    <t>GPIO3_PN.04</t>
  </si>
  <si>
    <t>gpio_cam5_pn4</t>
  </si>
  <si>
    <t>AY34</t>
  </si>
  <si>
    <t>AW32</t>
  </si>
  <si>
    <t>GPIO3_PN.05</t>
  </si>
  <si>
    <t>gpio_cam6_pn5</t>
  </si>
  <si>
    <t>AY35</t>
  </si>
  <si>
    <t>AV32</t>
  </si>
  <si>
    <t>GPIO3_PN.06</t>
  </si>
  <si>
    <t>gpio_cam7_pn6</t>
  </si>
  <si>
    <t>BA34</t>
  </si>
  <si>
    <t>AR30</t>
  </si>
  <si>
    <t>GPIO3_PO.02</t>
  </si>
  <si>
    <t>cam_i2c_scl_po2</t>
  </si>
  <si>
    <t>BB33</t>
  </si>
  <si>
    <t>AN29</t>
  </si>
  <si>
    <t>GPIO3_PO.03</t>
  </si>
  <si>
    <t>cam_i2c_sda_po3</t>
  </si>
  <si>
    <t>wake22</t>
  </si>
  <si>
    <t>BB21</t>
  </si>
  <si>
    <t>AY20</t>
  </si>
  <si>
    <t>PE0_RST_L</t>
  </si>
  <si>
    <t>pex_l0_rst_n_pa0</t>
  </si>
  <si>
    <t>BC20</t>
  </si>
  <si>
    <t>AV20</t>
  </si>
  <si>
    <t>PE0_CLKREQ_L</t>
  </si>
  <si>
    <t>pex_l0_clkreq_n_pa1</t>
  </si>
  <si>
    <t>BA20</t>
  </si>
  <si>
    <t>AU20</t>
  </si>
  <si>
    <t>pex_l1_rst_n_pa3</t>
  </si>
  <si>
    <t>BA21</t>
  </si>
  <si>
    <t>AT20</t>
  </si>
  <si>
    <t>pex_l1_clkreq_n_pa4</t>
  </si>
  <si>
    <t>BB20</t>
  </si>
  <si>
    <t>AR20</t>
  </si>
  <si>
    <t>PE2_RST_L</t>
  </si>
  <si>
    <t>pex_l2_rst_n_pa5</t>
  </si>
  <si>
    <t>wake2</t>
  </si>
  <si>
    <t>BC21</t>
  </si>
  <si>
    <t>AW20</t>
  </si>
  <si>
    <t>PE2_CLKREQ_L</t>
  </si>
  <si>
    <t>SATA_DEV_SLP</t>
  </si>
  <si>
    <t>pex_l2_clkreq_n_pa6</t>
  </si>
  <si>
    <t>wake0</t>
  </si>
  <si>
    <t>AP20</t>
  </si>
  <si>
    <t>pex_wake_n_pa2</t>
  </si>
  <si>
    <t>wake1</t>
  </si>
  <si>
    <t>BA19</t>
  </si>
  <si>
    <t>AY17</t>
  </si>
  <si>
    <t>PEX_CLK_OUT_1_P</t>
  </si>
  <si>
    <t>pex_clk1p</t>
  </si>
  <si>
    <t>vddio_pex_clk</t>
  </si>
  <si>
    <t>BOPEXCLK_GFC_VXVDP1P1NCP1</t>
  </si>
  <si>
    <t>BA18</t>
  </si>
  <si>
    <t>AY18</t>
  </si>
  <si>
    <t>PEX_CLK_OUT_1_N</t>
  </si>
  <si>
    <t>pex_clk1n</t>
  </si>
  <si>
    <t>BB18</t>
  </si>
  <si>
    <t>AW18</t>
  </si>
  <si>
    <t>pex_clk2p</t>
  </si>
  <si>
    <t>BC18</t>
  </si>
  <si>
    <t>AV18</t>
  </si>
  <si>
    <t>pex_clk2n</t>
  </si>
  <si>
    <t>BB17</t>
  </si>
  <si>
    <t>AW17</t>
  </si>
  <si>
    <t>unused_PEX_CLK3P</t>
  </si>
  <si>
    <t>PEX_CLK_OUT_3_P</t>
  </si>
  <si>
    <t>pex_clk3p</t>
  </si>
  <si>
    <t>BC17</t>
  </si>
  <si>
    <t>AV17</t>
  </si>
  <si>
    <t>unused_PEX_CLK3N</t>
  </si>
  <si>
    <t>PEX_CLK_OUT_3_N</t>
  </si>
  <si>
    <t>pex_clk3n</t>
  </si>
  <si>
    <t>F41</t>
  </si>
  <si>
    <t>F38</t>
  </si>
  <si>
    <t>sdmmc1_clk_pd0</t>
  </si>
  <si>
    <t>vddio_sdmmc1_hv</t>
  </si>
  <si>
    <t>E42</t>
  </si>
  <si>
    <t>G36</t>
  </si>
  <si>
    <t>sdmmc1_cmd_pd1</t>
  </si>
  <si>
    <t>F43</t>
  </si>
  <si>
    <t>F40</t>
  </si>
  <si>
    <t>sdmmc1_dat0_pd2</t>
  </si>
  <si>
    <t>F42</t>
  </si>
  <si>
    <t>F39</t>
  </si>
  <si>
    <t>sdmmc1_dat1_pd3</t>
  </si>
  <si>
    <t>wake3</t>
  </si>
  <si>
    <t>F36</t>
  </si>
  <si>
    <t>sdmmc1_dat2_pd4</t>
  </si>
  <si>
    <t>G35</t>
  </si>
  <si>
    <t>sdmmc1_dat3_pd5</t>
  </si>
  <si>
    <t>E43</t>
  </si>
  <si>
    <t>F37</t>
  </si>
  <si>
    <t>sdmmc1_comp</t>
  </si>
  <si>
    <t>AR3</t>
  </si>
  <si>
    <t>AR2</t>
  </si>
  <si>
    <t>AR1</t>
  </si>
  <si>
    <t>AT3</t>
  </si>
  <si>
    <t>AT1</t>
  </si>
  <si>
    <t>AT2</t>
  </si>
  <si>
    <t>AT4</t>
  </si>
  <si>
    <t>AU3</t>
  </si>
  <si>
    <t>AU4</t>
  </si>
  <si>
    <t>AV4</t>
  </si>
  <si>
    <t>AW4</t>
  </si>
  <si>
    <t>A23</t>
  </si>
  <si>
    <t>C20</t>
  </si>
  <si>
    <t>sdmmc3_clk_pg0</t>
  </si>
  <si>
    <t>vddio_sdmmc3_hv</t>
  </si>
  <si>
    <t>B24</t>
  </si>
  <si>
    <t>B21</t>
  </si>
  <si>
    <t>sdmmc3_cmd_pg1</t>
  </si>
  <si>
    <t>C24</t>
  </si>
  <si>
    <t>B23</t>
  </si>
  <si>
    <t>sdmmc3_dat0_pg2</t>
  </si>
  <si>
    <t>C23</t>
  </si>
  <si>
    <t>C21</t>
  </si>
  <si>
    <t>sdmmc3_dat1_pg3</t>
  </si>
  <si>
    <t>wake5</t>
  </si>
  <si>
    <t>A20</t>
  </si>
  <si>
    <t>sdmmc3_dat2_pg4</t>
  </si>
  <si>
    <t>D22</t>
  </si>
  <si>
    <t>B20</t>
  </si>
  <si>
    <t>sdmmc3_dat3_pg5</t>
  </si>
  <si>
    <t>A24</t>
  </si>
  <si>
    <t>A21</t>
  </si>
  <si>
    <t>sdmmc3_comp</t>
  </si>
  <si>
    <t>E36</t>
  </si>
  <si>
    <t>D36</t>
  </si>
  <si>
    <t>B33</t>
  </si>
  <si>
    <t>J29</t>
  </si>
  <si>
    <t>gpio_sw1_pff1</t>
  </si>
  <si>
    <t>vddio_sys</t>
  </si>
  <si>
    <t>wake67</t>
  </si>
  <si>
    <t>rcm_0</t>
  </si>
  <si>
    <t>BDPGLP_IFC_VDP1P1P1</t>
  </si>
  <si>
    <t>C33</t>
  </si>
  <si>
    <t>C30</t>
  </si>
  <si>
    <t>gpio_sw2_pff2</t>
  </si>
  <si>
    <t>wake68</t>
  </si>
  <si>
    <t>rcm_1</t>
  </si>
  <si>
    <t>A32</t>
  </si>
  <si>
    <t>D30</t>
  </si>
  <si>
    <t>gpio_sw3_pff3</t>
  </si>
  <si>
    <t>wake69</t>
  </si>
  <si>
    <t>C34</t>
  </si>
  <si>
    <t>B30</t>
  </si>
  <si>
    <t>gpio_sw4_pff4</t>
  </si>
  <si>
    <t>wake30</t>
  </si>
  <si>
    <t>rcm_2</t>
  </si>
  <si>
    <t>E32</t>
  </si>
  <si>
    <t>J30</t>
  </si>
  <si>
    <t>GP_PWM1</t>
  </si>
  <si>
    <t>gpio_dis0_pu0</t>
  </si>
  <si>
    <t>DCA_LSPII</t>
  </si>
  <si>
    <t>gpio_dis1_pu1</t>
  </si>
  <si>
    <t>A33</t>
  </si>
  <si>
    <t>DCA_VSYNC</t>
  </si>
  <si>
    <t>gpio_dis2_pu2</t>
  </si>
  <si>
    <t>gpio_dis3_pu3</t>
  </si>
  <si>
    <t>DCA_HSYNC</t>
  </si>
  <si>
    <t>gpio_dis4_pu4</t>
  </si>
  <si>
    <t>GP_PWM3</t>
  </si>
  <si>
    <t>gpio_dis5_pu5</t>
  </si>
  <si>
    <t>D34</t>
  </si>
  <si>
    <t>G30</t>
  </si>
  <si>
    <t>power_on_pff0</t>
  </si>
  <si>
    <t>wake29</t>
  </si>
  <si>
    <t>G29</t>
  </si>
  <si>
    <t>sys_reset_n</t>
  </si>
  <si>
    <t>JT_RST</t>
  </si>
  <si>
    <t>BILPRST_CFC_VDP1P1P1</t>
  </si>
  <si>
    <t>E30</t>
  </si>
  <si>
    <t>shutdown</t>
  </si>
  <si>
    <t>H29</t>
  </si>
  <si>
    <t>GPIO3_PS.03</t>
  </si>
  <si>
    <t>safe_state_ps3</t>
  </si>
  <si>
    <t>wake25</t>
  </si>
  <si>
    <t>A30</t>
  </si>
  <si>
    <t>vcomp_alert_ps4</t>
  </si>
  <si>
    <t>wake26</t>
  </si>
  <si>
    <t>F31</t>
  </si>
  <si>
    <t>pwr_i2c_scl_ps0</t>
  </si>
  <si>
    <t>BDPGLPHVIN_D2FC_VDP1P1P1</t>
  </si>
  <si>
    <t>C32</t>
  </si>
  <si>
    <t>pwr_i2c_sda_ps1</t>
  </si>
  <si>
    <t>wake27</t>
  </si>
  <si>
    <t>D32</t>
  </si>
  <si>
    <t>clk_32k_in</t>
  </si>
  <si>
    <t>B32</t>
  </si>
  <si>
    <t>SOC_THERM_OC5</t>
  </si>
  <si>
    <t>batt_oc_ps2</t>
  </si>
  <si>
    <t>wake10</t>
  </si>
  <si>
    <t>soc_pwr_req</t>
  </si>
  <si>
    <t>F30</t>
  </si>
  <si>
    <t>pmu_int_n</t>
  </si>
  <si>
    <t>wake24</t>
  </si>
  <si>
    <t>BA27</t>
  </si>
  <si>
    <t>AY27</t>
  </si>
  <si>
    <t>uart2_tx_px0</t>
  </si>
  <si>
    <t>ram_code3</t>
  </si>
  <si>
    <t>AY26</t>
  </si>
  <si>
    <t>uart2_rx_px1</t>
  </si>
  <si>
    <t>AW27</t>
  </si>
  <si>
    <t>UB3_RTS</t>
  </si>
  <si>
    <t>uart2_rts_px2</t>
  </si>
  <si>
    <t>ram_code2</t>
  </si>
  <si>
    <t>BB27</t>
  </si>
  <si>
    <t>AY29</t>
  </si>
  <si>
    <t>UB3_CTS</t>
  </si>
  <si>
    <t>uart2_cts_px3</t>
  </si>
  <si>
    <t>wake52</t>
  </si>
  <si>
    <t>AY28</t>
  </si>
  <si>
    <t>GPIO3_PX.04</t>
  </si>
  <si>
    <t>NV_THERM_FAN_TACH</t>
  </si>
  <si>
    <t>uart5_tx_px4</t>
  </si>
  <si>
    <t>BC27</t>
  </si>
  <si>
    <t>AW26</t>
  </si>
  <si>
    <t>uart5_rx_px5</t>
  </si>
  <si>
    <t>BA29</t>
  </si>
  <si>
    <t>AU26</t>
  </si>
  <si>
    <t>GPIO3_PX.06</t>
  </si>
  <si>
    <t>uart5_rts_px6</t>
  </si>
  <si>
    <t>AW29</t>
  </si>
  <si>
    <t>AV27</t>
  </si>
  <si>
    <t>GPIO3_PX.07</t>
  </si>
  <si>
    <t>uart5_cts_px7</t>
  </si>
  <si>
    <t>wake53</t>
  </si>
  <si>
    <t>AV29</t>
  </si>
  <si>
    <t>AV26</t>
  </si>
  <si>
    <t>gpio_mdm1_py0</t>
  </si>
  <si>
    <t>wake54</t>
  </si>
  <si>
    <t>BA28</t>
  </si>
  <si>
    <t>gpio_mdm2_py1</t>
  </si>
  <si>
    <t>wake55</t>
  </si>
  <si>
    <t>gpio_mdm3_py2</t>
  </si>
  <si>
    <t>wake56</t>
  </si>
  <si>
    <t>BB29</t>
  </si>
  <si>
    <t>AU27</t>
  </si>
  <si>
    <t>gpio_mdm4_py3</t>
  </si>
  <si>
    <t>BC29</t>
  </si>
  <si>
    <t>AP27</t>
  </si>
  <si>
    <t>GPIO3_PY.04</t>
  </si>
  <si>
    <t>gpio_mdm5_py4</t>
  </si>
  <si>
    <t>AT26</t>
  </si>
  <si>
    <t>SOC_THERM_OC3</t>
  </si>
  <si>
    <t>gpio_mdm6_py5</t>
  </si>
  <si>
    <t>wake57</t>
  </si>
  <si>
    <t>AU29</t>
  </si>
  <si>
    <t>gpio_mdm7_py6</t>
  </si>
  <si>
    <t>wake58</t>
  </si>
  <si>
    <t>BA31</t>
  </si>
  <si>
    <t>AT29</t>
  </si>
  <si>
    <t>GPIO3_PL.00</t>
  </si>
  <si>
    <t>I2C7_CLK</t>
  </si>
  <si>
    <t>gen7_i2c_scl_pl0</t>
  </si>
  <si>
    <t>BB30</t>
  </si>
  <si>
    <t>AR25</t>
  </si>
  <si>
    <t>GPIO3_PL.01</t>
  </si>
  <si>
    <t>I2C7_DAT</t>
  </si>
  <si>
    <t>gen7_i2c_sda_pl1</t>
  </si>
  <si>
    <t>wake59</t>
  </si>
  <si>
    <t>BC33</t>
  </si>
  <si>
    <t>AN27</t>
  </si>
  <si>
    <t>GPIO3_PL.02</t>
  </si>
  <si>
    <t>I2C9_CLK</t>
  </si>
  <si>
    <t>gen9_i2c_scl_pl2</t>
  </si>
  <si>
    <t>BC30</t>
  </si>
  <si>
    <t>AP26</t>
  </si>
  <si>
    <t>GPIO3_PL.03</t>
  </si>
  <si>
    <t>I2C9_DAT</t>
  </si>
  <si>
    <t>gen9_i2c_sda_pl3</t>
  </si>
  <si>
    <t>wake60</t>
  </si>
  <si>
    <t>AM27</t>
  </si>
  <si>
    <t>usb_vbus_en0_pl4</t>
  </si>
  <si>
    <t>wake61</t>
  </si>
  <si>
    <t>AR28</t>
  </si>
  <si>
    <t>usb_vbus_en1_pl5</t>
  </si>
  <si>
    <t>wake62</t>
  </si>
  <si>
    <t>AT27</t>
  </si>
  <si>
    <t>bcpu_pwr_req_ph4</t>
  </si>
  <si>
    <t>BA30</t>
  </si>
  <si>
    <t>AR26</t>
  </si>
  <si>
    <t>GPIO3_PH.05</t>
  </si>
  <si>
    <t>mcpu_pwr_req_ph5</t>
  </si>
  <si>
    <t>AY31</t>
  </si>
  <si>
    <t>AR27</t>
  </si>
  <si>
    <t>gpu_pwr_req_ph6</t>
  </si>
  <si>
    <t>BA32</t>
  </si>
  <si>
    <t>AP29</t>
  </si>
  <si>
    <t>gp_pwm6_pl6</t>
  </si>
  <si>
    <t>AR29</t>
  </si>
  <si>
    <t>gp_pwm7_pl7</t>
  </si>
  <si>
    <t>gpio_wan5_ph0</t>
  </si>
  <si>
    <t>BB26</t>
  </si>
  <si>
    <t>gpio_wan6_ph1</t>
  </si>
  <si>
    <t>AT24</t>
  </si>
  <si>
    <t>gpio_wan7_ph2</t>
  </si>
  <si>
    <t>wake11</t>
  </si>
  <si>
    <t>BA26</t>
  </si>
  <si>
    <t>AU24</t>
  </si>
  <si>
    <t>gpio_wan8_ph3</t>
  </si>
  <si>
    <t>wake70</t>
  </si>
  <si>
    <t>BB32</t>
  </si>
  <si>
    <t>AM26</t>
  </si>
  <si>
    <t>P</t>
  </si>
  <si>
    <t>therm_dp</t>
  </si>
  <si>
    <t>TDIODE_FFC</t>
  </si>
  <si>
    <t>BC32</t>
  </si>
  <si>
    <t>AN26</t>
  </si>
  <si>
    <t>N</t>
  </si>
  <si>
    <t>therm_dn</t>
  </si>
  <si>
    <t>BA36</t>
  </si>
  <si>
    <t>GPIO3_PT.00</t>
  </si>
  <si>
    <t>uart1_tx_pt0</t>
  </si>
  <si>
    <t>vddio_debug</t>
  </si>
  <si>
    <t>BC36</t>
  </si>
  <si>
    <t>AR31</t>
  </si>
  <si>
    <t>GPIO3_PT.01</t>
  </si>
  <si>
    <t>uart1_rx_pt1</t>
  </si>
  <si>
    <t>BC38</t>
  </si>
  <si>
    <t>uart1_rts_pt2</t>
  </si>
  <si>
    <t>ram_code0</t>
  </si>
  <si>
    <t>BC39</t>
  </si>
  <si>
    <t>AY36</t>
  </si>
  <si>
    <t>uart1_cts_pt3</t>
  </si>
  <si>
    <t>BB36</t>
  </si>
  <si>
    <t>nvjtag_sel</t>
  </si>
  <si>
    <t>AW35</t>
  </si>
  <si>
    <t>jtag_trst_n</t>
  </si>
  <si>
    <t>BB38</t>
  </si>
  <si>
    <t>jtag_tdo</t>
  </si>
  <si>
    <t>BA37</t>
  </si>
  <si>
    <t>AW36</t>
  </si>
  <si>
    <t>jtag_tms</t>
  </si>
  <si>
    <t>AV35</t>
  </si>
  <si>
    <t>AW37</t>
  </si>
  <si>
    <t>jtag_tck</t>
  </si>
  <si>
    <t>BB39</t>
  </si>
  <si>
    <t>AR35</t>
  </si>
  <si>
    <t>jtag_tdi</t>
  </si>
  <si>
    <t>F23</t>
  </si>
  <si>
    <t>uart3_tx_pw2</t>
  </si>
  <si>
    <t>vddio_ao</t>
  </si>
  <si>
    <t>wake32</t>
  </si>
  <si>
    <t>ram_code1</t>
  </si>
  <si>
    <t>A27</t>
  </si>
  <si>
    <t>uart3_rx_pw3</t>
  </si>
  <si>
    <t>D23</t>
  </si>
  <si>
    <t>UC3_RTS</t>
  </si>
  <si>
    <t>uart3_rts_pw4</t>
  </si>
  <si>
    <t>E23</t>
  </si>
  <si>
    <t>UC3_CTS</t>
  </si>
  <si>
    <t>uart3_cts_pw5</t>
  </si>
  <si>
    <t>wake33</t>
  </si>
  <si>
    <t>B26</t>
  </si>
  <si>
    <t>D27</t>
  </si>
  <si>
    <t>gen8_i2c_scl_pw0</t>
  </si>
  <si>
    <t>D24</t>
  </si>
  <si>
    <t>C27</t>
  </si>
  <si>
    <t>gen8_i2c_sda_pw1</t>
  </si>
  <si>
    <t>wake34</t>
  </si>
  <si>
    <t>B27</t>
  </si>
  <si>
    <t>GPIO3_PW.06</t>
  </si>
  <si>
    <t>uart7_tx_pw6</t>
  </si>
  <si>
    <t>boot_sel2</t>
  </si>
  <si>
    <t>C25</t>
  </si>
  <si>
    <t>GPIO3_PW.07</t>
  </si>
  <si>
    <t>uart7_rx_pw7</t>
  </si>
  <si>
    <t>C26</t>
  </si>
  <si>
    <t>A26</t>
  </si>
  <si>
    <t>gpio_sen0_pv0</t>
  </si>
  <si>
    <t>wake35</t>
  </si>
  <si>
    <t>E24</t>
  </si>
  <si>
    <t>gpio_sen1_pv1</t>
  </si>
  <si>
    <t>wake36</t>
  </si>
  <si>
    <t>D25</t>
  </si>
  <si>
    <t>E26</t>
  </si>
  <si>
    <t>gpio_sen2_pv2</t>
  </si>
  <si>
    <t>wake37</t>
  </si>
  <si>
    <t>F25</t>
  </si>
  <si>
    <t>gpio_sen3_pv3</t>
  </si>
  <si>
    <t>wake38</t>
  </si>
  <si>
    <t>F24</t>
  </si>
  <si>
    <t>G24</t>
  </si>
  <si>
    <t>gpio_sen4_pv4</t>
  </si>
  <si>
    <t>wake39</t>
  </si>
  <si>
    <t>B29</t>
  </si>
  <si>
    <t>gpio_sen5_pv5</t>
  </si>
  <si>
    <t>wake40</t>
  </si>
  <si>
    <t>GP_PWM4</t>
  </si>
  <si>
    <t>gpio_sen6_pv6</t>
  </si>
  <si>
    <t>C28</t>
  </si>
  <si>
    <t>WDT_RESET_OUTA</t>
  </si>
  <si>
    <t>gpio_sen7_pv7</t>
  </si>
  <si>
    <t>C29</t>
  </si>
  <si>
    <t>D26</t>
  </si>
  <si>
    <t>gpio_sen8_pee0</t>
  </si>
  <si>
    <t>wake41</t>
  </si>
  <si>
    <t>F26</t>
  </si>
  <si>
    <t>gpio_sen9_pee1</t>
  </si>
  <si>
    <t>touch_clk_pee2</t>
  </si>
  <si>
    <t>E27</t>
  </si>
  <si>
    <t>can1_dout_pz0</t>
  </si>
  <si>
    <t>vddio_ao_hv</t>
  </si>
  <si>
    <t>wake65</t>
  </si>
  <si>
    <t>BDSDMEM_CFC_VDP1P1P1VC</t>
  </si>
  <si>
    <t>A29</t>
  </si>
  <si>
    <t>can1_din_pz1</t>
  </si>
  <si>
    <t>wake42</t>
  </si>
  <si>
    <t>J27</t>
  </si>
  <si>
    <t>can0_dout_pz2</t>
  </si>
  <si>
    <t>wake66</t>
  </si>
  <si>
    <t>can0_din_pz3</t>
  </si>
  <si>
    <t>wake43</t>
  </si>
  <si>
    <t>F27</t>
  </si>
  <si>
    <t>DMIC3_DAT</t>
  </si>
  <si>
    <t>DMIC5_DAT</t>
  </si>
  <si>
    <t>can_gpio0_paa0</t>
  </si>
  <si>
    <t>wake44</t>
  </si>
  <si>
    <t>D31</t>
  </si>
  <si>
    <t>DMIC3_CLK</t>
  </si>
  <si>
    <t>DMIC5_CLK</t>
  </si>
  <si>
    <t>can_gpio1_paa1</t>
  </si>
  <si>
    <t>wake45</t>
  </si>
  <si>
    <t>F28</t>
  </si>
  <si>
    <t>GPIO3_PAA.02</t>
  </si>
  <si>
    <t>can_gpio2_paa2</t>
  </si>
  <si>
    <t>wake46</t>
  </si>
  <si>
    <t>D29</t>
  </si>
  <si>
    <t>can_gpio3_paa3</t>
  </si>
  <si>
    <t>wake47</t>
  </si>
  <si>
    <t>F29</t>
  </si>
  <si>
    <t>can_gpio4_paa4</t>
  </si>
  <si>
    <t>wake48</t>
  </si>
  <si>
    <t>C31</t>
  </si>
  <si>
    <t>G27</t>
  </si>
  <si>
    <t>can_gpio5_paa5</t>
  </si>
  <si>
    <t>wake49</t>
  </si>
  <si>
    <t>E29</t>
  </si>
  <si>
    <t>can_gpio6_paa6</t>
  </si>
  <si>
    <t>wake50</t>
  </si>
  <si>
    <t>H27</t>
  </si>
  <si>
    <t>can_gpio7_paa7</t>
  </si>
  <si>
    <t>wake51</t>
  </si>
  <si>
    <t>BB40</t>
  </si>
  <si>
    <t>AU38</t>
  </si>
  <si>
    <t>GPIO3_PR.01</t>
  </si>
  <si>
    <t>qspi_io0_pr1</t>
  </si>
  <si>
    <t>vddio_spi</t>
  </si>
  <si>
    <t>LV_CZ</t>
  </si>
  <si>
    <t>BDSDMEMLV_BFCR90_VXVDP1P1P1</t>
  </si>
  <si>
    <t>AY39</t>
  </si>
  <si>
    <t>AU40</t>
  </si>
  <si>
    <t>GPIO3_PR.02</t>
  </si>
  <si>
    <t>qspi_io1_pr2</t>
  </si>
  <si>
    <t>AW39</t>
  </si>
  <si>
    <t>AV37</t>
  </si>
  <si>
    <t>GPIO3_PR.00</t>
  </si>
  <si>
    <t>qspi_sck_pr0</t>
  </si>
  <si>
    <t>BC41</t>
  </si>
  <si>
    <t>AU37</t>
  </si>
  <si>
    <t>GPIO3_PR.05</t>
  </si>
  <si>
    <t>qspi_cs_n_pr5</t>
  </si>
  <si>
    <t>wake23</t>
  </si>
  <si>
    <t>AV38</t>
  </si>
  <si>
    <t>AU39</t>
  </si>
  <si>
    <t>GPIO3_PR.03</t>
  </si>
  <si>
    <t>qspi_io2_pr3</t>
  </si>
  <si>
    <t>BA40</t>
  </si>
  <si>
    <t>AT37</t>
  </si>
  <si>
    <t>GPIO3_PR.04</t>
  </si>
  <si>
    <t>qspi_io3_pr4</t>
  </si>
  <si>
    <t>BA39</t>
  </si>
  <si>
    <t>AT36</t>
  </si>
  <si>
    <t>qspi_comp</t>
  </si>
  <si>
    <t>LVMEM_COMP</t>
  </si>
  <si>
    <t>BDSDMEMLVCOMP_DFCR90_VXVDP1P1P1</t>
  </si>
  <si>
    <t>H4</t>
  </si>
  <si>
    <t>I2C6_CLK</t>
  </si>
  <si>
    <t>dp_aux_ch0_p</t>
  </si>
  <si>
    <t>vddio_edp</t>
  </si>
  <si>
    <t>DP_AUX</t>
  </si>
  <si>
    <t>BDDPAUX_F2FCR90_VD181818NC</t>
  </si>
  <si>
    <t>H5</t>
  </si>
  <si>
    <t>I2C6_DAT</t>
  </si>
  <si>
    <t>dp_aux_ch0_n</t>
  </si>
  <si>
    <t>G4</t>
  </si>
  <si>
    <t>H7</t>
  </si>
  <si>
    <t>GPIO3_PP.00</t>
  </si>
  <si>
    <t>dp_aux_ch0_hpd_pp0</t>
  </si>
  <si>
    <t>wake19</t>
  </si>
  <si>
    <t>BDPGLPHVIN_D2FCR90_VDVXP1P1P1</t>
  </si>
  <si>
    <t>E1</t>
  </si>
  <si>
    <t>H1</t>
  </si>
  <si>
    <t>dp_aux_ch1_p</t>
  </si>
  <si>
    <t>E2</t>
  </si>
  <si>
    <t>H2</t>
  </si>
  <si>
    <t>dp_aux_ch1_n</t>
  </si>
  <si>
    <t>F5</t>
  </si>
  <si>
    <t>hdmi_cec_pp2</t>
  </si>
  <si>
    <t>wake20</t>
  </si>
  <si>
    <t>H6</t>
  </si>
  <si>
    <t>J7</t>
  </si>
  <si>
    <t>dp_aux_ch1_hpd_pp1</t>
  </si>
  <si>
    <t>wake21</t>
  </si>
  <si>
    <t>F4</t>
  </si>
  <si>
    <t>H3</t>
  </si>
  <si>
    <t>gpio_edp0_pp3</t>
  </si>
  <si>
    <t>BDPGLP_IFCR90_VXVDP1P1P1</t>
  </si>
  <si>
    <t>G3</t>
  </si>
  <si>
    <t>SDMMC1_WP</t>
  </si>
  <si>
    <t>gpio_edp1_pp4</t>
  </si>
  <si>
    <t>J6</t>
  </si>
  <si>
    <t>gpio_edp2_pp5</t>
  </si>
  <si>
    <t>wake71</t>
  </si>
  <si>
    <t>E3</t>
  </si>
  <si>
    <t>J5</t>
  </si>
  <si>
    <t>SDMMC1_CD</t>
  </si>
  <si>
    <t>gpio_edp3_pp6</t>
  </si>
  <si>
    <t>AY19</t>
  </si>
  <si>
    <t>AM21</t>
  </si>
  <si>
    <t>GPIO3_PBB.00</t>
  </si>
  <si>
    <t>ufs0_ref_clk_pbb0</t>
  </si>
  <si>
    <t>vddio_ufs</t>
  </si>
  <si>
    <t>BDSDMEMLV_BFC_VXVDP1P1P1</t>
  </si>
  <si>
    <t>AN21</t>
  </si>
  <si>
    <t>GPIO3_PBB.01</t>
  </si>
  <si>
    <t>ufs0_rst_pbb1</t>
  </si>
  <si>
    <t>D9</t>
  </si>
  <si>
    <t>C6</t>
  </si>
  <si>
    <t>dsi_a_clk_n</t>
  </si>
  <si>
    <t>avdd_csi_dsi</t>
  </si>
  <si>
    <t>BDMIPI4X_DUAL_A2FC160P79B</t>
  </si>
  <si>
    <t>D8</t>
  </si>
  <si>
    <t>D6</t>
  </si>
  <si>
    <t>dsi_a_clk_p</t>
  </si>
  <si>
    <t>E8</t>
  </si>
  <si>
    <t>E6</t>
  </si>
  <si>
    <t>dsi_a_d0_n</t>
  </si>
  <si>
    <t>F8</t>
  </si>
  <si>
    <t>F6</t>
  </si>
  <si>
    <t>dsi_a_d0_p</t>
  </si>
  <si>
    <t>E9</t>
  </si>
  <si>
    <t>A6</t>
  </si>
  <si>
    <t>dsi_a_d1_n</t>
  </si>
  <si>
    <t>F9</t>
  </si>
  <si>
    <t>B6</t>
  </si>
  <si>
    <t>dsi_a_d1_p</t>
  </si>
  <si>
    <t>A9</t>
  </si>
  <si>
    <t>dsi_b_clk_n</t>
  </si>
  <si>
    <t>A8</t>
  </si>
  <si>
    <t>dsi_b_clk_p</t>
  </si>
  <si>
    <t>B8</t>
  </si>
  <si>
    <t>dsi_b_d0_n</t>
  </si>
  <si>
    <t>C8</t>
  </si>
  <si>
    <t>G8</t>
  </si>
  <si>
    <t>dsi_b_d0_p</t>
  </si>
  <si>
    <t>C9</t>
  </si>
  <si>
    <t>dsi_b_d1_n</t>
  </si>
  <si>
    <t>B9</t>
  </si>
  <si>
    <t>dsi_b_d1_p</t>
  </si>
  <si>
    <t>D12</t>
  </si>
  <si>
    <t>dsi_c_clk_n</t>
  </si>
  <si>
    <t>D11</t>
  </si>
  <si>
    <t>dsi_c_clk_p</t>
  </si>
  <si>
    <t>E11</t>
  </si>
  <si>
    <t>dsi_c_d0_n</t>
  </si>
  <si>
    <t>F11</t>
  </si>
  <si>
    <t>dsi_c_d0_p</t>
  </si>
  <si>
    <t>F12</t>
  </si>
  <si>
    <t>G9</t>
  </si>
  <si>
    <t>dsi_c_d1_n</t>
  </si>
  <si>
    <t>E12</t>
  </si>
  <si>
    <t>dsi_c_d1_p</t>
  </si>
  <si>
    <t>A12</t>
  </si>
  <si>
    <t>dsi_d_clk_n</t>
  </si>
  <si>
    <t>A11</t>
  </si>
  <si>
    <t>dsi_d_clk_p</t>
  </si>
  <si>
    <t>B11</t>
  </si>
  <si>
    <t>dsi_d_d0_n</t>
  </si>
  <si>
    <t>C11</t>
  </si>
  <si>
    <t>G11</t>
  </si>
  <si>
    <t>dsi_d_d0_p</t>
  </si>
  <si>
    <t>C12</t>
  </si>
  <si>
    <t>dsi_d_d1_n</t>
  </si>
  <si>
    <t>B12</t>
  </si>
  <si>
    <t>dsi_d_d1_p</t>
  </si>
  <si>
    <t>D15</t>
  </si>
  <si>
    <t>csi_a_clk_n</t>
  </si>
  <si>
    <t>BIMIPI4X_B2FC160P79B</t>
  </si>
  <si>
    <t>D14</t>
  </si>
  <si>
    <t>csi_a_clk_p</t>
  </si>
  <si>
    <t>E14</t>
  </si>
  <si>
    <t>csi_a_d0_n</t>
  </si>
  <si>
    <t>F14</t>
  </si>
  <si>
    <t>csi_a_d0_p</t>
  </si>
  <si>
    <t>F15</t>
  </si>
  <si>
    <t>csi_a_d1_n</t>
  </si>
  <si>
    <t>E15</t>
  </si>
  <si>
    <t>csi_a_d1_p</t>
  </si>
  <si>
    <t>A15</t>
  </si>
  <si>
    <t>csi_b_clk_n</t>
  </si>
  <si>
    <t>A14</t>
  </si>
  <si>
    <t>G12</t>
  </si>
  <si>
    <t>csi_b_clk_p</t>
  </si>
  <si>
    <t>B14</t>
  </si>
  <si>
    <t>H12</t>
  </si>
  <si>
    <t>csi_b_d0_n</t>
  </si>
  <si>
    <t>C14</t>
  </si>
  <si>
    <t>J12</t>
  </si>
  <si>
    <t>csi_b_d0_p</t>
  </si>
  <si>
    <t>B15</t>
  </si>
  <si>
    <t>csi_b_d1_n</t>
  </si>
  <si>
    <t>C15</t>
  </si>
  <si>
    <t>csi_b_d1_p</t>
  </si>
  <si>
    <t>A18</t>
  </si>
  <si>
    <t>csi_c_clk_n</t>
  </si>
  <si>
    <t>A17</t>
  </si>
  <si>
    <t>csi_c_clk_p</t>
  </si>
  <si>
    <t>C17</t>
  </si>
  <si>
    <t>csi_c_d0_n</t>
  </si>
  <si>
    <t>B17</t>
  </si>
  <si>
    <t>csi_c_d0_p</t>
  </si>
  <si>
    <t>B18</t>
  </si>
  <si>
    <t>csi_c_d1_n</t>
  </si>
  <si>
    <t>C18</t>
  </si>
  <si>
    <t>csi_c_d1_p</t>
  </si>
  <si>
    <t>D18</t>
  </si>
  <si>
    <t>csi_d_clk_n</t>
  </si>
  <si>
    <t>D17</t>
  </si>
  <si>
    <t>G14</t>
  </si>
  <si>
    <t>csi_d_clk_p</t>
  </si>
  <si>
    <t>E17</t>
  </si>
  <si>
    <t>H14</t>
  </si>
  <si>
    <t>csi_d_d0_n</t>
  </si>
  <si>
    <t>F17</t>
  </si>
  <si>
    <t>J14</t>
  </si>
  <si>
    <t>csi_d_d0_p</t>
  </si>
  <si>
    <t>F18</t>
  </si>
  <si>
    <t>csi_d_d1_n</t>
  </si>
  <si>
    <t>E18</t>
  </si>
  <si>
    <t>csi_d_d1_p</t>
  </si>
  <si>
    <t>csi_e_clk_n</t>
  </si>
  <si>
    <t>G15</t>
  </si>
  <si>
    <t>csi_e_clk_p</t>
  </si>
  <si>
    <t>H15</t>
  </si>
  <si>
    <t>csi_e_d0_n</t>
  </si>
  <si>
    <t>J15</t>
  </si>
  <si>
    <t>csi_e_d0_p</t>
  </si>
  <si>
    <t>csi_e_d1_n</t>
  </si>
  <si>
    <t>csi_e_d1_p</t>
  </si>
  <si>
    <t>D21</t>
  </si>
  <si>
    <t>csi_f_clk_n</t>
  </si>
  <si>
    <t>D20</t>
  </si>
  <si>
    <t>csi_f_clk_p</t>
  </si>
  <si>
    <t>F20</t>
  </si>
  <si>
    <t>csi_f_d0_n</t>
  </si>
  <si>
    <t>E20</t>
  </si>
  <si>
    <t>csi_f_d0_p</t>
  </si>
  <si>
    <t>E21</t>
  </si>
  <si>
    <t>csi_f_d1_n</t>
  </si>
  <si>
    <t>F21</t>
  </si>
  <si>
    <t>csi_f_d1_p</t>
  </si>
  <si>
    <t>D13</t>
  </si>
  <si>
    <t>F10</t>
  </si>
  <si>
    <t>csi_dsi_rup</t>
  </si>
  <si>
    <t>BDMIPIBIAS_DFC160P79B</t>
  </si>
  <si>
    <t>D10</t>
  </si>
  <si>
    <t>H11</t>
  </si>
  <si>
    <t>csi_dsi_rdn</t>
  </si>
  <si>
    <t>A3</t>
  </si>
  <si>
    <t>hdmi_dp0_txdp0</t>
  </si>
  <si>
    <t>avddio_hdmi_dp0</t>
  </si>
  <si>
    <t>DP_SINGLE_F2FC160P79B</t>
  </si>
  <si>
    <t>B4</t>
  </si>
  <si>
    <t>hdmi_dp0_txdn0</t>
  </si>
  <si>
    <t>C3</t>
  </si>
  <si>
    <t>hdmi_dp0_txdp1</t>
  </si>
  <si>
    <t>B3</t>
  </si>
  <si>
    <t>hdmi_dp0_txdn1</t>
  </si>
  <si>
    <t>E4</t>
  </si>
  <si>
    <t>G6</t>
  </si>
  <si>
    <t>hdmi_dp0_txdp2</t>
  </si>
  <si>
    <t>E5</t>
  </si>
  <si>
    <t>G5</t>
  </si>
  <si>
    <t>hdmi_dp0_txdn2</t>
  </si>
  <si>
    <t>C1</t>
  </si>
  <si>
    <t>hdmi_dp0_txdp3</t>
  </si>
  <si>
    <t>C2</t>
  </si>
  <si>
    <t>hdmi_dp0_txdn3</t>
  </si>
  <si>
    <t>hdmi_dp0_rset</t>
  </si>
  <si>
    <t>C4</t>
  </si>
  <si>
    <t>hdmi_dp0_vcm</t>
  </si>
  <si>
    <t>D5</t>
  </si>
  <si>
    <t>D2</t>
  </si>
  <si>
    <t>hdmi_dp1_txdp0</t>
  </si>
  <si>
    <t>avdd_hdmi_dp1</t>
  </si>
  <si>
    <t>D1</t>
  </si>
  <si>
    <t>hdmi_dp1_txdn0</t>
  </si>
  <si>
    <t>C5</t>
  </si>
  <si>
    <t>hdmi_dp1_txdp1</t>
  </si>
  <si>
    <t>B5</t>
  </si>
  <si>
    <t>D4</t>
  </si>
  <si>
    <t>hdmi_dp1_txdn1</t>
  </si>
  <si>
    <t>A5</t>
  </si>
  <si>
    <t>hdmi_dp1_txdp2</t>
  </si>
  <si>
    <t>A4</t>
  </si>
  <si>
    <t>hdmi_dp1_txdn2</t>
  </si>
  <si>
    <t>hdmi_dp1_txdp3</t>
  </si>
  <si>
    <t>hdmi_dp1_txdn3</t>
  </si>
  <si>
    <t>hdmi_dp1_rset</t>
  </si>
  <si>
    <t>D3</t>
  </si>
  <si>
    <t>hdmi_dp1_vcm</t>
  </si>
  <si>
    <t>BA17</t>
  </si>
  <si>
    <t>AP15</t>
  </si>
  <si>
    <t>hsic0_strobe</t>
  </si>
  <si>
    <t>avdd_hsic</t>
  </si>
  <si>
    <t>BDUHSIC_SINGLE_BFC_VXVDP1P1P1</t>
  </si>
  <si>
    <t>AY16</t>
  </si>
  <si>
    <t>AR16</t>
  </si>
  <si>
    <t>hsic0_dat0</t>
  </si>
  <si>
    <t>AR15</t>
  </si>
  <si>
    <t>hsic_rext</t>
  </si>
  <si>
    <t>BB14</t>
  </si>
  <si>
    <t>AY14</t>
  </si>
  <si>
    <t>usb0_dn</t>
  </si>
  <si>
    <t>avdd_usb</t>
  </si>
  <si>
    <t>BDUSB2_LFC_VXVDP1VC</t>
  </si>
  <si>
    <t>BC14</t>
  </si>
  <si>
    <t>AY15</t>
  </si>
  <si>
    <t>usb0_dp</t>
  </si>
  <si>
    <t>BC15</t>
  </si>
  <si>
    <t>AT15</t>
  </si>
  <si>
    <t>usb1_dn</t>
  </si>
  <si>
    <t>BB15</t>
  </si>
  <si>
    <t>AU15</t>
  </si>
  <si>
    <t>usb1_dp</t>
  </si>
  <si>
    <t>BA16</t>
  </si>
  <si>
    <t>AV15</t>
  </si>
  <si>
    <t>usb2_dn</t>
  </si>
  <si>
    <t>BA15</t>
  </si>
  <si>
    <t>AW15</t>
  </si>
  <si>
    <t>usb2_dp</t>
  </si>
  <si>
    <t>BA14</t>
  </si>
  <si>
    <t>AP14</t>
  </si>
  <si>
    <t>usb_rext</t>
  </si>
  <si>
    <t>BDUSBBIAS_GFC_VXVDP1VC</t>
  </si>
  <si>
    <t>BB12</t>
  </si>
  <si>
    <t>AY12</t>
  </si>
  <si>
    <t>USB_SS0_RXN</t>
  </si>
  <si>
    <t>pex_rx0n</t>
  </si>
  <si>
    <t>vddio_uphy</t>
  </si>
  <si>
    <t>UPHYDS_PLL2DS6_CFC160P79B</t>
  </si>
  <si>
    <t>BC12</t>
  </si>
  <si>
    <t>AY11</t>
  </si>
  <si>
    <t>USB_SS0_RXP</t>
  </si>
  <si>
    <t>pex_rx0p</t>
  </si>
  <si>
    <t>AW14</t>
  </si>
  <si>
    <t>AU14</t>
  </si>
  <si>
    <t>USB_SS0_TXN</t>
  </si>
  <si>
    <t>pex_tx0n</t>
  </si>
  <si>
    <t>AV14</t>
  </si>
  <si>
    <t>AT14</t>
  </si>
  <si>
    <t>USB_SS0_TXP</t>
  </si>
  <si>
    <t>pex_tx0p</t>
  </si>
  <si>
    <t>BC11</t>
  </si>
  <si>
    <t>AW12</t>
  </si>
  <si>
    <t>PEX0_RX3N</t>
  </si>
  <si>
    <t>pex_rx1n</t>
  </si>
  <si>
    <t>BB11</t>
  </si>
  <si>
    <t>AV12</t>
  </si>
  <si>
    <t>PEX0_RX3P</t>
  </si>
  <si>
    <t>pex_rx1p</t>
  </si>
  <si>
    <t>AU12</t>
  </si>
  <si>
    <t>PEX0_TX3N</t>
  </si>
  <si>
    <t>pex_tx1n</t>
  </si>
  <si>
    <t>AT12</t>
  </si>
  <si>
    <t>PEX0_TX3P</t>
  </si>
  <si>
    <t>pex_tx1p</t>
  </si>
  <si>
    <t>BB9</t>
  </si>
  <si>
    <t>AW11</t>
  </si>
  <si>
    <t>PEX0_RX1N</t>
  </si>
  <si>
    <t>pex_rx2n</t>
  </si>
  <si>
    <t>BC9</t>
  </si>
  <si>
    <t>AV11</t>
  </si>
  <si>
    <t>PEX0_RX1P</t>
  </si>
  <si>
    <t>pex_rx2p</t>
  </si>
  <si>
    <t>AU8</t>
  </si>
  <si>
    <t>PEX0_TX1N</t>
  </si>
  <si>
    <t>pex_tx2n</t>
  </si>
  <si>
    <t>AT8</t>
  </si>
  <si>
    <t>PEX0_TX1P</t>
  </si>
  <si>
    <t>pex_tx2p</t>
  </si>
  <si>
    <t>BA10</t>
  </si>
  <si>
    <t>AW9</t>
  </si>
  <si>
    <t>PEX0_RX2N</t>
  </si>
  <si>
    <t>pex_rx3n</t>
  </si>
  <si>
    <t>BA9</t>
  </si>
  <si>
    <t>AV9</t>
  </si>
  <si>
    <t>PEX0_RX2P</t>
  </si>
  <si>
    <t>pex_rx3p</t>
  </si>
  <si>
    <t>AT11</t>
  </si>
  <si>
    <t>PEX0_TX2N</t>
  </si>
  <si>
    <t>pex_tx3n</t>
  </si>
  <si>
    <t>AU11</t>
  </si>
  <si>
    <t>PEX0_TX2P</t>
  </si>
  <si>
    <t>pex_tx3p</t>
  </si>
  <si>
    <t>BA8</t>
  </si>
  <si>
    <t>AY9</t>
  </si>
  <si>
    <t>UFS_L1_RXN</t>
  </si>
  <si>
    <t>pex_rx4n</t>
  </si>
  <si>
    <t>BA7</t>
  </si>
  <si>
    <t>AY8</t>
  </si>
  <si>
    <t>UFS_L1_RXP</t>
  </si>
  <si>
    <t>pex_rx4p</t>
  </si>
  <si>
    <t>AP12</t>
  </si>
  <si>
    <t>UFS_L1_TXN</t>
  </si>
  <si>
    <t>pex_tx4n</t>
  </si>
  <si>
    <t>AR12</t>
  </si>
  <si>
    <t>UFS_L1_TXP</t>
  </si>
  <si>
    <t>pex_tx4p</t>
  </si>
  <si>
    <t>BC8</t>
  </si>
  <si>
    <t>AW8</t>
  </si>
  <si>
    <t>UFS_L0_RXN</t>
  </si>
  <si>
    <t>pex_rx5n</t>
  </si>
  <si>
    <t>BB8</t>
  </si>
  <si>
    <t>AV8</t>
  </si>
  <si>
    <t>UFS_L0_RXP</t>
  </si>
  <si>
    <t>pex_rx5p</t>
  </si>
  <si>
    <t>AU9</t>
  </si>
  <si>
    <t>UFS_L0_TXN</t>
  </si>
  <si>
    <t>pex_tx5n</t>
  </si>
  <si>
    <t>AT9</t>
  </si>
  <si>
    <t>UFS_L0_TXP</t>
  </si>
  <si>
    <t>pex_tx5p</t>
  </si>
  <si>
    <t>BA13</t>
  </si>
  <si>
    <t>pex_refclk0n</t>
  </si>
  <si>
    <t>BA12</t>
  </si>
  <si>
    <t>pex_refclk0p</t>
  </si>
  <si>
    <t>AV6</t>
  </si>
  <si>
    <t>pex_refclk1n</t>
  </si>
  <si>
    <t>AW6</t>
  </si>
  <si>
    <t>pex_refclk1p</t>
  </si>
  <si>
    <t>AY13</t>
  </si>
  <si>
    <t>AR13</t>
  </si>
  <si>
    <t>pll0_termp</t>
  </si>
  <si>
    <t>BA6</t>
  </si>
  <si>
    <t>AU6</t>
  </si>
  <si>
    <t>pll1_termp</t>
  </si>
  <si>
    <t>AV3</t>
  </si>
  <si>
    <t>AM3</t>
  </si>
  <si>
    <t>ddr_xm0_b0d0</t>
  </si>
  <si>
    <t>vddio_ddr0</t>
  </si>
  <si>
    <t>BDLVDDR4_IOBRICK_DFCR90</t>
  </si>
  <si>
    <t>AW2</t>
  </si>
  <si>
    <t>AM2</t>
  </si>
  <si>
    <t>ddr_xm0_b0d1</t>
  </si>
  <si>
    <t>AW3</t>
  </si>
  <si>
    <t>AM1</t>
  </si>
  <si>
    <t>ddr_xm0_b0d2</t>
  </si>
  <si>
    <t>AN1</t>
  </si>
  <si>
    <t>ddr_xm0_b0d3</t>
  </si>
  <si>
    <t>AW1</t>
  </si>
  <si>
    <t>AN4</t>
  </si>
  <si>
    <t>ddr_xm0_b0d4</t>
  </si>
  <si>
    <t>AN3</t>
  </si>
  <si>
    <t>ddr_xm0_b0d5</t>
  </si>
  <si>
    <t>AV5</t>
  </si>
  <si>
    <t>AN2</t>
  </si>
  <si>
    <t>ddr_xm0_b0d6</t>
  </si>
  <si>
    <t>AN7</t>
  </si>
  <si>
    <t>ddr_xm0_b0d7</t>
  </si>
  <si>
    <t>AW5</t>
  </si>
  <si>
    <t>AN8</t>
  </si>
  <si>
    <t>ddr_xm0_b0d8</t>
  </si>
  <si>
    <t>AV1</t>
  </si>
  <si>
    <t>AN6</t>
  </si>
  <si>
    <t>ddr_xm0_b0diffn</t>
  </si>
  <si>
    <t>AV2</t>
  </si>
  <si>
    <t>AN5</t>
  </si>
  <si>
    <t>ddr_xm0_b0diffp</t>
  </si>
  <si>
    <t>AM4</t>
  </si>
  <si>
    <t>ddr_xm0_b0c</t>
  </si>
  <si>
    <t>AJ1</t>
  </si>
  <si>
    <t>ddr_xm0_b1d0</t>
  </si>
  <si>
    <t>AK1</t>
  </si>
  <si>
    <t>ddr_xm0_b1d1</t>
  </si>
  <si>
    <t>AK2</t>
  </si>
  <si>
    <t>ddr_xm0_b1d2</t>
  </si>
  <si>
    <t>AK3</t>
  </si>
  <si>
    <t>ddr_xm0_b1d3</t>
  </si>
  <si>
    <t>AK6</t>
  </si>
  <si>
    <t>ddr_xm0_b1d4</t>
  </si>
  <si>
    <t>AR6</t>
  </si>
  <si>
    <t>AL6</t>
  </si>
  <si>
    <t>ddr_xm0_b1d5</t>
  </si>
  <si>
    <t>AT6</t>
  </si>
  <si>
    <t>AM7</t>
  </si>
  <si>
    <t>ddr_xm0_b1d6</t>
  </si>
  <si>
    <t>AR5</t>
  </si>
  <si>
    <t>AM5</t>
  </si>
  <si>
    <t>ddr_xm0_b1d7</t>
  </si>
  <si>
    <t>AT5</t>
  </si>
  <si>
    <t>AM6</t>
  </si>
  <si>
    <t>ddr_xm0_b1d8</t>
  </si>
  <si>
    <t>AR4</t>
  </si>
  <si>
    <t>AK4</t>
  </si>
  <si>
    <t>ddr_xm0_b1diffn</t>
  </si>
  <si>
    <t>AK5</t>
  </si>
  <si>
    <t>ddr_xm0_b1diffp</t>
  </si>
  <si>
    <t>AK7</t>
  </si>
  <si>
    <t>ddr_xm0_b1c</t>
  </si>
  <si>
    <t>AG9</t>
  </si>
  <si>
    <t>ddr_xm0_b2d0</t>
  </si>
  <si>
    <t>AG7</t>
  </si>
  <si>
    <t>ddr_xm0_b2d1</t>
  </si>
  <si>
    <t>AG8</t>
  </si>
  <si>
    <t>ddr_xm0_b2d2</t>
  </si>
  <si>
    <t>AH6</t>
  </si>
  <si>
    <t>ddr_xm0_b2d3</t>
  </si>
  <si>
    <t>AJ4</t>
  </si>
  <si>
    <t>ddr_xm0_b2d4</t>
  </si>
  <si>
    <t>AJ5</t>
  </si>
  <si>
    <t>ddr_xm0_b2d5</t>
  </si>
  <si>
    <t>AP3</t>
  </si>
  <si>
    <t>AJ6</t>
  </si>
  <si>
    <t>ddr_xm0_b2d6</t>
  </si>
  <si>
    <t>AP4</t>
  </si>
  <si>
    <t>AJ7</t>
  </si>
  <si>
    <t>ddr_xm0_b2d7</t>
  </si>
  <si>
    <t>AJ8</t>
  </si>
  <si>
    <t>ddr_xm0_b2d8</t>
  </si>
  <si>
    <t>AJ3</t>
  </si>
  <si>
    <t>ddr_xm0_b2diffn</t>
  </si>
  <si>
    <t>AJ2</t>
  </si>
  <si>
    <t>ddr_xm0_b2diffp</t>
  </si>
  <si>
    <t>AJ9</t>
  </si>
  <si>
    <t>ddr_xm0_b2c</t>
  </si>
  <si>
    <t>AG1</t>
  </si>
  <si>
    <t>ddr_xm0_b3d0</t>
  </si>
  <si>
    <t>AL3</t>
  </si>
  <si>
    <t>AG2</t>
  </si>
  <si>
    <t>ddr_xm0_b3d1</t>
  </si>
  <si>
    <t>AF8</t>
  </si>
  <si>
    <t>ddr_xm0_b3d2</t>
  </si>
  <si>
    <t>AF7</t>
  </si>
  <si>
    <t>ddr_xm0_b3d3</t>
  </si>
  <si>
    <t>AF6</t>
  </si>
  <si>
    <t>ddr_xm0_b3d4</t>
  </si>
  <si>
    <t>AG3</t>
  </si>
  <si>
    <t>ddr_xm0_b3d5</t>
  </si>
  <si>
    <t>AL4</t>
  </si>
  <si>
    <t>AG4</t>
  </si>
  <si>
    <t>ddr_xm0_b3d6</t>
  </si>
  <si>
    <t>AG5</t>
  </si>
  <si>
    <t>ddr_xm0_b3d7</t>
  </si>
  <si>
    <t>AF9</t>
  </si>
  <si>
    <t>ddr_xm0_b3d8</t>
  </si>
  <si>
    <t>AF5</t>
  </si>
  <si>
    <t>ddr_xm0_b3diffn</t>
  </si>
  <si>
    <t>AF4</t>
  </si>
  <si>
    <t>ddr_xm0_b3diffp</t>
  </si>
  <si>
    <t>AG6</t>
  </si>
  <si>
    <t>ddr_xm0_b3c</t>
  </si>
  <si>
    <t>AD1</t>
  </si>
  <si>
    <t>ddr_xm0_b4d0</t>
  </si>
  <si>
    <t>AD2</t>
  </si>
  <si>
    <t>ddr_xm0_b4d1</t>
  </si>
  <si>
    <t>AD3</t>
  </si>
  <si>
    <t>ddr_xm0_b4d2</t>
  </si>
  <si>
    <t>AD4</t>
  </si>
  <si>
    <t>ddr_xm0_b4d3</t>
  </si>
  <si>
    <t>AH4</t>
  </si>
  <si>
    <t>AE6</t>
  </si>
  <si>
    <t>ddr_xm0_b4d4</t>
  </si>
  <si>
    <t>AH3</t>
  </si>
  <si>
    <t>AF1</t>
  </si>
  <si>
    <t>ddr_xm0_b4d5</t>
  </si>
  <si>
    <t>AF2</t>
  </si>
  <si>
    <t>ddr_xm0_b4d6</t>
  </si>
  <si>
    <t>AF3</t>
  </si>
  <si>
    <t>ddr_xm0_b4d7</t>
  </si>
  <si>
    <t>AD7</t>
  </si>
  <si>
    <t>ddr_xm0_b4d8</t>
  </si>
  <si>
    <t>AD5</t>
  </si>
  <si>
    <t>ddr_xm0_b4diffn</t>
  </si>
  <si>
    <t>AD6</t>
  </si>
  <si>
    <t>ddr_xm0_b4diffp</t>
  </si>
  <si>
    <t>AD8</t>
  </si>
  <si>
    <t>ddr_xm0_b4c</t>
  </si>
  <si>
    <t>AC9</t>
  </si>
  <si>
    <t>ddr_xm0_b5d0</t>
  </si>
  <si>
    <t>AB6</t>
  </si>
  <si>
    <t>ddr_xm0_b5d1</t>
  </si>
  <si>
    <t>AC2</t>
  </si>
  <si>
    <t>ddr_xm0_b5d2</t>
  </si>
  <si>
    <t>AC1</t>
  </si>
  <si>
    <t>ddr_xm0_b5d3</t>
  </si>
  <si>
    <t>AE3</t>
  </si>
  <si>
    <t>AA4</t>
  </si>
  <si>
    <t>ddr_xm0_b5d4</t>
  </si>
  <si>
    <t>AE4</t>
  </si>
  <si>
    <t>AC8</t>
  </si>
  <si>
    <t>ddr_xm0_b5d5</t>
  </si>
  <si>
    <t>AC7</t>
  </si>
  <si>
    <t>ddr_xm0_b5d6</t>
  </si>
  <si>
    <t>AC6</t>
  </si>
  <si>
    <t>ddr_xm0_b5d7</t>
  </si>
  <si>
    <t>AC3</t>
  </si>
  <si>
    <t>ddr_xm0_b5d8</t>
  </si>
  <si>
    <t>AC4</t>
  </si>
  <si>
    <t>ddr_xm0_b5diffn</t>
  </si>
  <si>
    <t>AC5</t>
  </si>
  <si>
    <t>ddr_xm0_b5diffp</t>
  </si>
  <si>
    <t>AD9</t>
  </si>
  <si>
    <t>ddr_xm0_b5c</t>
  </si>
  <si>
    <t>AB4</t>
  </si>
  <si>
    <t>AA3</t>
  </si>
  <si>
    <t>ddr_xm0_b6d0</t>
  </si>
  <si>
    <t>AA2</t>
  </si>
  <si>
    <t>ddr_xm0_b6d1</t>
  </si>
  <si>
    <t>AA1</t>
  </si>
  <si>
    <t>ddr_xm0_b6d2</t>
  </si>
  <si>
    <t>AA5</t>
  </si>
  <si>
    <t>ddr_xm0_b6d3</t>
  </si>
  <si>
    <t>Y6</t>
  </si>
  <si>
    <t>ddr_xm0_b6d4</t>
  </si>
  <si>
    <t>Y3</t>
  </si>
  <si>
    <t>ddr_xm0_b6d5</t>
  </si>
  <si>
    <t>Y2</t>
  </si>
  <si>
    <t>ddr_xm0_b6d6</t>
  </si>
  <si>
    <t>Y1</t>
  </si>
  <si>
    <t>ddr_xm0_b6d7</t>
  </si>
  <si>
    <t>Y7</t>
  </si>
  <si>
    <t>ddr_xm0_b6d8</t>
  </si>
  <si>
    <t>AB3</t>
  </si>
  <si>
    <t>Y5</t>
  </si>
  <si>
    <t>ddr_xm0_b6diffn</t>
  </si>
  <si>
    <t>Y4</t>
  </si>
  <si>
    <t>ddr_xm0_b6diffp</t>
  </si>
  <si>
    <t>AA6</t>
  </si>
  <si>
    <t>ddr_xm0_b6c</t>
  </si>
  <si>
    <t>V3</t>
  </si>
  <si>
    <t>ddr_xm0_b7d0</t>
  </si>
  <si>
    <t>Y9</t>
  </si>
  <si>
    <t>ddr_xm0_b7d1</t>
  </si>
  <si>
    <t>Y8</t>
  </si>
  <si>
    <t>ddr_xm0_b7d2</t>
  </si>
  <si>
    <t>W6</t>
  </si>
  <si>
    <t>ddr_xm0_b7d3</t>
  </si>
  <si>
    <t>V6</t>
  </si>
  <si>
    <t>ddr_xm0_b7d4</t>
  </si>
  <si>
    <t>V2</t>
  </si>
  <si>
    <t>ddr_xm0_b7d5</t>
  </si>
  <si>
    <t>W3</t>
  </si>
  <si>
    <t>V8</t>
  </si>
  <si>
    <t>ddr_xm0_b7d6</t>
  </si>
  <si>
    <t>W4</t>
  </si>
  <si>
    <t>V7</t>
  </si>
  <si>
    <t>ddr_xm0_b7d7</t>
  </si>
  <si>
    <t>V5</t>
  </si>
  <si>
    <t>V1</t>
  </si>
  <si>
    <t>ddr_xm0_b7d8</t>
  </si>
  <si>
    <t>V4</t>
  </si>
  <si>
    <t>ddr_xm0_b7diffn</t>
  </si>
  <si>
    <t>ddr_xm0_b7diffp</t>
  </si>
  <si>
    <t>U9</t>
  </si>
  <si>
    <t>ddr_xm0_b7c</t>
  </si>
  <si>
    <t>U1</t>
  </si>
  <si>
    <t>ddr_xm0_b8d0</t>
  </si>
  <si>
    <t>U2</t>
  </si>
  <si>
    <t>ddr_xm0_b8d1</t>
  </si>
  <si>
    <t>U7</t>
  </si>
  <si>
    <t>ddr_xm0_b8d2</t>
  </si>
  <si>
    <t>U5</t>
  </si>
  <si>
    <t>U3</t>
  </si>
  <si>
    <t>ddr_xm0_b8d3</t>
  </si>
  <si>
    <t>U6</t>
  </si>
  <si>
    <t>ddr_xm0_b8d4</t>
  </si>
  <si>
    <t>R1</t>
  </si>
  <si>
    <t>ddr_xm0_b8d5</t>
  </si>
  <si>
    <t>T4</t>
  </si>
  <si>
    <t>R2</t>
  </si>
  <si>
    <t>ddr_xm0_b8d6</t>
  </si>
  <si>
    <t>R3</t>
  </si>
  <si>
    <t>ddr_xm0_b8d7</t>
  </si>
  <si>
    <t>T6</t>
  </si>
  <si>
    <t>ddr_xm0_b8d8</t>
  </si>
  <si>
    <t>U4</t>
  </si>
  <si>
    <t>ddr_xm0_b8diffn</t>
  </si>
  <si>
    <t>ddr_xm0_b8diffp</t>
  </si>
  <si>
    <t>T3</t>
  </si>
  <si>
    <t>U8</t>
  </si>
  <si>
    <t>ddr_xm0_b8c</t>
  </si>
  <si>
    <t>R5</t>
  </si>
  <si>
    <t>ddr_xm0_b9d0</t>
  </si>
  <si>
    <t>R6</t>
  </si>
  <si>
    <t>ddr_xm0_b9d1</t>
  </si>
  <si>
    <t>P5</t>
  </si>
  <si>
    <t>R7</t>
  </si>
  <si>
    <t>ddr_xm0_b9d2</t>
  </si>
  <si>
    <t>R8</t>
  </si>
  <si>
    <t>ddr_xm0_b9d3</t>
  </si>
  <si>
    <t>P3</t>
  </si>
  <si>
    <t>P4</t>
  </si>
  <si>
    <t>ddr_xm0_b9d4</t>
  </si>
  <si>
    <t>R4</t>
  </si>
  <si>
    <t>ddr_xm0_b9d5</t>
  </si>
  <si>
    <t>N3</t>
  </si>
  <si>
    <t>ddr_xm0_b9d6</t>
  </si>
  <si>
    <t>P2</t>
  </si>
  <si>
    <t>ddr_xm0_b9d7</t>
  </si>
  <si>
    <t>N4</t>
  </si>
  <si>
    <t>P1</t>
  </si>
  <si>
    <t>ddr_xm0_b9d8</t>
  </si>
  <si>
    <t>ddr_xm0_b9diffn</t>
  </si>
  <si>
    <t>P6</t>
  </si>
  <si>
    <t>ddr_xm0_b9diffp</t>
  </si>
  <si>
    <t>R9</t>
  </si>
  <si>
    <t>ddr_xm0_b9c</t>
  </si>
  <si>
    <t>M1</t>
  </si>
  <si>
    <t>P8</t>
  </si>
  <si>
    <t>ddr_xm0_b10d0</t>
  </si>
  <si>
    <t>M2</t>
  </si>
  <si>
    <t>ddr_xm0_b10d1</t>
  </si>
  <si>
    <t>M3</t>
  </si>
  <si>
    <t>N6</t>
  </si>
  <si>
    <t>ddr_xm0_b10d2</t>
  </si>
  <si>
    <t>M5</t>
  </si>
  <si>
    <t>ddr_xm0_b10d3</t>
  </si>
  <si>
    <t>L4</t>
  </si>
  <si>
    <t>P7</t>
  </si>
  <si>
    <t>ddr_xm0_b10d4</t>
  </si>
  <si>
    <t>M4</t>
  </si>
  <si>
    <t>ddr_xm0_b10d5</t>
  </si>
  <si>
    <t>L5</t>
  </si>
  <si>
    <t>ddr_xm0_b10d6</t>
  </si>
  <si>
    <t>L3</t>
  </si>
  <si>
    <t>ddr_xm0_b10d7</t>
  </si>
  <si>
    <t>L6</t>
  </si>
  <si>
    <t>M8</t>
  </si>
  <si>
    <t>ddr_xm0_b10d8</t>
  </si>
  <si>
    <t>L2</t>
  </si>
  <si>
    <t>M6</t>
  </si>
  <si>
    <t>ddr_xm0_b10diffn</t>
  </si>
  <si>
    <t>L1</t>
  </si>
  <si>
    <t>M7</t>
  </si>
  <si>
    <t>ddr_xm0_b10diffp</t>
  </si>
  <si>
    <t>P9</t>
  </si>
  <si>
    <t>ddr_xm0_b10c</t>
  </si>
  <si>
    <t>J1</t>
  </si>
  <si>
    <t>ddr_xm0_b11d0</t>
  </si>
  <si>
    <t>J2</t>
  </si>
  <si>
    <t>ddr_xm0_b11d1</t>
  </si>
  <si>
    <t>K4</t>
  </si>
  <si>
    <t>ddr_xm0_b11d2</t>
  </si>
  <si>
    <t>J3</t>
  </si>
  <si>
    <t>L7</t>
  </si>
  <si>
    <t>ddr_xm0_b11d3</t>
  </si>
  <si>
    <t>ddr_xm0_b11d4</t>
  </si>
  <si>
    <t>ddr_xm0_b11d5</t>
  </si>
  <si>
    <t>ddr_xm0_b11d6</t>
  </si>
  <si>
    <t>ddr_xm0_b11d7</t>
  </si>
  <si>
    <t>K6</t>
  </si>
  <si>
    <t>ddr_xm0_b11d8</t>
  </si>
  <si>
    <t>J4</t>
  </si>
  <si>
    <t>ddr_xm0_b11diffn</t>
  </si>
  <si>
    <t>ddr_xm0_b11diffp</t>
  </si>
  <si>
    <t>unused_DDR_XM0_RESET</t>
  </si>
  <si>
    <t>ddr_xm0_reset</t>
  </si>
  <si>
    <t>G41</t>
  </si>
  <si>
    <t>J40</t>
  </si>
  <si>
    <t>ddr_xm1_b0d0</t>
  </si>
  <si>
    <t>vddio_ddr1</t>
  </si>
  <si>
    <t>H40</t>
  </si>
  <si>
    <t>ddr_xm1_b0d1</t>
  </si>
  <si>
    <t>H39</t>
  </si>
  <si>
    <t>ddr_xm1_b0d2</t>
  </si>
  <si>
    <t>J41</t>
  </si>
  <si>
    <t>J39</t>
  </si>
  <si>
    <t>ddr_xm1_b0d3</t>
  </si>
  <si>
    <t>H41</t>
  </si>
  <si>
    <t>K35</t>
  </si>
  <si>
    <t>ddr_xm1_b0d4</t>
  </si>
  <si>
    <t>G40</t>
  </si>
  <si>
    <t>L38</t>
  </si>
  <si>
    <t>ddr_xm1_b0d5</t>
  </si>
  <si>
    <t>L39</t>
  </si>
  <si>
    <t>ddr_xm1_b0d6</t>
  </si>
  <si>
    <t>H38</t>
  </si>
  <si>
    <t>J38</t>
  </si>
  <si>
    <t>ddr_xm1_b0d7</t>
  </si>
  <si>
    <t>ddr_xm1_b0d8</t>
  </si>
  <si>
    <t>H43</t>
  </si>
  <si>
    <t>L36</t>
  </si>
  <si>
    <t>ddr_xm1_b0diffn</t>
  </si>
  <si>
    <t>H42</t>
  </si>
  <si>
    <t>L37</t>
  </si>
  <si>
    <t>ddr_xm1_b0diffp</t>
  </si>
  <si>
    <t>L40</t>
  </si>
  <si>
    <t>ddr_xm1_b0c</t>
  </si>
  <si>
    <t>L43</t>
  </si>
  <si>
    <t>P33</t>
  </si>
  <si>
    <t>ddr_xm1_b1d0</t>
  </si>
  <si>
    <t>L42</t>
  </si>
  <si>
    <t>P34</t>
  </si>
  <si>
    <t>ddr_xm1_b1d1</t>
  </si>
  <si>
    <t>J43</t>
  </si>
  <si>
    <t>M40</t>
  </si>
  <si>
    <t>ddr_xm1_b1d2</t>
  </si>
  <si>
    <t>M39</t>
  </si>
  <si>
    <t>ddr_xm1_b1d3</t>
  </si>
  <si>
    <t>L41</t>
  </si>
  <si>
    <t>M36</t>
  </si>
  <si>
    <t>ddr_xm1_b1d4</t>
  </si>
  <si>
    <t>J42</t>
  </si>
  <si>
    <t>M33</t>
  </si>
  <si>
    <t>ddr_xm1_b1d5</t>
  </si>
  <si>
    <t>K41</t>
  </si>
  <si>
    <t>M34</t>
  </si>
  <si>
    <t>ddr_xm1_b1d6</t>
  </si>
  <si>
    <t>K40</t>
  </si>
  <si>
    <t>M38</t>
  </si>
  <si>
    <t>ddr_xm1_b1d7</t>
  </si>
  <si>
    <t>M37</t>
  </si>
  <si>
    <t>ddr_xm1_b1d8</t>
  </si>
  <si>
    <t>M35</t>
  </si>
  <si>
    <t>ddr_xm1_b1diffn</t>
  </si>
  <si>
    <t>N35</t>
  </si>
  <si>
    <t>ddr_xm1_b1diffp</t>
  </si>
  <si>
    <t>M43</t>
  </si>
  <si>
    <t>P32</t>
  </si>
  <si>
    <t>ddr_xm1_b1c</t>
  </si>
  <si>
    <t>P43</t>
  </si>
  <si>
    <t>R35</t>
  </si>
  <si>
    <t>ddr_xm1_b2d0</t>
  </si>
  <si>
    <t>M42</t>
  </si>
  <si>
    <t>R36</t>
  </si>
  <si>
    <t>ddr_xm1_b2d1</t>
  </si>
  <si>
    <t>P42</t>
  </si>
  <si>
    <t>R37</t>
  </si>
  <si>
    <t>ddr_xm1_b2d2</t>
  </si>
  <si>
    <t>P41</t>
  </si>
  <si>
    <t>P40</t>
  </si>
  <si>
    <t>ddr_xm1_b2d3</t>
  </si>
  <si>
    <t>M41</t>
  </si>
  <si>
    <t>R34</t>
  </si>
  <si>
    <t>ddr_xm1_b2d4</t>
  </si>
  <si>
    <t>P39</t>
  </si>
  <si>
    <t>ddr_xm1_b2d5</t>
  </si>
  <si>
    <t>P36</t>
  </si>
  <si>
    <t>ddr_xm1_b2d6</t>
  </si>
  <si>
    <t>N41</t>
  </si>
  <si>
    <t>P37</t>
  </si>
  <si>
    <t>ddr_xm1_b2d7</t>
  </si>
  <si>
    <t>N40</t>
  </si>
  <si>
    <t>P38</t>
  </si>
  <si>
    <t>ddr_xm1_b2d8</t>
  </si>
  <si>
    <t>R32</t>
  </si>
  <si>
    <t>ddr_xm1_b2diffn</t>
  </si>
  <si>
    <t>R33</t>
  </si>
  <si>
    <t>ddr_xm1_b2diffp</t>
  </si>
  <si>
    <t>P35</t>
  </si>
  <si>
    <t>ddr_xm1_b2c</t>
  </si>
  <si>
    <t>U43</t>
  </si>
  <si>
    <t>U36</t>
  </si>
  <si>
    <t>ddr_xm1_b3d0</t>
  </si>
  <si>
    <t>U42</t>
  </si>
  <si>
    <t>U37</t>
  </si>
  <si>
    <t>ddr_xm1_b3d1</t>
  </si>
  <si>
    <t>R43</t>
  </si>
  <si>
    <t>U34</t>
  </si>
  <si>
    <t>ddr_xm1_b3d2</t>
  </si>
  <si>
    <t>R38</t>
  </si>
  <si>
    <t>R40</t>
  </si>
  <si>
    <t>ddr_xm1_b3d3</t>
  </si>
  <si>
    <t>T40</t>
  </si>
  <si>
    <t>U33</t>
  </si>
  <si>
    <t>ddr_xm1_b3d4</t>
  </si>
  <si>
    <t>U41</t>
  </si>
  <si>
    <t>T35</t>
  </si>
  <si>
    <t>ddr_xm1_b3d5</t>
  </si>
  <si>
    <t>R42</t>
  </si>
  <si>
    <t>U35</t>
  </si>
  <si>
    <t>ddr_xm1_b3d6</t>
  </si>
  <si>
    <t>R39</t>
  </si>
  <si>
    <t>ddr_xm1_b3d7</t>
  </si>
  <si>
    <t>ddr_xm1_b3d8</t>
  </si>
  <si>
    <t>R41</t>
  </si>
  <si>
    <t>V33</t>
  </si>
  <si>
    <t>ddr_xm1_b3diffn</t>
  </si>
  <si>
    <t>T41</t>
  </si>
  <si>
    <t>V32</t>
  </si>
  <si>
    <t>ddr_xm1_b3diffp</t>
  </si>
  <si>
    <t>U38</t>
  </si>
  <si>
    <t>U32</t>
  </si>
  <si>
    <t>ddr_xm1_b3c</t>
  </si>
  <si>
    <t>W41</t>
  </si>
  <si>
    <t>W35</t>
  </si>
  <si>
    <t>ddr_xm1_b4d0</t>
  </si>
  <si>
    <t>W40</t>
  </si>
  <si>
    <t>V40</t>
  </si>
  <si>
    <t>ddr_xm1_b4d1</t>
  </si>
  <si>
    <t>V38</t>
  </si>
  <si>
    <t>U40</t>
  </si>
  <si>
    <t>ddr_xm1_b4d2</t>
  </si>
  <si>
    <t>Y38</t>
  </si>
  <si>
    <t>V39</t>
  </si>
  <si>
    <t>ddr_xm1_b4d3</t>
  </si>
  <si>
    <t>V37</t>
  </si>
  <si>
    <t>ddr_xm1_b4d4</t>
  </si>
  <si>
    <t>ddr_xm1_b4d5</t>
  </si>
  <si>
    <t>V34</t>
  </si>
  <si>
    <t>ddr_xm1_b4d6</t>
  </si>
  <si>
    <t>U39</t>
  </si>
  <si>
    <t>ddr_xm1_b4d7</t>
  </si>
  <si>
    <t>V41</t>
  </si>
  <si>
    <t>ddr_xm1_b4d8</t>
  </si>
  <si>
    <t>V43</t>
  </si>
  <si>
    <t>V35</t>
  </si>
  <si>
    <t>ddr_xm1_b4diffn</t>
  </si>
  <si>
    <t>V42</t>
  </si>
  <si>
    <t>V36</t>
  </si>
  <si>
    <t>ddr_xm1_b4diffp</t>
  </si>
  <si>
    <t>Y39</t>
  </si>
  <si>
    <t>Y33</t>
  </si>
  <si>
    <t>ddr_xm1_b4c</t>
  </si>
  <si>
    <t>AB41</t>
  </si>
  <si>
    <t>AA32</t>
  </si>
  <si>
    <t>ddr_xm1_b5d0</t>
  </si>
  <si>
    <t>AA43</t>
  </si>
  <si>
    <t>Y34</t>
  </si>
  <si>
    <t>ddr_xm1_b5d1</t>
  </si>
  <si>
    <t>AA42</t>
  </si>
  <si>
    <t>AA36</t>
  </si>
  <si>
    <t>ddr_xm1_b5d2</t>
  </si>
  <si>
    <t>AA41</t>
  </si>
  <si>
    <t>Y40</t>
  </si>
  <si>
    <t>ddr_xm1_b5d3</t>
  </si>
  <si>
    <t>AA39</t>
  </si>
  <si>
    <t>AA35</t>
  </si>
  <si>
    <t>ddr_xm1_b5d4</t>
  </si>
  <si>
    <t>Y41</t>
  </si>
  <si>
    <t>Y35</t>
  </si>
  <si>
    <t>ddr_xm1_b5d5</t>
  </si>
  <si>
    <t>AA38</t>
  </si>
  <si>
    <t>Y37</t>
  </si>
  <si>
    <t>ddr_xm1_b5d6</t>
  </si>
  <si>
    <t>Y42</t>
  </si>
  <si>
    <t>ddr_xm1_b5d7</t>
  </si>
  <si>
    <t>Y43</t>
  </si>
  <si>
    <t>ddr_xm1_b5d8</t>
  </si>
  <si>
    <t>AA33</t>
  </si>
  <si>
    <t>ddr_xm1_b5diffn</t>
  </si>
  <si>
    <t>AA40</t>
  </si>
  <si>
    <t>AA34</t>
  </si>
  <si>
    <t>ddr_xm1_b5diffp</t>
  </si>
  <si>
    <t>AB40</t>
  </si>
  <si>
    <t>Y36</t>
  </si>
  <si>
    <t>ddr_xm1_b5c</t>
  </si>
  <si>
    <t>AC40</t>
  </si>
  <si>
    <t>AA37</t>
  </si>
  <si>
    <t>ddr_xm1_b6d0</t>
  </si>
  <si>
    <t>AC41</t>
  </si>
  <si>
    <t>ddr_xm1_b6d1</t>
  </si>
  <si>
    <t>AC43</t>
  </si>
  <si>
    <t>AB35</t>
  </si>
  <si>
    <t>ddr_xm1_b6d2</t>
  </si>
  <si>
    <t>AC42</t>
  </si>
  <si>
    <t>ddr_xm1_b6d3</t>
  </si>
  <si>
    <t>AD40</t>
  </si>
  <si>
    <t>AC37</t>
  </si>
  <si>
    <t>ddr_xm1_b6d4</t>
  </si>
  <si>
    <t>AD38</t>
  </si>
  <si>
    <t>ddr_xm1_b6d5</t>
  </si>
  <si>
    <t>AD39</t>
  </si>
  <si>
    <t>AC38</t>
  </si>
  <si>
    <t>ddr_xm1_b6d6</t>
  </si>
  <si>
    <t>AD41</t>
  </si>
  <si>
    <t>AC39</t>
  </si>
  <si>
    <t>ddr_xm1_b6d7</t>
  </si>
  <si>
    <t>AE41</t>
  </si>
  <si>
    <t>ddr_xm1_b6d8</t>
  </si>
  <si>
    <t>AD43</t>
  </si>
  <si>
    <t>AC35</t>
  </si>
  <si>
    <t>ddr_xm1_b6diffn</t>
  </si>
  <si>
    <t>AD42</t>
  </si>
  <si>
    <t>AC36</t>
  </si>
  <si>
    <t>ddr_xm1_b6diffp</t>
  </si>
  <si>
    <t>AE40</t>
  </si>
  <si>
    <t>AD32</t>
  </si>
  <si>
    <t>ddr_xm1_b6c</t>
  </si>
  <si>
    <t>AF42</t>
  </si>
  <si>
    <t>AD34</t>
  </si>
  <si>
    <t>ddr_xm1_b7d0</t>
  </si>
  <si>
    <t>AF43</t>
  </si>
  <si>
    <t>ddr_xm1_b7d1</t>
  </si>
  <si>
    <t>AF41</t>
  </si>
  <si>
    <t>ddr_xm1_b7d2</t>
  </si>
  <si>
    <t>AF38</t>
  </si>
  <si>
    <t>AD35</t>
  </si>
  <si>
    <t>ddr_xm1_b7d3</t>
  </si>
  <si>
    <t>AG41</t>
  </si>
  <si>
    <t>AE35</t>
  </si>
  <si>
    <t>ddr_xm1_b7d4</t>
  </si>
  <si>
    <t>AG43</t>
  </si>
  <si>
    <t>ddr_xm1_b7d5</t>
  </si>
  <si>
    <t>AG42</t>
  </si>
  <si>
    <t>AF40</t>
  </si>
  <si>
    <t>ddr_xm1_b7d6</t>
  </si>
  <si>
    <t>AG40</t>
  </si>
  <si>
    <t>AF39</t>
  </si>
  <si>
    <t>ddr_xm1_b7d7</t>
  </si>
  <si>
    <t>AG39</t>
  </si>
  <si>
    <t>ddr_xm1_b7d8</t>
  </si>
  <si>
    <t>AD36</t>
  </si>
  <si>
    <t>ddr_xm1_b7diffn</t>
  </si>
  <si>
    <t>AD37</t>
  </si>
  <si>
    <t>ddr_xm1_b7diffp</t>
  </si>
  <si>
    <t>AG38</t>
  </si>
  <si>
    <t>AD33</t>
  </si>
  <si>
    <t>ddr_xm1_b7c</t>
  </si>
  <si>
    <t>AJ42</t>
  </si>
  <si>
    <t>AF35</t>
  </si>
  <si>
    <t>ddr_xm1_b8d0</t>
  </si>
  <si>
    <t>AH41</t>
  </si>
  <si>
    <t>AF37</t>
  </si>
  <si>
    <t>ddr_xm1_b8d1</t>
  </si>
  <si>
    <t>AH40</t>
  </si>
  <si>
    <t>AF32</t>
  </si>
  <si>
    <t>ddr_xm1_b8d2</t>
  </si>
  <si>
    <t>AJ38</t>
  </si>
  <si>
    <t>AF36</t>
  </si>
  <si>
    <t>ddr_xm1_b8d3</t>
  </si>
  <si>
    <t>AJ41</t>
  </si>
  <si>
    <t>AG35</t>
  </si>
  <si>
    <t>ddr_xm1_b8d4</t>
  </si>
  <si>
    <t>AK39</t>
  </si>
  <si>
    <t>AF33</t>
  </si>
  <si>
    <t>ddr_xm1_b8d5</t>
  </si>
  <si>
    <t>AK38</t>
  </si>
  <si>
    <t>AF34</t>
  </si>
  <si>
    <t>ddr_xm1_b8d6</t>
  </si>
  <si>
    <t>AJ43</t>
  </si>
  <si>
    <t>AG34</t>
  </si>
  <si>
    <t>ddr_xm1_b8d7</t>
  </si>
  <si>
    <t>AK40</t>
  </si>
  <si>
    <t>AG33</t>
  </si>
  <si>
    <t>ddr_xm1_b8d8</t>
  </si>
  <si>
    <t>AJ40</t>
  </si>
  <si>
    <t>AG36</t>
  </si>
  <si>
    <t>ddr_xm1_b8diffn</t>
  </si>
  <si>
    <t>AJ39</t>
  </si>
  <si>
    <t>AG37</t>
  </si>
  <si>
    <t>ddr_xm1_b8diffp</t>
  </si>
  <si>
    <t>AK41</t>
  </si>
  <si>
    <t>AG32</t>
  </si>
  <si>
    <t>ddr_xm1_b8c</t>
  </si>
  <si>
    <t>AK42</t>
  </si>
  <si>
    <t>ddr_xm1_b9d0</t>
  </si>
  <si>
    <t>AL41</t>
  </si>
  <si>
    <t>AH35</t>
  </si>
  <si>
    <t>ddr_xm1_b9d1</t>
  </si>
  <si>
    <t>AM43</t>
  </si>
  <si>
    <t>ddr_xm1_b9d2</t>
  </si>
  <si>
    <t>AN43</t>
  </si>
  <si>
    <t>ddr_xm1_b9d3</t>
  </si>
  <si>
    <t>AM40</t>
  </si>
  <si>
    <t>AJ36</t>
  </si>
  <si>
    <t>ddr_xm1_b9d4</t>
  </si>
  <si>
    <t>AM39</t>
  </si>
  <si>
    <t>ddr_xm1_b9d5</t>
  </si>
  <si>
    <t>AL40</t>
  </si>
  <si>
    <t>AJ37</t>
  </si>
  <si>
    <t>ddr_xm1_b9d6</t>
  </si>
  <si>
    <t>AK43</t>
  </si>
  <si>
    <t>ddr_xm1_b9d7</t>
  </si>
  <si>
    <t>AN42</t>
  </si>
  <si>
    <t>ddr_xm1_b9d8</t>
  </si>
  <si>
    <t>AM41</t>
  </si>
  <si>
    <t>AJ34</t>
  </si>
  <si>
    <t>ddr_xm1_b9diffn</t>
  </si>
  <si>
    <t>AM42</t>
  </si>
  <si>
    <t>AJ35</t>
  </si>
  <si>
    <t>ddr_xm1_b9diffp</t>
  </si>
  <si>
    <t>AM38</t>
  </si>
  <si>
    <t>AJ33</t>
  </si>
  <si>
    <t>ddr_xm1_b9c</t>
  </si>
  <si>
    <t>AN41</t>
  </si>
  <si>
    <t>ddr_xm1_b10d0</t>
  </si>
  <si>
    <t>AP41</t>
  </si>
  <si>
    <t>ddr_xm1_b10d1</t>
  </si>
  <si>
    <t>AN40</t>
  </si>
  <si>
    <t>ddr_xm1_b10d2</t>
  </si>
  <si>
    <t>AR43</t>
  </si>
  <si>
    <t>AK34</t>
  </si>
  <si>
    <t>ddr_xm1_b10d3</t>
  </si>
  <si>
    <t>AP40</t>
  </si>
  <si>
    <t>AK35</t>
  </si>
  <si>
    <t>ddr_xm1_b10d4</t>
  </si>
  <si>
    <t>AN39</t>
  </si>
  <si>
    <t>ddr_xm1_b10d5</t>
  </si>
  <si>
    <t>ddr_xm1_b10d6</t>
  </si>
  <si>
    <t>ddr_xm1_b10d7</t>
  </si>
  <si>
    <t>AN38</t>
  </si>
  <si>
    <t>AL35</t>
  </si>
  <si>
    <t>ddr_xm1_b10d8</t>
  </si>
  <si>
    <t>AR41</t>
  </si>
  <si>
    <t>AK37</t>
  </si>
  <si>
    <t>ddr_xm1_b10diffn</t>
  </si>
  <si>
    <t>AR42</t>
  </si>
  <si>
    <t>AK36</t>
  </si>
  <si>
    <t>ddr_xm1_b10diffp</t>
  </si>
  <si>
    <t>AK33</t>
  </si>
  <si>
    <t>ddr_xm1_b10c</t>
  </si>
  <si>
    <t>AT43</t>
  </si>
  <si>
    <t>AM33</t>
  </si>
  <si>
    <t>ddr_xm1_b11d0</t>
  </si>
  <si>
    <t>AV42</t>
  </si>
  <si>
    <t>ddr_xm1_b11d1</t>
  </si>
  <si>
    <t>AT42</t>
  </si>
  <si>
    <t>AM37</t>
  </si>
  <si>
    <t>ddr_xm1_b11d2</t>
  </si>
  <si>
    <t>AT38</t>
  </si>
  <si>
    <t>ddr_xm1_b11d3</t>
  </si>
  <si>
    <t>AN36</t>
  </si>
  <si>
    <t>ddr_xm1_b11d4</t>
  </si>
  <si>
    <t>AV40</t>
  </si>
  <si>
    <t>ddr_xm1_b11d5</t>
  </si>
  <si>
    <t>AN37</t>
  </si>
  <si>
    <t>ddr_xm1_b11d6</t>
  </si>
  <si>
    <t>AN35</t>
  </si>
  <si>
    <t>ddr_xm1_b11d7</t>
  </si>
  <si>
    <t>AV41</t>
  </si>
  <si>
    <t>AN34</t>
  </si>
  <si>
    <t>ddr_xm1_b11d8</t>
  </si>
  <si>
    <t>AT41</t>
  </si>
  <si>
    <t>AM35</t>
  </si>
  <si>
    <t>ddr_xm1_b11diffn</t>
  </si>
  <si>
    <t>AU41</t>
  </si>
  <si>
    <t>AM36</t>
  </si>
  <si>
    <t>ddr_xm1_b11diffp</t>
  </si>
  <si>
    <t>AV39</t>
  </si>
  <si>
    <t>AP35</t>
  </si>
  <si>
    <t>unused_DDR_XM1_RESET</t>
  </si>
  <si>
    <t>ddr_xm1_reset</t>
  </si>
  <si>
    <t>G26</t>
  </si>
  <si>
    <t>unused_XTAL_IN</t>
  </si>
  <si>
    <t>xtal_in</t>
  </si>
  <si>
    <t>unused_XTAL_OUT</t>
  </si>
  <si>
    <t>xtal_out</t>
  </si>
  <si>
    <t>UART3_CTS#</t>
  </si>
  <si>
    <t>UART3_RTS#</t>
  </si>
  <si>
    <t>SDIO_RST#</t>
  </si>
  <si>
    <t>I2S1_CLK</t>
  </si>
  <si>
    <t>I2S1_SDOUT</t>
  </si>
  <si>
    <t>I2S1_LRCLK</t>
  </si>
  <si>
    <t>I2S1_SDIN</t>
  </si>
  <si>
    <t>I2C_GP1_CLK</t>
  </si>
  <si>
    <t>I2C_GP1_DAT</t>
  </si>
  <si>
    <t>I2S0_CLK</t>
  </si>
  <si>
    <t>I2S0_LRCLK</t>
  </si>
  <si>
    <t>I2S0_SDIN</t>
  </si>
  <si>
    <t>I2S0_SDOUT</t>
  </si>
  <si>
    <t>DSPK_OUT_CLK</t>
  </si>
  <si>
    <t>DSPK_OUT_DAT</t>
  </si>
  <si>
    <t>I2S2_CLK</t>
  </si>
  <si>
    <t>I2S2_SDOUT</t>
  </si>
  <si>
    <t>I2S2_LRCLK</t>
  </si>
  <si>
    <t>I2S2_SDIN</t>
  </si>
  <si>
    <t>I2S3_CLK</t>
  </si>
  <si>
    <t>I2S3_LRCLK</t>
  </si>
  <si>
    <t>I2S3_SDIN</t>
  </si>
  <si>
    <t>I2S3_SDOUT</t>
  </si>
  <si>
    <t>CAM2_MCLK</t>
  </si>
  <si>
    <t>SPI1_CLK</t>
  </si>
  <si>
    <t>SPI1_MISO</t>
  </si>
  <si>
    <t>SPI1_MOSI</t>
  </si>
  <si>
    <t>SPI1_CS0#</t>
  </si>
  <si>
    <t>I2C_CAM_CLK</t>
  </si>
  <si>
    <t>I2C_CAM_DAT</t>
  </si>
  <si>
    <t>PEX0_REFCLK+</t>
  </si>
  <si>
    <t>PEX0_REFCLK-</t>
  </si>
  <si>
    <t>PEX1_REFCLK+</t>
  </si>
  <si>
    <t>PEX1_REFCLK-</t>
  </si>
  <si>
    <t>PEX2_REFCLK+</t>
  </si>
  <si>
    <t>PEX2_REFCLK-</t>
  </si>
  <si>
    <t>PEX2_RST#</t>
  </si>
  <si>
    <t>PEX1_RST#</t>
  </si>
  <si>
    <t>SDCARD_CLK</t>
  </si>
  <si>
    <t>SDCARD_CMD</t>
  </si>
  <si>
    <t>SDCARD_D0</t>
  </si>
  <si>
    <t>SDCARD_D1</t>
  </si>
  <si>
    <t>SDCARD_D2</t>
  </si>
  <si>
    <t>SDCARD_D3</t>
  </si>
  <si>
    <t>LCD_TE</t>
  </si>
  <si>
    <t>LCD0_BKLT_PWM</t>
  </si>
  <si>
    <t>GSYNC_VSYNC</t>
  </si>
  <si>
    <t>LCD_BKLT_EN</t>
  </si>
  <si>
    <t>GSYNC_HSYNC</t>
  </si>
  <si>
    <t>LCD1_BKLT_PWM</t>
  </si>
  <si>
    <t>DSI0_CLK-</t>
  </si>
  <si>
    <t>DSI0_CLK+</t>
  </si>
  <si>
    <t>DSI0_D0-</t>
  </si>
  <si>
    <t>DSI0_D0+</t>
  </si>
  <si>
    <t>DSI0_D1-</t>
  </si>
  <si>
    <t>DSI0_D1+</t>
  </si>
  <si>
    <t>DSI1_CLK-</t>
  </si>
  <si>
    <t>DSI1_CLK+</t>
  </si>
  <si>
    <t>DSI1_D0-</t>
  </si>
  <si>
    <t>DSI1_D0+</t>
  </si>
  <si>
    <t>DSI1_D1-</t>
  </si>
  <si>
    <t>DSI1_D1+</t>
  </si>
  <si>
    <t>DSI2_CLK-</t>
  </si>
  <si>
    <t>DSI2_CLK+</t>
  </si>
  <si>
    <t>DSI2_D0-</t>
  </si>
  <si>
    <t>DSI2_D0+</t>
  </si>
  <si>
    <t>DSI2_D1-</t>
  </si>
  <si>
    <t>DSI2_D1+</t>
  </si>
  <si>
    <t>DSI3_CLK-</t>
  </si>
  <si>
    <t>DSI3_CLK+</t>
  </si>
  <si>
    <t>DSI3_D0-</t>
  </si>
  <si>
    <t>DSI3_D0+</t>
  </si>
  <si>
    <t>DSI3_D1-</t>
  </si>
  <si>
    <t>DSI3_D1+</t>
  </si>
  <si>
    <t>CSI0_CLK-</t>
  </si>
  <si>
    <t>CSI0_CLK+</t>
  </si>
  <si>
    <t>CSI0_D0-</t>
  </si>
  <si>
    <t>CSI0_D0+</t>
  </si>
  <si>
    <t>CSI0_D1-</t>
  </si>
  <si>
    <t>CSI0_D1+</t>
  </si>
  <si>
    <t>CSI1_CLK-</t>
  </si>
  <si>
    <t>CSI1_CLK+</t>
  </si>
  <si>
    <t>CSI1_D0-</t>
  </si>
  <si>
    <t>CSI1_D0+</t>
  </si>
  <si>
    <t>CSI1_D1-</t>
  </si>
  <si>
    <t>CSI1_D1+</t>
  </si>
  <si>
    <t>CSI2_CLK-</t>
  </si>
  <si>
    <t>CSI2_CLK+</t>
  </si>
  <si>
    <t>CSI2_D0-</t>
  </si>
  <si>
    <t>CSI2_D0+</t>
  </si>
  <si>
    <t>CSI2_D1-</t>
  </si>
  <si>
    <t>CSI2_D1+</t>
  </si>
  <si>
    <t>CSI3_CLK-</t>
  </si>
  <si>
    <t>CSI3_CLK+</t>
  </si>
  <si>
    <t>CSI3_D0-</t>
  </si>
  <si>
    <t>CSI3_D0+</t>
  </si>
  <si>
    <t>CSI3_D1-</t>
  </si>
  <si>
    <t>CSI3_D1+</t>
  </si>
  <si>
    <t>CSI4_CLK-</t>
  </si>
  <si>
    <t>CSI4_CLK+</t>
  </si>
  <si>
    <t>CSI4_D0-</t>
  </si>
  <si>
    <t>CSI4_D0+</t>
  </si>
  <si>
    <t>CSI4_D1-</t>
  </si>
  <si>
    <t>CSI4_D1+</t>
  </si>
  <si>
    <t>CSI5_CLK-</t>
  </si>
  <si>
    <t>CSI5_CLK+</t>
  </si>
  <si>
    <t>CSI5_D0-</t>
  </si>
  <si>
    <t>CSI5_D0+</t>
  </si>
  <si>
    <t>CSI5_D1-</t>
  </si>
  <si>
    <t>CSI5_D1+</t>
  </si>
  <si>
    <t>SATA_RX-</t>
  </si>
  <si>
    <t>SATA_RX+</t>
  </si>
  <si>
    <t>SATA_TX-</t>
  </si>
  <si>
    <t>SATA_TX+</t>
  </si>
  <si>
    <t>PEX0_RX-</t>
  </si>
  <si>
    <t>PEX0_RX+</t>
  </si>
  <si>
    <t>PEX0_TX-</t>
  </si>
  <si>
    <t>PEX0_TX+</t>
  </si>
  <si>
    <t>USB0_D-</t>
  </si>
  <si>
    <t>USB0_D+</t>
  </si>
  <si>
    <t>USB1_D-</t>
  </si>
  <si>
    <t>USB1_D+</t>
  </si>
  <si>
    <t>USB2_D-</t>
  </si>
  <si>
    <t>USB2_D+</t>
  </si>
  <si>
    <t>USB 2.1</t>
  </si>
  <si>
    <t>DP1_TX0+</t>
  </si>
  <si>
    <t>DP1_TX0-</t>
  </si>
  <si>
    <t>DP1_TX1+</t>
  </si>
  <si>
    <t>DP1_TX1-</t>
  </si>
  <si>
    <t>DP1_TX2+</t>
  </si>
  <si>
    <t>DP1_TX2-</t>
  </si>
  <si>
    <t>DP1_TX3+</t>
  </si>
  <si>
    <t>DP1_TX3-</t>
  </si>
  <si>
    <t>DP0_TX0+</t>
  </si>
  <si>
    <t>DP0_TX0-</t>
  </si>
  <si>
    <t>DP0_TX1+</t>
  </si>
  <si>
    <t>DP0_TX1-</t>
  </si>
  <si>
    <t>DP0_TX2+</t>
  </si>
  <si>
    <t>DP0_TX2-</t>
  </si>
  <si>
    <t>DP0_TX3+</t>
  </si>
  <si>
    <t>DP0_TX3-</t>
  </si>
  <si>
    <t>DP0_AUX_CH+</t>
  </si>
  <si>
    <t>DP0_AUX_CH-</t>
  </si>
  <si>
    <t>DP0_HPD</t>
  </si>
  <si>
    <t>DP1_AUX_CH+</t>
  </si>
  <si>
    <t>DP1_AUX_CH-</t>
  </si>
  <si>
    <t>DP1_HPD</t>
  </si>
  <si>
    <t>SDCARD_CD#</t>
  </si>
  <si>
    <t>CAN1_STBY</t>
  </si>
  <si>
    <t>CAN0_ERR</t>
  </si>
  <si>
    <t>CAN_WAKE</t>
  </si>
  <si>
    <t>CAN1_ERR</t>
  </si>
  <si>
    <t>AO_DMIC_IN_CLK</t>
  </si>
  <si>
    <t>AO_DMIC_IN_DAT</t>
  </si>
  <si>
    <t>CAN0_RX</t>
  </si>
  <si>
    <t>CAN0_TX</t>
  </si>
  <si>
    <t>CAN1_TX</t>
  </si>
  <si>
    <t>CAN1_RX</t>
  </si>
  <si>
    <t>UART0_CTS#</t>
  </si>
  <si>
    <t>UART0_RTS#</t>
  </si>
  <si>
    <t>UART0_RX</t>
  </si>
  <si>
    <t>UART0_TX</t>
  </si>
  <si>
    <t>UART1_RTS#</t>
  </si>
  <si>
    <t>UART1_CTS#</t>
  </si>
  <si>
    <t>I2C_PM_CLK</t>
  </si>
  <si>
    <t>I2C_PM_DAT</t>
  </si>
  <si>
    <t>I2C_GP0_DAT</t>
  </si>
  <si>
    <t>I2C_GP0_CLK</t>
  </si>
  <si>
    <t>SPI0_CS0#</t>
  </si>
  <si>
    <t>SPI0_MOSI</t>
  </si>
  <si>
    <t>SPI0_MISO</t>
  </si>
  <si>
    <t>SPI0_CLK</t>
  </si>
  <si>
    <t>SPI2_CS0#</t>
  </si>
  <si>
    <t>SPI2_MOSI</t>
  </si>
  <si>
    <t>SPI2_MISO</t>
  </si>
  <si>
    <t>SPI2_CLK</t>
  </si>
  <si>
    <t>CARRIER_STBY#</t>
  </si>
  <si>
    <t>USB0_EN_OC#</t>
  </si>
  <si>
    <t>USB1_EN_OC#</t>
  </si>
  <si>
    <t>I2C_GP2_CLK</t>
  </si>
  <si>
    <t>I2C_GP2_DAT</t>
  </si>
  <si>
    <t>SPI2_CS1#</t>
  </si>
  <si>
    <t>UART2_CTS#</t>
  </si>
  <si>
    <t>Names</t>
  </si>
  <si>
    <t>UART2_RTS#</t>
  </si>
  <si>
    <t>Output</t>
  </si>
  <si>
    <t>Input</t>
  </si>
  <si>
    <t>Int PU</t>
  </si>
  <si>
    <t>Drive 1</t>
  </si>
  <si>
    <t>Yes</t>
  </si>
  <si>
    <t>Drive 0</t>
  </si>
  <si>
    <t>Bidirectional</t>
  </si>
  <si>
    <t>Enable</t>
  </si>
  <si>
    <t>Int PD</t>
  </si>
  <si>
    <t>100K</t>
  </si>
  <si>
    <t>47K</t>
  </si>
  <si>
    <t>GPIO (CVB_BT_EN)</t>
  </si>
  <si>
    <t>GPIO (CVB_BT_WAKE_AP)</t>
  </si>
  <si>
    <t>GPIO(CVB_WIFI_EN)</t>
  </si>
  <si>
    <t>GPIO(CVB_WIFI_WAKE_AP)</t>
  </si>
  <si>
    <t>CDC_RST(AUD_RST/GPIO20)</t>
  </si>
  <si>
    <t>GPIO (ENETPHY_INT)</t>
  </si>
  <si>
    <t>GPIO (ENETPHY_RST)</t>
  </si>
  <si>
    <t>SPI4_MISO</t>
  </si>
  <si>
    <t>SPI4_MOSI</t>
  </si>
  <si>
    <t>PE1_RSTL</t>
  </si>
  <si>
    <t>THERMAL_SHUTDOWN*</t>
  </si>
  <si>
    <t>GPIO(BCPU_PWR_REQ)</t>
  </si>
  <si>
    <t>GPIO(GPU_PWR_REQ)</t>
  </si>
  <si>
    <t>UART1  (GPS  /  R-Pi Header)</t>
  </si>
  <si>
    <t>SPE_DEBUG_UART_TX</t>
  </si>
  <si>
    <t>SPE_DEBUG_UART_RX</t>
  </si>
  <si>
    <t>TEMP_ALERT</t>
  </si>
  <si>
    <t>SPI0_CLK (Touch)</t>
  </si>
  <si>
    <t xml:space="preserve"> AO_DMIC_IN_DAT  /  CAN_GPIO0</t>
  </si>
  <si>
    <t>AO_DMIC_IN_CLK  /  CAN_GPIO1</t>
  </si>
  <si>
    <t>GPIO9 / MOTION_INT</t>
  </si>
  <si>
    <t>CAN1_ERR  /  CAN_GPIO3</t>
  </si>
  <si>
    <t>CAN_WAKE  /  CAN_GPIO4</t>
  </si>
  <si>
    <t>CAN0_ERR  /  CAN_GPIO5</t>
  </si>
  <si>
    <t>CAN1_STBY  /  CAN_GPIO6</t>
  </si>
  <si>
    <t>GPIO6  /  TOUCH_INT</t>
  </si>
  <si>
    <t>HDMI / DP 0</t>
  </si>
  <si>
    <t xml:space="preserve">HDMI / DP 1 </t>
  </si>
  <si>
    <t>Available</t>
  </si>
  <si>
    <t>DDR Channel 0</t>
  </si>
  <si>
    <t>DDR Channel 1</t>
  </si>
  <si>
    <t>USB_SS0_RX-</t>
  </si>
  <si>
    <t>USB_SS0_RX+</t>
  </si>
  <si>
    <t>USB_SS0_TX-</t>
  </si>
  <si>
    <t>USB_SS0_TX+</t>
  </si>
  <si>
    <t>PEX2_RX-</t>
  </si>
  <si>
    <t>PEX2_RX+</t>
  </si>
  <si>
    <t>PEX2_TX-</t>
  </si>
  <si>
    <t>PEX2_TX+</t>
  </si>
  <si>
    <t>PEX_RFU_RX-</t>
  </si>
  <si>
    <t>PEX_RFU_RX+</t>
  </si>
  <si>
    <t>PEX_RFU_TX+</t>
  </si>
  <si>
    <t>PEX_RFU_TX-</t>
  </si>
  <si>
    <t>GPIO/SD_POWER_EN</t>
  </si>
  <si>
    <t>GPIO/SDCARD_CARD_DETECT</t>
  </si>
  <si>
    <t>Signal Name</t>
  </si>
  <si>
    <t>Pin #</t>
  </si>
  <si>
    <t>A10</t>
  </si>
  <si>
    <t>A13</t>
  </si>
  <si>
    <t>A16</t>
  </si>
  <si>
    <t>A22</t>
  </si>
  <si>
    <t>A25</t>
  </si>
  <si>
    <t>A34</t>
  </si>
  <si>
    <t>A44</t>
  </si>
  <si>
    <t>A45</t>
  </si>
  <si>
    <t>A47</t>
  </si>
  <si>
    <t>B7</t>
  </si>
  <si>
    <t>B10</t>
  </si>
  <si>
    <t>B13</t>
  </si>
  <si>
    <t>B16</t>
  </si>
  <si>
    <t>B19</t>
  </si>
  <si>
    <t>B22</t>
  </si>
  <si>
    <t>B25</t>
  </si>
  <si>
    <t>B28</t>
  </si>
  <si>
    <t>B34</t>
  </si>
  <si>
    <t>B37</t>
  </si>
  <si>
    <t>B40</t>
  </si>
  <si>
    <t>B43</t>
  </si>
  <si>
    <t>B42</t>
  </si>
  <si>
    <t>B45</t>
  </si>
  <si>
    <t>B46</t>
  </si>
  <si>
    <t>B50</t>
  </si>
  <si>
    <t>C7</t>
  </si>
  <si>
    <t>C16</t>
  </si>
  <si>
    <t>C22</t>
  </si>
  <si>
    <t>C41</t>
  </si>
  <si>
    <t>C48</t>
  </si>
  <si>
    <t>C49</t>
  </si>
  <si>
    <t>D28</t>
  </si>
  <si>
    <t>D39</t>
  </si>
  <si>
    <t>D40</t>
  </si>
  <si>
    <t>D45</t>
  </si>
  <si>
    <t>D46</t>
  </si>
  <si>
    <t>D48</t>
  </si>
  <si>
    <t>E10</t>
  </si>
  <si>
    <t>E38</t>
  </si>
  <si>
    <t>E39</t>
  </si>
  <si>
    <t>E44</t>
  </si>
  <si>
    <t>E45</t>
  </si>
  <si>
    <t>E50</t>
  </si>
  <si>
    <t>F7</t>
  </si>
  <si>
    <t>F13</t>
  </si>
  <si>
    <t>F16</t>
  </si>
  <si>
    <t>F19</t>
  </si>
  <si>
    <t>F22</t>
  </si>
  <si>
    <t>G1</t>
  </si>
  <si>
    <t>G2</t>
  </si>
  <si>
    <t>G7</t>
  </si>
  <si>
    <t>G13</t>
  </si>
  <si>
    <t>G16</t>
  </si>
  <si>
    <t>G18</t>
  </si>
  <si>
    <t>G19</t>
  </si>
  <si>
    <t>G21</t>
  </si>
  <si>
    <t>G22</t>
  </si>
  <si>
    <t>G25</t>
  </si>
  <si>
    <t>G28</t>
  </si>
  <si>
    <t>G31</t>
  </si>
  <si>
    <t>G34</t>
  </si>
  <si>
    <t>G33</t>
  </si>
  <si>
    <t>G37</t>
  </si>
  <si>
    <t>G39</t>
  </si>
  <si>
    <t>G45</t>
  </si>
  <si>
    <t>G46</t>
  </si>
  <si>
    <t>H8</t>
  </si>
  <si>
    <t>H13</t>
  </si>
  <si>
    <t>H16</t>
  </si>
  <si>
    <t>H17</t>
  </si>
  <si>
    <t>H18</t>
  </si>
  <si>
    <t>H20</t>
  </si>
  <si>
    <t>H21</t>
  </si>
  <si>
    <t>H23</t>
  </si>
  <si>
    <t>H24</t>
  </si>
  <si>
    <t>H26</t>
  </si>
  <si>
    <t>H28</t>
  </si>
  <si>
    <t>H32</t>
  </si>
  <si>
    <t>H36</t>
  </si>
  <si>
    <t>H35</t>
  </si>
  <si>
    <t>H45</t>
  </si>
  <si>
    <t>H44</t>
  </si>
  <si>
    <t>A42</t>
  </si>
  <si>
    <t>G10</t>
  </si>
  <si>
    <t>H9</t>
  </si>
  <si>
    <t>H10</t>
  </si>
  <si>
    <t>E7</t>
  </si>
  <si>
    <t>D49</t>
  </si>
  <si>
    <t>D7</t>
  </si>
  <si>
    <t>C10</t>
  </si>
  <si>
    <t>C13</t>
  </si>
  <si>
    <t>C19</t>
  </si>
  <si>
    <t>D19</t>
  </si>
  <si>
    <t>E16</t>
  </si>
  <si>
    <t>D16</t>
  </si>
  <si>
    <t>PEX1_RX-/USB_SS0_RX-</t>
  </si>
  <si>
    <t>H42/F44</t>
  </si>
  <si>
    <t>PEX1_RX+/USB_SS0_RX+</t>
  </si>
  <si>
    <t>H41/F43</t>
  </si>
  <si>
    <t>PEX1_TX-/USB_SS0_TX-</t>
  </si>
  <si>
    <t>E42/C44</t>
  </si>
  <si>
    <t>PEX1_TX+/USB_SS0_TX+</t>
  </si>
  <si>
    <t>E41/C43</t>
  </si>
  <si>
    <t>USB_SS1_RX-</t>
  </si>
  <si>
    <t>USB_SS1_RX+</t>
  </si>
  <si>
    <t>USB_SS1_TX-</t>
  </si>
  <si>
    <t>USB_SS1_TX+</t>
  </si>
  <si>
    <t>USB_SS</t>
  </si>
  <si>
    <t>PEX_x4_L3</t>
  </si>
  <si>
    <t>PEX_x4_L1</t>
  </si>
  <si>
    <t>PEX_x4_L2</t>
  </si>
  <si>
    <t>PEX_x4_L0</t>
  </si>
  <si>
    <t>20K</t>
  </si>
  <si>
    <t>18k</t>
  </si>
  <si>
    <t>Z</t>
  </si>
  <si>
    <t>CAM1_PWD</t>
  </si>
  <si>
    <t>GP_PWM8</t>
  </si>
  <si>
    <t>CAM_STROBE</t>
  </si>
  <si>
    <t>SOM Connector</t>
  </si>
  <si>
    <t>IC Ball Name</t>
  </si>
  <si>
    <t>Customer Usage Description or Net Names</t>
  </si>
  <si>
    <t>UART4_TX (SOM: UART3_TX)</t>
  </si>
  <si>
    <t>UART4_RX (SOM: UART3_RX)</t>
  </si>
  <si>
    <t>UART4_RTS (SOM: UART3_RTS)</t>
  </si>
  <si>
    <t>UART4_CTS (SOM: UART3_CTS)</t>
  </si>
  <si>
    <t>DAP2_SCLK (SOM: I2S1_SCLK)</t>
  </si>
  <si>
    <t>DAP2_DOUT (SOM: I2S1_SDATA_OUT)</t>
  </si>
  <si>
    <t>DAP2_DIN (SOM: I2S1_SDATA_IN)</t>
  </si>
  <si>
    <t>DAP2_FS (SOM: I2S1_LRCK)</t>
  </si>
  <si>
    <t>GEN1_I2C_SCL (SOM: I2C_GP1_CLK)</t>
  </si>
  <si>
    <t>GEN1_I2C_SDA (SOM: I2C_GP1_DAT)</t>
  </si>
  <si>
    <t>DAP1_SCLK (SOM: I2S0_CLK)</t>
  </si>
  <si>
    <t>DAP1_DOUT (SOM: I2S0_SDOUT)</t>
  </si>
  <si>
    <t>DAP1_DIN (SOM: I2S0_SDIN)</t>
  </si>
  <si>
    <t>DAP1_FS (SOM: I2S0_LRCK)</t>
  </si>
  <si>
    <t>AUDIO_MCLK (SOM:AUDIO_MCLK)</t>
  </si>
  <si>
    <t>CDC_INT(SOM:AUD_INT/GPIO19)</t>
  </si>
  <si>
    <t>DSPK1_DAT(SOM:DSPK_OUT_DAT)</t>
  </si>
  <si>
    <t>DSPK1_CLK(SOM:DSPK_OUT_CLK)</t>
  </si>
  <si>
    <t>I2S3_LRCLK(SOM:I2S2_LRCLK)</t>
  </si>
  <si>
    <t>I2S3_SDATA_IN(SOM:I2S2_SDIN)</t>
  </si>
  <si>
    <t>I2S3_SDATA_OUT(SOM:I2S2_SDOUT)</t>
  </si>
  <si>
    <t>I2S3_CLK(SOM:I2S2_CLK)</t>
  </si>
  <si>
    <t>DAP4_SCLK (SOM: I2S3_SCLK)</t>
  </si>
  <si>
    <t>DAP4_DOUT (SOM: I2S3_SDOUT)</t>
  </si>
  <si>
    <t>DAP4_DIN (SOM: I2S3_SDIN)</t>
  </si>
  <si>
    <t>DAP4_FS (SOM: I2S3_LRCK)</t>
  </si>
  <si>
    <t>SOM: GPIO8/ALS_PROX_INT</t>
  </si>
  <si>
    <t>SOM: GPIO11/AP_WAKE_BT</t>
  </si>
  <si>
    <t>SOM: GPIO18/MDM_COLDBOOT</t>
  </si>
  <si>
    <t>SOM: GPIO17/MDM2AP_READY</t>
  </si>
  <si>
    <t>EXTPERIPH2_CLK(SOM: CAM0_MCLK)</t>
  </si>
  <si>
    <t>EXTPERIPH1_CLK(SOM: CAM1_MCLK)</t>
  </si>
  <si>
    <t>SOM_WIFI_EN</t>
  </si>
  <si>
    <t>EXTPERIPH3_CLK(SOM:CAM2_MCLK)</t>
  </si>
  <si>
    <t>PE0_RST_L(SOM: PEX0_RST#)</t>
  </si>
  <si>
    <t>PE0_CLKREQ_L(SOM: PEX0_CLKREQ#)</t>
  </si>
  <si>
    <t>PE2_RST_L(SOM: PEX2__RST#)</t>
  </si>
  <si>
    <t>PE2_CLKREQ_L(SOM:PEX2_CLKREQ#)</t>
  </si>
  <si>
    <t>PE_WAKE_L(SOM: PEX_WAKE#)</t>
  </si>
  <si>
    <t>PE0_CLK_OUT_1(SOM: PEX0_REFCLK)</t>
  </si>
  <si>
    <t>PE0_CLK_OUT_2(SOM: PEX1_REFCLK)</t>
  </si>
  <si>
    <t>PE0_CLK_OUT_3(SOM: PEX2_REFCLK)</t>
  </si>
  <si>
    <t>SDMMC1_CLK(SOM: SDCARD_CLK)</t>
  </si>
  <si>
    <t>SDMMC1_CMD(SOM: SDCARD_CMD)</t>
  </si>
  <si>
    <t>SDMMC1_DAT0(SOM: SDCARD_D0)</t>
  </si>
  <si>
    <t>SDMMC1_DAT1(SOM: SDCARD_D1)</t>
  </si>
  <si>
    <t>SDMMC1_DAT2(SOM: SDCARD_D2)</t>
  </si>
  <si>
    <t>SDMMC1_DAT3(SOM: SDCARD_D3)</t>
  </si>
  <si>
    <t>SDMMC3_CLK(SOM:SDIO_CLK)</t>
  </si>
  <si>
    <t>SDMMC3_CMD(SOM:SDIO_CMD)</t>
  </si>
  <si>
    <t>SDMMC3_DAT0(SOM:SDIO_D0)</t>
  </si>
  <si>
    <t>SDMMC3_DAT1(SOM:SDIO_D1)</t>
  </si>
  <si>
    <t>SDMMC3_DAT2(SOM:SDIO_D2)</t>
  </si>
  <si>
    <t>SDMMC3_DAT3(SOM:SDIO_D3)</t>
  </si>
  <si>
    <t>GPIO(SOM:FORCE_RECOV#)</t>
  </si>
  <si>
    <t>GPIO(SOM: SLEEP#)</t>
  </si>
  <si>
    <t>SOM_WIFI_WAKE_AP</t>
  </si>
  <si>
    <t>SOM_BT_WAKE_AP</t>
  </si>
  <si>
    <t>GP_PWM1(SOM: LCD0_BL_PWM1)</t>
  </si>
  <si>
    <t>DCA_LSPII(SOM: LCD_TE)</t>
  </si>
  <si>
    <t>DCA_VSYNC(SOM: GSYNC_VSYNC)</t>
  </si>
  <si>
    <t>GPIO(SOM: LCD_BL_EN)</t>
  </si>
  <si>
    <t>DCA_HSYNC(SOM:GSYNC_HSYNC)</t>
  </si>
  <si>
    <t>GP_PWM3(SOM: LCD1_BKLT_PWM)</t>
  </si>
  <si>
    <t>GPIO(SOM: POWER_BTN#)</t>
  </si>
  <si>
    <t>RESET(SOM: RESET_IN#)</t>
  </si>
  <si>
    <t>GPIO(SOM: GPIO7/TOUCH_RST)</t>
  </si>
  <si>
    <t>SOC_THERM_OC5(SOM: COMP_OUT_OD)</t>
  </si>
  <si>
    <t>UB3_TXD(SOM: UART2_TX)</t>
  </si>
  <si>
    <t>UB3_RXD(SOM:UART2_RX)</t>
  </si>
  <si>
    <t>UB3_RTS(SOM:UART2_RTS)</t>
  </si>
  <si>
    <t>UB3_CTS(SOM:UART2_CTS)</t>
  </si>
  <si>
    <t>NV_THERM_FAN_TACH(SOM: FAN_TACH)</t>
  </si>
  <si>
    <t>GPIO(SOM: GPIO5/CAM_FLASH_EN)</t>
  </si>
  <si>
    <t>GPIO(SOM:USB0_VBUS_DET)</t>
  </si>
  <si>
    <t>GPIO(SOM: GPIO_EXP0_INT)</t>
  </si>
  <si>
    <t>GPIO(SOM:BATLOW#)</t>
  </si>
  <si>
    <t>SPI1_CS1(SOM: SPI1_CS1#)</t>
  </si>
  <si>
    <t>GPIO(SOM_AP_WAKE_BT)</t>
  </si>
  <si>
    <t>GPIO(SOM_WIFI_INA_WARN)</t>
  </si>
  <si>
    <t>GPIO(SOM: GPIO_EXP1_INT)</t>
  </si>
  <si>
    <t>GPIO(SOM:USB_VBUS_EN0)</t>
  </si>
  <si>
    <t>GPIO(SOM:USB_VBUS_EN1)</t>
  </si>
  <si>
    <t>SOM: BT_EN</t>
  </si>
  <si>
    <t>SPI1_SCK(SOM: SPI1_SCK)</t>
  </si>
  <si>
    <t>SPI1_DIN(SOM: SPI1_MISO)</t>
  </si>
  <si>
    <t>SPI1_DOUT(SOM: SPI1_MOSI)</t>
  </si>
  <si>
    <t>SPI1_CS0(SOM: SPI1_CS0#)</t>
  </si>
  <si>
    <t>SOM_UPHY1_MUX_SEL</t>
  </si>
  <si>
    <t>SOM_UPHY3_MUX_SEL</t>
  </si>
  <si>
    <t>SOM "GPIO15/AP2MDM_READY"</t>
  </si>
  <si>
    <t>SOM "GPIO14/AP_WAKE_MDM"</t>
  </si>
  <si>
    <t>G43</t>
  </si>
  <si>
    <t>G42</t>
  </si>
  <si>
    <t>D43</t>
  </si>
  <si>
    <t>D42</t>
  </si>
  <si>
    <t>CAN 1 Data</t>
  </si>
  <si>
    <t>CAN 0 Data</t>
  </si>
  <si>
    <t>I2C7(SOM: I2C_GP2_CLK)</t>
  </si>
  <si>
    <t>I2C7(SOM: I2C_GP2_DAT)</t>
  </si>
  <si>
    <t>I2C9(SOM: I2C_GP3_CLK)</t>
  </si>
  <si>
    <t>I2C9(SOM: I2C_GP3_DAT)</t>
  </si>
  <si>
    <t>THERMAL DIODE</t>
  </si>
  <si>
    <t>PWR_I2C_DAT</t>
  </si>
  <si>
    <t>PWR_I2C_CLK</t>
  </si>
  <si>
    <t>System Clock Oscillator</t>
  </si>
  <si>
    <t>This spreadsheet is a companion to the Jetson TX2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</si>
  <si>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Updated GPIO configuration error checker to flag "Required Initial State" selection that does not follow mandatory pinmux configuration requirements</t>
  </si>
  <si>
    <t>SDMMC1 Compensation</t>
  </si>
  <si>
    <t>SDMMC3 Compensation</t>
  </si>
  <si>
    <t>Revision #</t>
  </si>
  <si>
    <t>Current Revision</t>
  </si>
  <si>
    <t>Updated CVM Connector pin # erros for DP/HDMI ports</t>
  </si>
  <si>
    <t>Updated pinmux configuration for all I2S and SPI ports to follow NVIDIA mandatory pinmux configuration requirements.</t>
  </si>
  <si>
    <t>SOM: GPU_DVFS_PWM(PMIC)</t>
  </si>
  <si>
    <t>SOM: SOC_CLDVFS_PWM(PMIC)</t>
  </si>
  <si>
    <t>SOM: CPU_CLDVFS_PWM(PMIC)</t>
  </si>
  <si>
    <t>Initial Release</t>
  </si>
  <si>
    <t>H33</t>
  </si>
  <si>
    <t xml:space="preserve">Changed DSI0_D1- SOM pin # from H31 to H33
</t>
  </si>
  <si>
    <t>GPIO12_BT_EN</t>
  </si>
  <si>
    <t>GPIO13_BT_WAKE_AP</t>
  </si>
  <si>
    <t>GPIO10_WIFI_WAKE_AP</t>
  </si>
  <si>
    <t>GPIO20_AUD_INT</t>
  </si>
  <si>
    <t>GPIO19_AUD_RST</t>
  </si>
  <si>
    <t>GPIO8_ALS_PROX_INT</t>
  </si>
  <si>
    <t>GPIO11_AP_WAKE_BT</t>
  </si>
  <si>
    <t>GPIO18_MDM_COLDBOOT</t>
  </si>
  <si>
    <t>GPIO17_MDM2AP_READY</t>
  </si>
  <si>
    <t>GPIO1_CAM_PWR#</t>
  </si>
  <si>
    <t>GPIO7_TOUCH_RST</t>
  </si>
  <si>
    <t>GPIO5_CAM_FLASH_EN</t>
  </si>
  <si>
    <t>GPIO16_MDM_WAKE_AP</t>
  </si>
  <si>
    <t>GPIO4_CAM_STROBE</t>
  </si>
  <si>
    <t>GPIO9_MOTION_INT</t>
  </si>
  <si>
    <t>GPIO6_TOUCH_INT</t>
  </si>
  <si>
    <t>GPIO3_CAM1_RST#</t>
  </si>
  <si>
    <t>GPIO0_CAM0_PWR#</t>
  </si>
  <si>
    <t>GPIO2_CAM0_RST#</t>
  </si>
  <si>
    <t>GPIO15_AP2MDM_READY</t>
  </si>
  <si>
    <t>GPIO14_AP_WAKE_MDM</t>
  </si>
  <si>
    <t>Added "Latest Revision" info in the DTSI output files. Update configuration based on the latest ASIC recommended pinmux settings</t>
  </si>
  <si>
    <t>Revised setting for SDMMC3_CK to internal 'PD"</t>
  </si>
  <si>
    <t>Aligned SOM Connctor Signal Name with Jetson TX2 OEM Product DG</t>
  </si>
  <si>
    <t>Corrected I2C_GP3_CLK and I2C_GP3_DAT SOM Connector Pin #</t>
  </si>
  <si>
    <t>Corrected DP0 and DP1 SOM Connector Pin #</t>
  </si>
  <si>
    <t>PEX2_CLKREQ#</t>
  </si>
  <si>
    <t>PEX1_CLKREQ#(SATA_DEV_SLP)</t>
  </si>
  <si>
    <t>C47(D47)</t>
  </si>
  <si>
    <t>C46</t>
  </si>
  <si>
    <t>SDMMC2_HV (3.3V Capable)</t>
  </si>
  <si>
    <t>EQOS_TXC</t>
  </si>
  <si>
    <t>AY4</t>
  </si>
  <si>
    <t>unused_EQOS_TXC</t>
  </si>
  <si>
    <t>GPIO3_PE.00</t>
  </si>
  <si>
    <t>SDMMC2_DAT7</t>
  </si>
  <si>
    <t>EQOS</t>
  </si>
  <si>
    <t>SDMMC2</t>
  </si>
  <si>
    <t>eqos_txc_pe0</t>
  </si>
  <si>
    <t>vddio_sdmmc2_hv</t>
  </si>
  <si>
    <t>19.5K +/- 35%</t>
  </si>
  <si>
    <t>NO</t>
  </si>
  <si>
    <t>NORMAL</t>
  </si>
  <si>
    <t>DISABLE</t>
  </si>
  <si>
    <t>VALID</t>
  </si>
  <si>
    <t>EQOS_TD0</t>
  </si>
  <si>
    <t>BA3</t>
  </si>
  <si>
    <t>unused_EQOS_TD0</t>
  </si>
  <si>
    <t>GPIO3_PE.01</t>
  </si>
  <si>
    <t>SDMMC2_CMD</t>
  </si>
  <si>
    <t>eqos_td0_pe1</t>
  </si>
  <si>
    <t>EQOS_TD1</t>
  </si>
  <si>
    <t>BB3</t>
  </si>
  <si>
    <t>unused_EQOS_TD1</t>
  </si>
  <si>
    <t>GPIO3_PE.02</t>
  </si>
  <si>
    <t>SDMMC2_DAT0</t>
  </si>
  <si>
    <t>eqos_td1_pe2</t>
  </si>
  <si>
    <t>EQOS_TD2</t>
  </si>
  <si>
    <t>AY3</t>
  </si>
  <si>
    <t>unused_EQOS_TD2</t>
  </si>
  <si>
    <t>GPIO3_PE.03</t>
  </si>
  <si>
    <t>SDMMC2_DAT1</t>
  </si>
  <si>
    <t>eqos_td2_pe3</t>
  </si>
  <si>
    <t>wake4</t>
  </si>
  <si>
    <t>EQOS_TD3</t>
  </si>
  <si>
    <t>BA1</t>
  </si>
  <si>
    <t>unused_EQOS_TD3</t>
  </si>
  <si>
    <t>GPIO3_PE.04</t>
  </si>
  <si>
    <t>SDMMC2_DAT2</t>
  </si>
  <si>
    <t>eqos_td3_pe4</t>
  </si>
  <si>
    <t>EQOS_TX_CTL</t>
  </si>
  <si>
    <t>BA2</t>
  </si>
  <si>
    <t>unused_EQOS_TX_CTL</t>
  </si>
  <si>
    <t>GPIO3_PE.05</t>
  </si>
  <si>
    <t>SDMMC2_DAT3</t>
  </si>
  <si>
    <t>eqos_tx_ctl_pe5</t>
  </si>
  <si>
    <t>EQOS_RD0</t>
  </si>
  <si>
    <t>BB4</t>
  </si>
  <si>
    <t>unused_EQOS_RD0</t>
  </si>
  <si>
    <t>GPIO3_PE.06</t>
  </si>
  <si>
    <t>SDMMC2_DAT4</t>
  </si>
  <si>
    <t>eqos_rd0_pe6</t>
  </si>
  <si>
    <t>TRISTATE</t>
  </si>
  <si>
    <t>ENABLE</t>
  </si>
  <si>
    <t>EQOS_RD1</t>
  </si>
  <si>
    <t>BA4</t>
  </si>
  <si>
    <t>AU2</t>
  </si>
  <si>
    <t>unused_EQOS_RD1</t>
  </si>
  <si>
    <t>GPIO3_PE.07</t>
  </si>
  <si>
    <t>SDMMC2_DAT5</t>
  </si>
  <si>
    <t>eqos_rd1_pe7</t>
  </si>
  <si>
    <t>EQOS_RD2</t>
  </si>
  <si>
    <t>AY5</t>
  </si>
  <si>
    <t>unused_EQOS_RD2</t>
  </si>
  <si>
    <t>GPIO3_PF.00</t>
  </si>
  <si>
    <t>SDMMC2_DAT6</t>
  </si>
  <si>
    <t>eqos_rd2_pf0</t>
  </si>
  <si>
    <t>EQOS_RD3</t>
  </si>
  <si>
    <t>BC3</t>
  </si>
  <si>
    <t>unused_EQOS_RD3</t>
  </si>
  <si>
    <t>GPIO3_PF.01</t>
  </si>
  <si>
    <t>SDMMC2_CLK</t>
  </si>
  <si>
    <t>eqos_rd3_pf1</t>
  </si>
  <si>
    <t>EQOS_RX_CTL</t>
  </si>
  <si>
    <t>BB5</t>
  </si>
  <si>
    <t>unused_EQOS_RX_CTL</t>
  </si>
  <si>
    <t>GPIO3_PF.02</t>
  </si>
  <si>
    <t>SDMMC2_CD</t>
  </si>
  <si>
    <t>eqos_rx_ctl_pf2</t>
  </si>
  <si>
    <t>wake28</t>
  </si>
  <si>
    <t>EQOS_RXC</t>
  </si>
  <si>
    <t>BA5</t>
  </si>
  <si>
    <t>AU1</t>
  </si>
  <si>
    <t>unused_EQOS_RXC</t>
  </si>
  <si>
    <t>GPIO3_PF.03</t>
  </si>
  <si>
    <t>SDMMC2_WP</t>
  </si>
  <si>
    <t>eqos_rxc_pf3</t>
  </si>
  <si>
    <t>EQOS_MDIO</t>
  </si>
  <si>
    <t>BB6</t>
  </si>
  <si>
    <t>AU5</t>
  </si>
  <si>
    <t>unused_EQOS_MDIO</t>
  </si>
  <si>
    <t>GPIO3_PF.04</t>
  </si>
  <si>
    <t>SOC_THERM_OC4</t>
  </si>
  <si>
    <t>eqos_mdio_pf4</t>
  </si>
  <si>
    <t>wake17</t>
  </si>
  <si>
    <t>PULL_UP</t>
  </si>
  <si>
    <t>EQOS_MDC</t>
  </si>
  <si>
    <t>BC6</t>
  </si>
  <si>
    <t>unused_EQOS_MDC</t>
  </si>
  <si>
    <t>GPIO3_PF.05</t>
  </si>
  <si>
    <t>eqos_mdc_pf5</t>
  </si>
  <si>
    <t>EQOS_COMP</t>
  </si>
  <si>
    <t>BC5</t>
  </si>
  <si>
    <t>unused_EQOS_COMP</t>
  </si>
  <si>
    <t>SDMMC2_COMP</t>
  </si>
  <si>
    <t>eqos_comp</t>
  </si>
  <si>
    <t>SDMMC4</t>
  </si>
  <si>
    <t>SDMMC4_CLK</t>
  </si>
  <si>
    <t>A37</t>
  </si>
  <si>
    <t>unused_SDMMC4_CLK</t>
  </si>
  <si>
    <t>sdmmc4_clk</t>
  </si>
  <si>
    <t>vddio_sdmmc4</t>
  </si>
  <si>
    <t>ST_MEM</t>
  </si>
  <si>
    <t>BDEMMC_IOBRICK_CFC</t>
  </si>
  <si>
    <t>15k</t>
  </si>
  <si>
    <t>SDMMC4_CMD</t>
  </si>
  <si>
    <t>D38</t>
  </si>
  <si>
    <t>unused_SDMMC4_CMD</t>
  </si>
  <si>
    <t>sdmmc4_cmd</t>
  </si>
  <si>
    <t>YES</t>
  </si>
  <si>
    <t>SDMMC4_DAT0</t>
  </si>
  <si>
    <t>E41</t>
  </si>
  <si>
    <t>unused_SDMMC4_DAT0</t>
  </si>
  <si>
    <t>sdmmc4_dat0</t>
  </si>
  <si>
    <t>SDMMC4_DAT1</t>
  </si>
  <si>
    <t>C43</t>
  </si>
  <si>
    <t>E40</t>
  </si>
  <si>
    <t>unused_SDMMC4_DAT1</t>
  </si>
  <si>
    <t>sdmmc4_dat1</t>
  </si>
  <si>
    <t>wake6</t>
  </si>
  <si>
    <t>SDMMC4_DAT2</t>
  </si>
  <si>
    <t>D41</t>
  </si>
  <si>
    <t>unused_SDMMC4_DAT2</t>
  </si>
  <si>
    <t>sdmmc4_dat2</t>
  </si>
  <si>
    <t>SDMMC4_DAT3</t>
  </si>
  <si>
    <t>unused_SDMMC4_DAT3</t>
  </si>
  <si>
    <t>sdmmc4_dat3</t>
  </si>
  <si>
    <t>SDMMC4_DAT4</t>
  </si>
  <si>
    <t>C42</t>
  </si>
  <si>
    <t>unused_SDMMC4_DAT4</t>
  </si>
  <si>
    <t>sdmmc4_dat4</t>
  </si>
  <si>
    <t>SDMMC4_DAT5</t>
  </si>
  <si>
    <t>E37</t>
  </si>
  <si>
    <t>unused_SDMMC4_DAT5</t>
  </si>
  <si>
    <t>sdmmc4_dat5</t>
  </si>
  <si>
    <t>SDMMC4_DAT6</t>
  </si>
  <si>
    <t>unused_SDMMC4_DAT6</t>
  </si>
  <si>
    <t>sdmmc4_dat6</t>
  </si>
  <si>
    <t>SDMMC4_DAT7</t>
  </si>
  <si>
    <t>unused_SDMMC4_DAT7</t>
  </si>
  <si>
    <t>sdmmc4_dat7</t>
  </si>
  <si>
    <t>SDMMC4_DQS</t>
  </si>
  <si>
    <t>unused_SDMMC4_DQS</t>
  </si>
  <si>
    <t>sdmmc4_dqs</t>
  </si>
  <si>
    <t>SDMMC4_COMP</t>
  </si>
  <si>
    <t>unused_SDMMC4_COMP</t>
  </si>
  <si>
    <t>sdmmc4_comp</t>
  </si>
  <si>
    <t>Added EQOS and SDMMC4(eMMC) signals for reference only. These signals are not user configurable.</t>
  </si>
  <si>
    <t>Freeze AO_HV and AUDIO_HV IO Block Voltage setting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</si>
</sst>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numFmt numFmtId="165" formatCode="00000"/>
  </numFmts>
  <fonts count="69">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b/>
      <sz val="12"/>
      <color theme="1"/>
      <name val="Arial"/>
      <family val="2"/>
    </font>
  </fonts>
  <fills count="92">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1" tint="0.14999847407452621"/>
        <bgColor indexed="64"/>
      </patternFill>
    </fill>
  </fills>
  <borders count="6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style="thin">
        <color indexed="64"/>
      </top>
      <bottom/>
      <diagonal/>
    </border>
  </borders>
  <cellStyleXfs count="53441">
    <xf numFmtId="0" fontId="0" fillId="0" borderId="0"/>
    <xf numFmtId="0" fontId="3" fillId="3" borderId="0" applyNumberFormat="0" applyBorder="0" applyAlignment="0" applyProtection="0"/>
    <xf numFmtId="0" fontId="6" fillId="0" borderId="0"/>
    <xf numFmtId="0" fontId="8" fillId="6" borderId="11"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42" fillId="36" borderId="0" applyNumberFormat="0" applyBorder="0" applyAlignment="0" applyProtection="0"/>
    <xf numFmtId="0" fontId="43" fillId="37" borderId="59" applyNumberFormat="0" applyAlignment="0" applyProtection="0"/>
    <xf numFmtId="0" fontId="44" fillId="37" borderId="11" applyNumberFormat="0" applyAlignment="0" applyProtection="0"/>
    <xf numFmtId="0" fontId="45" fillId="0" borderId="60" applyNumberFormat="0" applyFill="0" applyAlignment="0" applyProtection="0"/>
    <xf numFmtId="0" fontId="46" fillId="38" borderId="61" applyNumberFormat="0" applyAlignment="0" applyProtection="0"/>
    <xf numFmtId="0" fontId="47" fillId="0" borderId="0" applyNumberFormat="0" applyFill="0" applyBorder="0" applyAlignment="0" applyProtection="0"/>
    <xf numFmtId="0" fontId="14" fillId="39" borderId="62" applyNumberFormat="0" applyFont="0" applyAlignment="0" applyProtection="0"/>
    <xf numFmtId="0" fontId="48" fillId="0" borderId="0" applyNumberFormat="0" applyFill="0" applyBorder="0" applyAlignment="0" applyProtection="0"/>
    <xf numFmtId="0" fontId="49" fillId="0" borderId="63" applyNumberFormat="0" applyFill="0" applyAlignment="0" applyProtection="0"/>
    <xf numFmtId="0" fontId="50" fillId="40" borderId="0" applyNumberFormat="0" applyBorder="0" applyAlignment="0" applyProtection="0"/>
    <xf numFmtId="0" fontId="14" fillId="41"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50" fillId="44"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50" fillId="47" borderId="0" applyNumberFormat="0" applyBorder="0" applyAlignment="0" applyProtection="0"/>
    <xf numFmtId="0" fontId="50" fillId="48"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50" fillId="56"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50" fillId="59" borderId="0" applyNumberFormat="0" applyBorder="0" applyAlignment="0" applyProtection="0"/>
    <xf numFmtId="0" fontId="50" fillId="60"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44" fillId="37" borderId="11"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0" fontId="39" fillId="0" borderId="56"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8" fillId="6"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4" fontId="58"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4"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43" fillId="37" borderId="59"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3"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7" fillId="0" borderId="0" applyNumberFormat="0" applyFill="0" applyBorder="0" applyAlignment="0" applyProtection="0"/>
    <xf numFmtId="0" fontId="6" fillId="0" borderId="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8" fillId="17" borderId="0" applyNumberFormat="0" applyAlignment="0" applyProtection="0"/>
    <xf numFmtId="0" fontId="14" fillId="42"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4" fillId="62"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19"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24"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30" borderId="39"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0" fontId="24" fillId="14" borderId="0" applyNumberFormat="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30" borderId="46"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29" fillId="17" borderId="39"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27" fillId="0" borderId="43"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0" fillId="0" borderId="0"/>
    <xf numFmtId="0" fontId="61" fillId="0" borderId="0"/>
    <xf numFmtId="0" fontId="61" fillId="0" borderId="0"/>
    <xf numFmtId="0" fontId="61" fillId="0" borderId="0"/>
    <xf numFmtId="0" fontId="61" fillId="0" borderId="0"/>
    <xf numFmtId="0" fontId="61" fillId="0" borderId="0"/>
    <xf numFmtId="0" fontId="14" fillId="0" borderId="0"/>
    <xf numFmtId="0" fontId="62"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60"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61" fillId="0" borderId="0"/>
    <xf numFmtId="0" fontId="61" fillId="0" borderId="0"/>
    <xf numFmtId="0" fontId="61" fillId="0" borderId="0"/>
    <xf numFmtId="0" fontId="61" fillId="0" borderId="0"/>
    <xf numFmtId="0" fontId="61" fillId="0" borderId="0"/>
    <xf numFmtId="0" fontId="14"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 fillId="0" borderId="0"/>
    <xf numFmtId="0" fontId="61" fillId="0" borderId="0"/>
    <xf numFmtId="0" fontId="61" fillId="0" borderId="0"/>
    <xf numFmtId="0" fontId="61" fillId="0" borderId="0"/>
    <xf numFmtId="0" fontId="61" fillId="0" borderId="0"/>
    <xf numFmtId="0" fontId="61"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3" borderId="0" applyNumberFormat="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6"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7" borderId="0" applyNumberFormat="0" applyAlignment="0" applyProtection="0"/>
    <xf numFmtId="0" fontId="50" fillId="4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6" fillId="0" borderId="0"/>
    <xf numFmtId="0" fontId="3" fillId="3"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1" fillId="30" borderId="39" applyNumberFormat="0" applyAlignment="0" applyProtection="0"/>
    <xf numFmtId="0" fontId="21" fillId="30" borderId="39" applyNumberFormat="0" applyAlignment="0" applyProtection="0"/>
    <xf numFmtId="0" fontId="6" fillId="0" borderId="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2" fillId="31" borderId="40" applyNumberFormat="0" applyAlignment="0" applyProtection="0"/>
    <xf numFmtId="0" fontId="46" fillId="38" borderId="61"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2" fillId="36"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6" fillId="0" borderId="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7" fillId="0" borderId="0" applyNumberFormat="0" applyFill="0" applyBorder="0" applyAlignment="0" applyProtection="0"/>
    <xf numFmtId="0" fontId="35" fillId="0" borderId="0" applyNumberFormat="0" applyFill="0" applyAlignment="0" applyProtection="0"/>
    <xf numFmtId="0" fontId="14" fillId="0" borderId="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8" fillId="6" borderId="11" applyNumberFormat="0" applyAlignment="0" applyProtection="0"/>
    <xf numFmtId="0" fontId="43" fillId="37" borderId="59" applyNumberFormat="0" applyAlignment="0" applyProtection="0"/>
    <xf numFmtId="0" fontId="44" fillId="37" borderId="11" applyNumberFormat="0" applyAlignment="0" applyProtection="0"/>
    <xf numFmtId="0" fontId="14" fillId="39" borderId="62" applyNumberFormat="0" applyFont="0" applyAlignment="0" applyProtection="0"/>
    <xf numFmtId="0" fontId="49" fillId="0" borderId="63" applyNumberFormat="0" applyFill="0" applyAlignment="0" applyProtection="0"/>
    <xf numFmtId="0" fontId="50" fillId="40"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4" fillId="0" borderId="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8" fillId="6" borderId="11"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1"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4" fillId="0" borderId="65" applyNumberFormat="0" applyFill="0" applyAlignment="0" applyProtection="0"/>
    <xf numFmtId="0" fontId="65" fillId="0" borderId="66" applyNumberFormat="0" applyFill="0" applyAlignment="0" applyProtection="0"/>
    <xf numFmtId="0" fontId="65"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6"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4" fillId="0" borderId="0"/>
    <xf numFmtId="0" fontId="19" fillId="81"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3" borderId="0" applyNumberFormat="0" applyBorder="0" applyAlignment="0" applyProtection="0"/>
    <xf numFmtId="0" fontId="21" fillId="65" borderId="39"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39" applyNumberFormat="0" applyAlignment="0" applyProtection="0"/>
    <xf numFmtId="0" fontId="44" fillId="37" borderId="11"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5" fillId="0" borderId="41" applyNumberFormat="0" applyFill="0" applyAlignment="0" applyProtection="0"/>
    <xf numFmtId="0" fontId="55" fillId="0" borderId="41"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0" applyNumberFormat="0" applyFill="0" applyBorder="0" applyAlignment="0" applyProtection="0"/>
    <xf numFmtId="0" fontId="6" fillId="0" borderId="0"/>
    <xf numFmtId="0" fontId="52" fillId="0" borderId="0" applyNumberFormat="0" applyFill="0" applyBorder="0" applyAlignment="0" applyProtection="0">
      <alignment vertical="top"/>
      <protection locked="0"/>
    </xf>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0" fillId="0" borderId="0"/>
    <xf numFmtId="0" fontId="61" fillId="0" borderId="0"/>
    <xf numFmtId="0" fontId="61" fillId="0" borderId="0"/>
    <xf numFmtId="0" fontId="61" fillId="0" borderId="0"/>
    <xf numFmtId="0" fontId="61" fillId="0" borderId="0"/>
    <xf numFmtId="0"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6" applyNumberFormat="0" applyAlignment="0" applyProtection="0"/>
    <xf numFmtId="0" fontId="32" fillId="73" borderId="46" applyNumberFormat="0" applyAlignment="0" applyProtection="0"/>
    <xf numFmtId="0" fontId="43" fillId="37" borderId="59" applyNumberFormat="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4" fillId="0" borderId="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4" fillId="62" borderId="0" applyNumberFormat="0" applyBorder="0" applyAlignment="0" applyProtection="0"/>
    <xf numFmtId="0" fontId="14" fillId="62" borderId="0" applyNumberFormat="0" applyBorder="0" applyAlignment="0" applyProtection="0"/>
    <xf numFmtId="0" fontId="14" fillId="0" borderId="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65"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1" fillId="73"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0" fontId="29" fillId="17" borderId="39"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6" fillId="0" borderId="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6" fillId="0" borderId="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3" fillId="0" borderId="0" applyNumberFormat="0" applyFill="0" applyBorder="0" applyAlignment="0" applyProtection="0"/>
    <xf numFmtId="0" fontId="55" fillId="0" borderId="65" applyNumberFormat="0" applyFill="0" applyAlignment="0" applyProtection="0"/>
    <xf numFmtId="0" fontId="57" fillId="0" borderId="66" applyNumberFormat="0" applyFill="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57" fillId="0" borderId="66" applyNumberFormat="0" applyFill="0" applyAlignment="0" applyProtection="0"/>
    <xf numFmtId="0" fontId="29" fillId="17" borderId="39" applyNumberFormat="0" applyAlignment="0" applyProtection="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59" fillId="0" borderId="0" applyNumberFormat="0" applyFill="0" applyBorder="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cellStyleXfs>
  <cellXfs count="380">
    <xf numFmtId="0" fontId="0" fillId="0" borderId="0" xfId="0"/>
    <xf numFmtId="0" fontId="0" fillId="91" borderId="0" xfId="0" applyFill="1"/>
    <xf numFmtId="0" fontId="1" fillId="0" borderId="4" xfId="0" applyFont="1" applyBorder="1" applyAlignment="1">
      <alignment horizontal="left"/>
    </xf>
    <xf numFmtId="0" fontId="7" fillId="11" borderId="18" xfId="0" applyFont="1" applyFill="1" applyBorder="1" applyAlignment="1" applyProtection="1">
      <alignment horizontal="center" vertical="center"/>
      <protection locked="0"/>
    </xf>
    <xf numFmtId="0" fontId="7" fillId="11" borderId="18" xfId="0" applyFont="1" applyFill="1" applyBorder="1" applyAlignment="1" applyProtection="1">
      <alignment horizontal="center"/>
      <protection locked="0"/>
    </xf>
    <xf numFmtId="0" fontId="7" fillId="9" borderId="19" xfId="0" applyFont="1" applyFill="1" applyBorder="1" applyAlignment="1" applyProtection="1">
      <alignment horizontal="center"/>
      <protection locked="0"/>
    </xf>
    <xf numFmtId="0" fontId="1" fillId="0" borderId="0" xfId="0" applyFont="1" applyFill="1" applyAlignment="1" applyProtection="1">
      <alignment horizontal="left"/>
      <protection hidden="1"/>
    </xf>
    <xf numFmtId="0" fontId="7" fillId="11" borderId="22"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7" fillId="11" borderId="30"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11" borderId="33" xfId="0" applyFont="1" applyFill="1" applyBorder="1" applyAlignment="1" applyProtection="1">
      <alignment horizontal="center"/>
      <protection locked="0"/>
    </xf>
    <xf numFmtId="0" fontId="7" fillId="11" borderId="34" xfId="0" quotePrefix="1" applyFont="1" applyFill="1" applyBorder="1" applyAlignment="1" applyProtection="1">
      <alignment horizontal="center"/>
      <protection locked="0"/>
    </xf>
    <xf numFmtId="0" fontId="7" fillId="11" borderId="36" xfId="0" applyFont="1" applyFill="1" applyBorder="1" applyAlignment="1" applyProtection="1">
      <alignment horizontal="center"/>
      <protection locked="0"/>
    </xf>
    <xf numFmtId="0" fontId="7" fillId="11" borderId="22" xfId="0" quotePrefix="1" applyFont="1" applyFill="1" applyBorder="1" applyAlignment="1" applyProtection="1">
      <alignment horizontal="center"/>
      <protection locked="0"/>
    </xf>
    <xf numFmtId="0" fontId="7" fillId="11" borderId="37" xfId="0" quotePrefix="1" applyFont="1" applyFill="1" applyBorder="1" applyAlignment="1" applyProtection="1">
      <alignment horizontal="center"/>
      <protection locked="0"/>
    </xf>
    <xf numFmtId="0" fontId="7" fillId="11" borderId="31" xfId="0" quotePrefix="1" applyFont="1" applyFill="1" applyBorder="1" applyAlignment="1" applyProtection="1">
      <alignment horizontal="center"/>
      <protection locked="0"/>
    </xf>
    <xf numFmtId="0" fontId="9"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4"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9" xfId="0" applyFont="1" applyBorder="1" applyAlignment="1">
      <alignment horizontal="left"/>
    </xf>
    <xf numFmtId="0" fontId="9" fillId="0" borderId="7" xfId="0" applyFont="1" applyBorder="1" applyAlignment="1">
      <alignment horizontal="center" wrapText="1"/>
    </xf>
    <xf numFmtId="0" fontId="9" fillId="0" borderId="16"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4" xfId="0" applyFont="1" applyBorder="1" applyAlignment="1">
      <alignment horizontal="left" shrinkToFit="1"/>
    </xf>
    <xf numFmtId="0" fontId="9" fillId="0" borderId="14"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4" xfId="0" applyNumberFormat="1" applyFont="1" applyBorder="1" applyAlignment="1">
      <alignment horizontal="left" wrapText="1"/>
    </xf>
    <xf numFmtId="0" fontId="9" fillId="0" borderId="1" xfId="0" applyFont="1" applyBorder="1" applyAlignment="1">
      <alignment horizontal="center"/>
    </xf>
    <xf numFmtId="0" fontId="9" fillId="0" borderId="14" xfId="0" applyFont="1" applyBorder="1" applyAlignment="1">
      <alignment horizontal="center" vertical="center" wrapText="1"/>
    </xf>
    <xf numFmtId="0" fontId="12" fillId="9" borderId="13" xfId="0" applyFont="1" applyFill="1" applyBorder="1" applyAlignment="1">
      <alignment horizontal="left" wrapText="1"/>
    </xf>
    <xf numFmtId="0" fontId="12" fillId="9" borderId="12" xfId="0" applyFont="1" applyFill="1" applyBorder="1" applyAlignment="1">
      <alignment horizontal="left" wrapText="1"/>
    </xf>
    <xf numFmtId="0" fontId="12" fillId="9" borderId="12" xfId="0" applyFont="1" applyFill="1" applyBorder="1" applyAlignment="1">
      <alignment horizontal="left" shrinkToFit="1"/>
    </xf>
    <xf numFmtId="49" fontId="12" fillId="9" borderId="12" xfId="0" applyNumberFormat="1" applyFont="1" applyFill="1" applyBorder="1" applyAlignment="1">
      <alignment horizontal="left"/>
    </xf>
    <xf numFmtId="0" fontId="12" fillId="9" borderId="12" xfId="0" applyFont="1" applyFill="1" applyBorder="1" applyAlignment="1">
      <alignment horizontal="left"/>
    </xf>
    <xf numFmtId="0" fontId="12" fillId="9" borderId="12"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4"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4"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9"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9" xfId="0" applyNumberFormat="1" applyFont="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1" fillId="0" borderId="8"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4" xfId="0" applyNumberFormat="1" applyFont="1" applyBorder="1" applyAlignment="1" applyProtection="1">
      <alignment horizontal="left"/>
      <protection hidden="1"/>
    </xf>
    <xf numFmtId="0" fontId="12" fillId="9" borderId="13" xfId="0" applyFont="1" applyFill="1" applyBorder="1" applyAlignment="1" applyProtection="1">
      <alignment horizontal="left" wrapText="1"/>
      <protection hidden="1"/>
    </xf>
    <xf numFmtId="0" fontId="12" fillId="9" borderId="12" xfId="0" applyFont="1" applyFill="1" applyBorder="1" applyAlignment="1" applyProtection="1">
      <alignment horizontal="left" wrapText="1"/>
      <protection hidden="1"/>
    </xf>
    <xf numFmtId="0" fontId="12" fillId="9" borderId="12" xfId="0" applyFont="1" applyFill="1" applyBorder="1" applyAlignment="1" applyProtection="1">
      <alignment horizontal="left" shrinkToFit="1"/>
      <protection hidden="1"/>
    </xf>
    <xf numFmtId="49" fontId="12" fillId="9" borderId="12" xfId="0" applyNumberFormat="1" applyFont="1" applyFill="1" applyBorder="1" applyAlignment="1" applyProtection="1">
      <alignment horizontal="left"/>
      <protection hidden="1"/>
    </xf>
    <xf numFmtId="0" fontId="12" fillId="9" borderId="12" xfId="0" applyFont="1" applyFill="1" applyBorder="1" applyAlignment="1" applyProtection="1">
      <alignment horizontal="left"/>
      <protection locked="0"/>
    </xf>
    <xf numFmtId="0" fontId="13" fillId="9" borderId="12" xfId="0" applyFont="1" applyFill="1" applyBorder="1" applyAlignment="1" applyProtection="1">
      <alignment horizontal="center"/>
      <protection locked="0"/>
    </xf>
    <xf numFmtId="0" fontId="1" fillId="0" borderId="17" xfId="0" applyNumberFormat="1" applyFont="1" applyBorder="1" applyAlignment="1" applyProtection="1">
      <alignment horizontal="left"/>
      <protection hidden="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4"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protection hidden="1"/>
    </xf>
    <xf numFmtId="0" fontId="1" fillId="0" borderId="14" xfId="0" applyFont="1" applyBorder="1" applyAlignment="1" applyProtection="1">
      <alignment horizontal="left" vertical="center"/>
      <protection hidden="1"/>
    </xf>
    <xf numFmtId="49" fontId="1" fillId="0" borderId="8"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4"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3"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shrinkToFit="1"/>
      <protection hidden="1"/>
    </xf>
    <xf numFmtId="49" fontId="12" fillId="9" borderId="12" xfId="0" applyNumberFormat="1" applyFont="1" applyFill="1" applyBorder="1" applyAlignment="1" applyProtection="1">
      <alignment horizontal="left" vertical="center"/>
      <protection hidden="1"/>
    </xf>
    <xf numFmtId="0" fontId="12" fillId="9" borderId="12" xfId="0" applyFont="1" applyFill="1" applyBorder="1" applyAlignment="1">
      <alignment horizontal="left" vertical="center"/>
    </xf>
    <xf numFmtId="0" fontId="13" fillId="9" borderId="12" xfId="0" applyFont="1" applyFill="1" applyBorder="1" applyAlignment="1">
      <alignment horizontal="center" vertical="center"/>
    </xf>
    <xf numFmtId="0" fontId="12" fillId="0" borderId="0" xfId="0" applyFont="1" applyBorder="1" applyAlignment="1">
      <alignment vertical="center"/>
    </xf>
    <xf numFmtId="49" fontId="1" fillId="10" borderId="15"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7" xfId="0" applyNumberFormat="1" applyFont="1" applyFill="1" applyBorder="1" applyAlignment="1" applyProtection="1">
      <alignment horizontal="left" vertical="center"/>
      <protection hidden="1"/>
    </xf>
    <xf numFmtId="49" fontId="1" fillId="10" borderId="6" xfId="0" applyNumberFormat="1" applyFont="1" applyFill="1" applyBorder="1" applyAlignment="1" applyProtection="1">
      <alignment horizontal="left" vertical="center"/>
      <protection hidden="1"/>
    </xf>
    <xf numFmtId="0" fontId="13" fillId="9" borderId="12" xfId="0" applyFont="1" applyFill="1" applyBorder="1" applyAlignment="1" applyProtection="1">
      <alignment horizontal="center" vertical="center"/>
    </xf>
    <xf numFmtId="0" fontId="1" fillId="0" borderId="15" xfId="0" applyFont="1" applyBorder="1" applyAlignment="1" applyProtection="1">
      <alignment horizontal="left" vertical="center"/>
      <protection hidden="1"/>
    </xf>
    <xf numFmtId="0" fontId="1" fillId="0" borderId="9" xfId="0" applyFont="1" applyBorder="1" applyAlignment="1" applyProtection="1">
      <alignment horizontal="left"/>
      <protection hidden="1"/>
    </xf>
    <xf numFmtId="0" fontId="1" fillId="0" borderId="9" xfId="0" applyFont="1" applyBorder="1" applyAlignment="1" applyProtection="1">
      <alignment horizontal="left" vertical="center"/>
      <protection hidden="1"/>
    </xf>
    <xf numFmtId="0" fontId="1" fillId="0" borderId="9"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10" borderId="9" xfId="0" applyFont="1" applyFill="1" applyBorder="1" applyAlignment="1" applyProtection="1">
      <alignment horizontal="left" vertical="center"/>
      <protection hidden="1"/>
    </xf>
    <xf numFmtId="49" fontId="1" fillId="0" borderId="7" xfId="0" applyNumberFormat="1" applyFont="1" applyBorder="1" applyAlignment="1" applyProtection="1">
      <alignment horizontal="left" vertical="center"/>
      <protection hidden="1"/>
    </xf>
    <xf numFmtId="49" fontId="1" fillId="10" borderId="7" xfId="0" applyNumberFormat="1" applyFont="1" applyFill="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2"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6" xfId="0" applyNumberFormat="1" applyFont="1" applyBorder="1" applyAlignment="1" applyProtection="1">
      <alignment horizontal="left" vertical="center"/>
      <protection hidden="1"/>
    </xf>
    <xf numFmtId="49" fontId="1" fillId="0" borderId="0" xfId="0" applyNumberFormat="1" applyFont="1" applyBorder="1" applyAlignment="1">
      <alignment horizontal="left"/>
    </xf>
    <xf numFmtId="49" fontId="1" fillId="0" borderId="0" xfId="0" applyNumberFormat="1" applyFont="1" applyBorder="1" applyAlignment="1" applyProtection="1">
      <alignment horizontal="left"/>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5" xfId="0" applyFont="1" applyBorder="1" applyAlignment="1" applyProtection="1">
      <alignment horizontal="left"/>
      <protection hidden="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2"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2"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2" xfId="0" applyFont="1" applyFill="1" applyBorder="1" applyAlignment="1" applyProtection="1">
      <alignment horizontal="center" vertical="center" shrinkToFit="1"/>
      <protection hidden="1"/>
    </xf>
    <xf numFmtId="0" fontId="1" fillId="0" borderId="9"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9" xfId="0" applyFont="1" applyBorder="1" applyAlignment="1" applyProtection="1">
      <alignment horizontal="center" vertical="center"/>
    </xf>
    <xf numFmtId="0" fontId="9" fillId="0" borderId="0" xfId="0" applyFont="1" applyBorder="1" applyAlignment="1" applyProtection="1">
      <alignment horizontal="center" vertical="center" wrapText="1"/>
    </xf>
    <xf numFmtId="49" fontId="1" fillId="10" borderId="3" xfId="0" applyNumberFormat="1" applyFont="1" applyFill="1" applyBorder="1" applyAlignment="1" applyProtection="1">
      <alignment horizontal="left"/>
      <protection hidden="1"/>
    </xf>
    <xf numFmtId="0" fontId="1" fillId="0" borderId="7" xfId="0" applyFont="1" applyBorder="1" applyAlignment="1" applyProtection="1">
      <alignment horizontal="left"/>
      <protection hidden="1"/>
    </xf>
    <xf numFmtId="0" fontId="1" fillId="0" borderId="8" xfId="0" applyFont="1" applyBorder="1" applyAlignment="1" applyProtection="1">
      <alignment horizontal="left"/>
      <protection hidden="1"/>
    </xf>
    <xf numFmtId="0" fontId="9" fillId="7" borderId="5" xfId="0" applyFont="1" applyFill="1" applyBorder="1" applyAlignment="1">
      <alignment horizontal="center" shrinkToFit="1"/>
    </xf>
    <xf numFmtId="0" fontId="9" fillId="5" borderId="5" xfId="0" applyFont="1" applyFill="1" applyBorder="1" applyAlignment="1">
      <alignment horizontal="center" shrinkToFit="1"/>
    </xf>
    <xf numFmtId="0" fontId="9" fillId="8" borderId="7" xfId="0" applyFont="1" applyFill="1" applyBorder="1" applyAlignment="1">
      <alignment horizontal="center" shrinkToFit="1"/>
    </xf>
    <xf numFmtId="0" fontId="9" fillId="2" borderId="5" xfId="0" applyFont="1" applyFill="1" applyBorder="1" applyAlignment="1">
      <alignment horizontal="center" vertical="center" shrinkToFit="1"/>
    </xf>
    <xf numFmtId="0" fontId="9" fillId="0" borderId="0" xfId="0" applyFont="1" applyAlignment="1">
      <alignment shrinkToFit="1"/>
    </xf>
    <xf numFmtId="0" fontId="1" fillId="0" borderId="0" xfId="0" applyFont="1" applyFill="1" applyBorder="1" applyAlignment="1" applyProtection="1">
      <alignment horizontal="center" shrinkToFit="1"/>
      <protection locked="0"/>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7" fillId="11" borderId="30" xfId="0" applyFont="1" applyFill="1" applyBorder="1" applyAlignment="1" applyProtection="1">
      <alignment horizontal="center" vertical="center"/>
      <protection locked="0"/>
    </xf>
    <xf numFmtId="0" fontId="1" fillId="0" borderId="0" xfId="0" applyFont="1" applyAlignment="1">
      <alignment horizontal="center"/>
    </xf>
    <xf numFmtId="0" fontId="3" fillId="3" borderId="0" xfId="1" applyAlignment="1">
      <alignment horizontal="center"/>
    </xf>
    <xf numFmtId="0" fontId="36" fillId="5" borderId="0" xfId="148" applyFill="1" applyAlignment="1">
      <alignment horizontal="center"/>
    </xf>
    <xf numFmtId="0" fontId="9" fillId="11" borderId="12" xfId="0" quotePrefix="1" applyFont="1" applyFill="1" applyBorder="1" applyAlignment="1" applyProtection="1">
      <alignment horizontal="center"/>
      <protection locked="0"/>
    </xf>
    <xf numFmtId="0" fontId="13" fillId="9" borderId="10" xfId="0" applyFont="1" applyFill="1" applyBorder="1" applyAlignment="1" applyProtection="1">
      <protection locked="0"/>
    </xf>
    <xf numFmtId="0" fontId="12" fillId="9" borderId="13" xfId="0" applyFont="1" applyFill="1" applyBorder="1" applyAlignment="1">
      <alignment horizontal="left"/>
    </xf>
    <xf numFmtId="0" fontId="12" fillId="9" borderId="13" xfId="0" applyFont="1" applyFill="1" applyBorder="1" applyAlignment="1" applyProtection="1">
      <alignment horizontal="left"/>
      <protection hidden="1"/>
    </xf>
    <xf numFmtId="0" fontId="13" fillId="9" borderId="12" xfId="0" applyFont="1" applyFill="1" applyBorder="1" applyAlignment="1" applyProtection="1">
      <protection locked="0"/>
    </xf>
    <xf numFmtId="0" fontId="12" fillId="9" borderId="10" xfId="0" applyFont="1" applyFill="1" applyBorder="1" applyAlignment="1">
      <alignment shrinkToFit="1"/>
    </xf>
    <xf numFmtId="0" fontId="13" fillId="2" borderId="5" xfId="0" applyFont="1" applyFill="1" applyBorder="1" applyAlignment="1" applyProtection="1">
      <protection locked="0"/>
    </xf>
    <xf numFmtId="0" fontId="1" fillId="10" borderId="1" xfId="0" applyNumberFormat="1" applyFont="1" applyFill="1" applyBorder="1" applyAlignment="1" applyProtection="1">
      <alignment horizontal="left"/>
      <protection hidden="1"/>
    </xf>
    <xf numFmtId="0" fontId="1" fillId="0" borderId="8" xfId="0" applyNumberFormat="1" applyFont="1" applyBorder="1" applyAlignment="1" applyProtection="1">
      <alignment horizontal="left"/>
      <protection locked="0" hidden="1"/>
    </xf>
    <xf numFmtId="0" fontId="1" fillId="35" borderId="1" xfId="0" applyNumberFormat="1" applyFont="1" applyFill="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19" xfId="0" applyFont="1" applyFill="1" applyBorder="1" applyAlignment="1" applyProtection="1">
      <alignment horizontal="center"/>
      <protection locked="0"/>
    </xf>
    <xf numFmtId="0" fontId="7" fillId="11" borderId="19" xfId="0" applyFont="1" applyFill="1" applyBorder="1" applyAlignment="1" applyProtection="1">
      <alignment horizontal="center" vertical="center"/>
      <protection locked="0"/>
    </xf>
    <xf numFmtId="0" fontId="13" fillId="9" borderId="10" xfId="0" applyFont="1" applyFill="1" applyBorder="1" applyAlignment="1">
      <alignment horizontal="center" vertical="center"/>
    </xf>
    <xf numFmtId="0" fontId="13" fillId="9" borderId="10" xfId="0" applyFont="1" applyFill="1" applyBorder="1" applyAlignment="1" applyProtection="1">
      <alignment shrinkToFit="1"/>
      <protection locked="0"/>
    </xf>
    <xf numFmtId="0" fontId="1" fillId="0" borderId="0" xfId="0" applyNumberFormat="1" applyFont="1" applyFill="1" applyBorder="1" applyAlignment="1" applyProtection="1">
      <alignment horizontal="left"/>
      <protection hidden="1"/>
    </xf>
    <xf numFmtId="0" fontId="1" fillId="0" borderId="0" xfId="0" applyFont="1" applyFill="1" applyBorder="1" applyAlignment="1" applyProtection="1">
      <alignment horizontal="left"/>
      <protection hidden="1"/>
    </xf>
    <xf numFmtId="0" fontId="1" fillId="0" borderId="15" xfId="0" applyFont="1" applyBorder="1" applyAlignment="1" applyProtection="1">
      <alignment horizontal="left" wrapText="1" shrinkToFit="1"/>
      <protection hidden="1"/>
    </xf>
    <xf numFmtId="0" fontId="1" fillId="0" borderId="3" xfId="0" applyFont="1" applyBorder="1" applyAlignment="1" applyProtection="1">
      <alignment horizontal="left" wrapText="1" shrinkToFit="1"/>
      <protection hidden="1"/>
    </xf>
    <xf numFmtId="0" fontId="1" fillId="0" borderId="6" xfId="0" applyFont="1" applyBorder="1" applyAlignment="1" applyProtection="1">
      <alignment horizontal="left"/>
      <protection hidden="1"/>
    </xf>
    <xf numFmtId="49" fontId="1" fillId="0" borderId="5" xfId="0" applyNumberFormat="1" applyFont="1" applyBorder="1" applyAlignment="1">
      <alignment horizontal="left"/>
    </xf>
    <xf numFmtId="49" fontId="1" fillId="0" borderId="5" xfId="0" applyNumberFormat="1" applyFont="1" applyBorder="1" applyAlignment="1" applyProtection="1">
      <alignment horizontal="left"/>
    </xf>
    <xf numFmtId="0" fontId="1" fillId="0" borderId="5" xfId="0" applyNumberFormat="1" applyFont="1" applyBorder="1" applyAlignment="1" applyProtection="1">
      <alignment horizontal="left"/>
    </xf>
    <xf numFmtId="0" fontId="1" fillId="0" borderId="5" xfId="0" applyNumberFormat="1" applyFont="1" applyBorder="1" applyAlignment="1">
      <alignment horizontal="left"/>
    </xf>
    <xf numFmtId="0" fontId="1" fillId="0" borderId="5" xfId="0" applyNumberFormat="1" applyFont="1" applyBorder="1"/>
    <xf numFmtId="0" fontId="1" fillId="0" borderId="0" xfId="0" applyFont="1" applyAlignment="1">
      <alignment horizontal="left" vertical="center"/>
    </xf>
    <xf numFmtId="49" fontId="9" fillId="0" borderId="8"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7" xfId="0" applyFont="1" applyBorder="1" applyAlignment="1">
      <alignment horizontal="center" wrapText="1"/>
    </xf>
    <xf numFmtId="165" fontId="7" fillId="11" borderId="19" xfId="0" applyNumberFormat="1" applyFont="1" applyFill="1" applyBorder="1" applyAlignment="1" applyProtection="1">
      <alignment horizontal="center"/>
      <protection locked="0"/>
    </xf>
    <xf numFmtId="0" fontId="1" fillId="0" borderId="0" xfId="0" applyFont="1" applyBorder="1" applyAlignment="1" applyProtection="1">
      <alignment horizontal="left"/>
    </xf>
    <xf numFmtId="0" fontId="7" fillId="0" borderId="0" xfId="0" applyFont="1" applyBorder="1" applyAlignment="1" applyProtection="1">
      <alignment horizontal="left"/>
    </xf>
    <xf numFmtId="0" fontId="9" fillId="0" borderId="16" xfId="0" applyFont="1" applyBorder="1" applyAlignment="1">
      <alignment horizontal="center"/>
    </xf>
    <xf numFmtId="0" fontId="1" fillId="0" borderId="0" xfId="0" applyFont="1" applyBorder="1" applyAlignment="1" applyProtection="1">
      <alignment horizontal="left" shrinkToFit="1"/>
    </xf>
    <xf numFmtId="0" fontId="1" fillId="4" borderId="0" xfId="0" applyFont="1" applyFill="1"/>
    <xf numFmtId="0" fontId="0" fillId="4" borderId="0" xfId="0" applyFill="1"/>
    <xf numFmtId="0" fontId="1" fillId="0" borderId="0" xfId="0" applyFont="1" applyBorder="1" applyAlignment="1" applyProtection="1">
      <alignment horizontal="left" vertical="center" wrapText="1" shrinkToFit="1"/>
      <protection hidden="1"/>
    </xf>
    <xf numFmtId="0" fontId="1" fillId="91" borderId="0" xfId="0" applyFont="1" applyFill="1"/>
    <xf numFmtId="0" fontId="1" fillId="0" borderId="0" xfId="0" applyFont="1" applyFill="1" applyAlignment="1">
      <alignment vertical="center"/>
    </xf>
    <xf numFmtId="0" fontId="1" fillId="0" borderId="0" xfId="0" applyFont="1" applyFill="1"/>
    <xf numFmtId="0" fontId="8" fillId="6" borderId="51" xfId="3" applyBorder="1" applyProtection="1">
      <protection locked="0"/>
    </xf>
    <xf numFmtId="0" fontId="7" fillId="12" borderId="19" xfId="0" applyFont="1" applyFill="1" applyBorder="1" applyAlignment="1" applyProtection="1">
      <alignment horizontal="center"/>
      <protection locked="0"/>
    </xf>
    <xf numFmtId="0" fontId="8" fillId="6" borderId="52" xfId="3" applyBorder="1" applyProtection="1">
      <protection locked="0"/>
    </xf>
    <xf numFmtId="0" fontId="7" fillId="9" borderId="18" xfId="0" applyFont="1" applyFill="1" applyBorder="1" applyAlignment="1" applyProtection="1">
      <alignment horizontal="center"/>
      <protection locked="0"/>
    </xf>
    <xf numFmtId="0" fontId="7" fillId="9" borderId="38" xfId="0" applyFont="1" applyFill="1" applyBorder="1" applyAlignment="1" applyProtection="1">
      <alignment horizontal="center"/>
      <protection locked="0"/>
    </xf>
    <xf numFmtId="0" fontId="7" fillId="12" borderId="18" xfId="0" quotePrefix="1" applyFont="1" applyFill="1" applyBorder="1" applyAlignment="1" applyProtection="1">
      <alignment horizontal="center"/>
      <protection locked="0"/>
    </xf>
    <xf numFmtId="0" fontId="8" fillId="11" borderId="51" xfId="3" applyFill="1" applyBorder="1" applyProtection="1">
      <protection locked="0"/>
    </xf>
    <xf numFmtId="0" fontId="8" fillId="11" borderId="54" xfId="3" applyFill="1" applyBorder="1" applyProtection="1">
      <protection locked="0"/>
    </xf>
    <xf numFmtId="0" fontId="7" fillId="9" borderId="30" xfId="0" applyFont="1" applyFill="1" applyBorder="1" applyAlignment="1" applyProtection="1">
      <alignment horizontal="center"/>
      <protection locked="0"/>
    </xf>
    <xf numFmtId="0" fontId="7" fillId="12" borderId="30" xfId="0" applyFont="1" applyFill="1" applyBorder="1" applyAlignment="1" applyProtection="1">
      <alignment horizontal="center"/>
      <protection locked="0"/>
    </xf>
    <xf numFmtId="0" fontId="8" fillId="6" borderId="55" xfId="3" applyBorder="1" applyProtection="1">
      <protection locked="0"/>
    </xf>
    <xf numFmtId="0" fontId="7" fillId="12" borderId="19" xfId="0" quotePrefix="1" applyFont="1" applyFill="1" applyBorder="1" applyAlignment="1" applyProtection="1">
      <alignment horizontal="center"/>
      <protection locked="0"/>
    </xf>
    <xf numFmtId="0" fontId="7" fillId="12" borderId="22" xfId="0" applyFont="1" applyFill="1" applyBorder="1" applyAlignment="1" applyProtection="1">
      <alignment horizontal="center"/>
      <protection locked="0"/>
    </xf>
    <xf numFmtId="0" fontId="8" fillId="6" borderId="49" xfId="3" applyBorder="1" applyAlignment="1" applyProtection="1">
      <alignment horizontal="left" vertical="center"/>
      <protection locked="0"/>
    </xf>
    <xf numFmtId="0" fontId="8" fillId="6" borderId="53" xfId="3" applyBorder="1" applyProtection="1">
      <protection locked="0"/>
    </xf>
    <xf numFmtId="0" fontId="8" fillId="6" borderId="49" xfId="3" applyBorder="1" applyProtection="1">
      <protection locked="0"/>
    </xf>
    <xf numFmtId="0" fontId="8" fillId="11" borderId="49" xfId="3" applyFill="1" applyBorder="1" applyProtection="1">
      <protection locked="0"/>
    </xf>
    <xf numFmtId="0" fontId="8" fillId="6" borderId="48" xfId="3" applyBorder="1" applyAlignment="1" applyProtection="1">
      <alignment horizontal="left" vertical="center"/>
      <protection locked="0"/>
    </xf>
    <xf numFmtId="0" fontId="8" fillId="6" borderId="26" xfId="3" applyBorder="1" applyAlignment="1" applyProtection="1">
      <alignment horizontal="left" vertical="center"/>
      <protection locked="0"/>
    </xf>
    <xf numFmtId="0" fontId="7" fillId="9" borderId="22" xfId="0" applyFont="1" applyFill="1" applyBorder="1" applyAlignment="1" applyProtection="1">
      <alignment horizontal="center"/>
      <protection locked="0"/>
    </xf>
    <xf numFmtId="0" fontId="8" fillId="6" borderId="37" xfId="3" applyBorder="1" applyAlignment="1" applyProtection="1">
      <alignment horizontal="center" vertical="center"/>
      <protection locked="0"/>
    </xf>
    <xf numFmtId="0" fontId="8" fillId="6" borderId="31" xfId="3" applyBorder="1" applyAlignment="1" applyProtection="1">
      <alignment horizontal="center" vertical="center"/>
      <protection locked="0"/>
    </xf>
    <xf numFmtId="0" fontId="8" fillId="6" borderId="25" xfId="3" applyBorder="1" applyAlignment="1" applyProtection="1">
      <alignment horizontal="left" vertical="center"/>
      <protection locked="0"/>
    </xf>
    <xf numFmtId="0" fontId="8" fillId="6" borderId="0" xfId="3" applyBorder="1" applyAlignment="1" applyProtection="1">
      <alignment horizontal="left" vertical="center"/>
      <protection locked="0"/>
    </xf>
    <xf numFmtId="0" fontId="8" fillId="6" borderId="24" xfId="3" applyBorder="1" applyAlignment="1" applyProtection="1">
      <alignment horizontal="left" vertical="center"/>
      <protection locked="0"/>
    </xf>
    <xf numFmtId="0" fontId="8" fillId="6" borderId="32" xfId="3" applyBorder="1" applyAlignment="1" applyProtection="1">
      <alignment horizontal="center" vertical="center"/>
      <protection locked="0"/>
    </xf>
    <xf numFmtId="0" fontId="8" fillId="6" borderId="23" xfId="3" applyBorder="1" applyAlignment="1" applyProtection="1">
      <alignment horizontal="left" vertical="center"/>
      <protection locked="0"/>
    </xf>
    <xf numFmtId="0" fontId="9" fillId="7" borderId="5" xfId="0" applyFont="1" applyFill="1" applyBorder="1" applyAlignment="1" applyProtection="1">
      <alignment horizontal="center" shrinkToFit="1"/>
      <protection locked="0"/>
    </xf>
    <xf numFmtId="0" fontId="1" fillId="0" borderId="0" xfId="0" applyFont="1" applyProtection="1">
      <protection locked="0"/>
    </xf>
    <xf numFmtId="0" fontId="9" fillId="5" borderId="5" xfId="0" applyFont="1" applyFill="1" applyBorder="1" applyAlignment="1" applyProtection="1">
      <alignment horizontal="center" shrinkToFit="1"/>
      <protection locked="0"/>
    </xf>
    <xf numFmtId="0" fontId="12" fillId="9" borderId="12" xfId="0" applyFont="1" applyFill="1" applyBorder="1" applyAlignment="1" applyProtection="1">
      <alignment horizontal="center"/>
      <protection locked="0"/>
    </xf>
    <xf numFmtId="0" fontId="12" fillId="9" borderId="10" xfId="0" applyFont="1" applyFill="1" applyBorder="1" applyAlignment="1" applyProtection="1">
      <protection locked="0"/>
    </xf>
    <xf numFmtId="0" fontId="12" fillId="0" borderId="0" xfId="0" applyFont="1" applyBorder="1" applyProtection="1">
      <protection locked="0"/>
    </xf>
    <xf numFmtId="0" fontId="12" fillId="9" borderId="12" xfId="0" applyFont="1" applyFill="1" applyBorder="1" applyAlignment="1" applyProtection="1">
      <protection locked="0"/>
    </xf>
    <xf numFmtId="0" fontId="12" fillId="9" borderId="10" xfId="0" applyFont="1" applyFill="1" applyBorder="1" applyAlignment="1" applyProtection="1">
      <alignment shrinkToFit="1"/>
      <protection locked="0"/>
    </xf>
    <xf numFmtId="0" fontId="8" fillId="6" borderId="54" xfId="3" applyBorder="1" applyProtection="1">
      <protection locked="0"/>
    </xf>
    <xf numFmtId="0" fontId="1" fillId="2" borderId="5" xfId="0" applyFont="1" applyFill="1" applyBorder="1" applyAlignment="1" applyProtection="1">
      <alignment shrinkToFit="1"/>
      <protection locked="0"/>
    </xf>
    <xf numFmtId="0" fontId="1" fillId="2" borderId="5" xfId="0" applyFont="1" applyFill="1" applyBorder="1" applyAlignment="1" applyProtection="1">
      <alignment vertical="center" shrinkToFit="1"/>
      <protection locked="0"/>
    </xf>
    <xf numFmtId="0" fontId="1" fillId="0" borderId="0" xfId="0" applyFont="1" applyAlignment="1" applyProtection="1">
      <alignment vertical="center"/>
      <protection locked="0"/>
    </xf>
    <xf numFmtId="0" fontId="1" fillId="2" borderId="5" xfId="0" applyFont="1" applyFill="1" applyBorder="1" applyAlignment="1" applyProtection="1">
      <alignment horizontal="center" vertical="center" shrinkToFit="1"/>
      <protection locked="0"/>
    </xf>
    <xf numFmtId="0" fontId="12" fillId="9" borderId="12" xfId="0" applyFont="1" applyFill="1" applyBorder="1" applyAlignment="1" applyProtection="1">
      <alignment horizontal="left" vertical="center"/>
      <protection locked="0"/>
    </xf>
    <xf numFmtId="0" fontId="13" fillId="9" borderId="12" xfId="0" applyFont="1" applyFill="1" applyBorder="1" applyAlignment="1" applyProtection="1">
      <alignment horizontal="center" vertical="center"/>
      <protection locked="0"/>
    </xf>
    <xf numFmtId="0" fontId="13" fillId="9" borderId="10" xfId="0" applyFont="1" applyFill="1" applyBorder="1" applyAlignment="1" applyProtection="1">
      <alignment horizontal="center" vertical="center"/>
      <protection locked="0"/>
    </xf>
    <xf numFmtId="0" fontId="12" fillId="0" borderId="0" xfId="0" applyFont="1" applyBorder="1" applyAlignment="1" applyProtection="1">
      <alignment vertical="center"/>
      <protection locked="0"/>
    </xf>
    <xf numFmtId="0" fontId="8" fillId="6" borderId="27" xfId="3" applyBorder="1" applyAlignment="1" applyProtection="1">
      <alignment horizontal="left" vertical="center"/>
      <protection locked="0"/>
    </xf>
    <xf numFmtId="0" fontId="1" fillId="7" borderId="7" xfId="0" applyFont="1" applyFill="1" applyBorder="1" applyAlignment="1" applyProtection="1">
      <alignment horizontal="center" vertical="center" shrinkToFit="1"/>
      <protection locked="0"/>
    </xf>
    <xf numFmtId="0" fontId="1" fillId="7" borderId="8" xfId="0" applyFont="1" applyFill="1" applyBorder="1" applyAlignment="1" applyProtection="1">
      <alignment horizontal="center" vertical="center" shrinkToFit="1"/>
      <protection locked="0"/>
    </xf>
    <xf numFmtId="0" fontId="8" fillId="6" borderId="33" xfId="3" applyBorder="1" applyAlignment="1" applyProtection="1">
      <alignment horizontal="center" vertical="center"/>
      <protection locked="0"/>
    </xf>
    <xf numFmtId="0" fontId="1" fillId="7" borderId="6" xfId="0" applyFont="1" applyFill="1" applyBorder="1" applyAlignment="1" applyProtection="1">
      <alignment horizontal="center" vertical="center" shrinkToFit="1"/>
      <protection locked="0"/>
    </xf>
    <xf numFmtId="0" fontId="8" fillId="6" borderId="20" xfId="3" applyBorder="1" applyAlignment="1" applyProtection="1">
      <alignment horizontal="center" vertical="center"/>
      <protection locked="0"/>
    </xf>
    <xf numFmtId="0" fontId="1" fillId="7" borderId="16" xfId="0" applyFont="1" applyFill="1" applyBorder="1" applyAlignment="1" applyProtection="1">
      <alignment horizontal="center" vertical="center" shrinkToFit="1"/>
      <protection locked="0"/>
    </xf>
    <xf numFmtId="0" fontId="1" fillId="7" borderId="14" xfId="0" applyFont="1" applyFill="1" applyBorder="1" applyAlignment="1" applyProtection="1">
      <alignment horizontal="center" vertical="center" shrinkToFit="1"/>
      <protection locked="0"/>
    </xf>
    <xf numFmtId="0" fontId="1" fillId="7" borderId="10" xfId="0" applyFont="1" applyFill="1" applyBorder="1" applyAlignment="1" applyProtection="1">
      <alignment horizontal="center" vertical="center" shrinkToFit="1"/>
      <protection locked="0"/>
    </xf>
    <xf numFmtId="0" fontId="1" fillId="7" borderId="17" xfId="0" applyFont="1" applyFill="1" applyBorder="1" applyAlignment="1" applyProtection="1">
      <alignment horizontal="center" vertical="center" shrinkToFit="1"/>
      <protection locked="0"/>
    </xf>
    <xf numFmtId="0" fontId="1" fillId="4" borderId="10" xfId="0" applyFont="1" applyFill="1" applyBorder="1" applyAlignment="1" applyProtection="1">
      <alignment horizontal="center" vertical="center" shrinkToFit="1"/>
      <protection locked="0"/>
    </xf>
    <xf numFmtId="0" fontId="1" fillId="7" borderId="5" xfId="0" applyFont="1" applyFill="1" applyBorder="1" applyAlignment="1" applyProtection="1">
      <alignment horizontal="center" vertical="center" shrinkToFit="1"/>
      <protection locked="0"/>
    </xf>
    <xf numFmtId="0" fontId="1" fillId="7" borderId="5" xfId="0" applyFont="1" applyFill="1" applyBorder="1" applyAlignment="1" applyProtection="1">
      <alignment vertical="center" shrinkToFit="1"/>
      <protection locked="0"/>
    </xf>
    <xf numFmtId="0" fontId="37" fillId="2" borderId="5" xfId="3" applyFont="1" applyFill="1" applyBorder="1" applyAlignment="1" applyProtection="1">
      <alignment vertical="center"/>
      <protection locked="0"/>
    </xf>
    <xf numFmtId="0" fontId="1" fillId="7" borderId="6" xfId="0" applyFont="1" applyFill="1" applyBorder="1" applyAlignment="1" applyProtection="1">
      <alignment vertical="center" shrinkToFit="1"/>
      <protection locked="0"/>
    </xf>
    <xf numFmtId="0" fontId="8" fillId="6" borderId="28" xfId="3" applyBorder="1" applyAlignment="1" applyProtection="1">
      <alignment vertical="center"/>
      <protection locked="0"/>
    </xf>
    <xf numFmtId="0" fontId="7" fillId="9" borderId="34" xfId="0" applyFont="1" applyFill="1" applyBorder="1" applyAlignment="1" applyProtection="1">
      <alignment horizontal="center"/>
      <protection locked="0"/>
    </xf>
    <xf numFmtId="0" fontId="8" fillId="6" borderId="29" xfId="3" applyBorder="1" applyAlignment="1" applyProtection="1">
      <alignment vertical="center"/>
      <protection locked="0"/>
    </xf>
    <xf numFmtId="0" fontId="7" fillId="9" borderId="21" xfId="0" applyFont="1" applyFill="1" applyBorder="1" applyAlignment="1" applyProtection="1">
      <alignment horizontal="center"/>
      <protection locked="0"/>
    </xf>
    <xf numFmtId="0" fontId="7" fillId="9" borderId="35" xfId="0" applyFont="1" applyFill="1" applyBorder="1" applyAlignment="1" applyProtection="1">
      <alignment horizontal="center"/>
      <protection locked="0"/>
    </xf>
    <xf numFmtId="0" fontId="8" fillId="0" borderId="0" xfId="3" applyFill="1" applyBorder="1" applyProtection="1">
      <protection locked="0"/>
    </xf>
    <xf numFmtId="0" fontId="8" fillId="0" borderId="0" xfId="3" applyFill="1" applyBorder="1" applyAlignment="1" applyProtection="1">
      <alignment horizontal="center"/>
      <protection locked="0"/>
    </xf>
    <xf numFmtId="0" fontId="1" fillId="0" borderId="0" xfId="0" applyFont="1" applyBorder="1" applyProtection="1">
      <protection locked="0"/>
    </xf>
    <xf numFmtId="0" fontId="1" fillId="0" borderId="0" xfId="0" applyFont="1" applyBorder="1" applyAlignment="1" applyProtection="1">
      <alignment horizontal="center"/>
      <protection locked="0"/>
    </xf>
    <xf numFmtId="0" fontId="1" fillId="0" borderId="0" xfId="0" applyFont="1" applyBorder="1" applyAlignment="1" applyProtection="1">
      <alignment horizontal="center" shrinkToFit="1"/>
      <protection locked="0"/>
    </xf>
    <xf numFmtId="0" fontId="9" fillId="0" borderId="0" xfId="0" applyFont="1" applyAlignment="1" applyProtection="1">
      <alignment horizontal="center"/>
      <protection hidden="1"/>
    </xf>
    <xf numFmtId="0" fontId="9" fillId="0" borderId="0" xfId="0" applyFont="1" applyBorder="1" applyAlignment="1" applyProtection="1">
      <alignment horizontal="center" wrapText="1"/>
      <protection hidden="1"/>
    </xf>
    <xf numFmtId="0" fontId="13" fillId="9" borderId="12" xfId="0" applyFont="1" applyFill="1" applyBorder="1" applyAlignment="1" applyProtection="1">
      <alignment horizontal="center" vertical="center"/>
      <protection hidden="1"/>
    </xf>
    <xf numFmtId="0" fontId="12" fillId="9" borderId="12" xfId="0" applyFont="1" applyFill="1" applyBorder="1" applyAlignment="1" applyProtection="1">
      <alignment horizontal="center"/>
      <protection hidden="1"/>
    </xf>
    <xf numFmtId="0" fontId="7" fillId="9" borderId="19" xfId="0" applyFont="1" applyFill="1" applyBorder="1" applyAlignment="1" applyProtection="1">
      <alignment horizontal="center"/>
      <protection locked="0" hidden="1"/>
    </xf>
    <xf numFmtId="0" fontId="12" fillId="9" borderId="12" xfId="0" applyFont="1" applyFill="1" applyBorder="1" applyAlignment="1" applyProtection="1">
      <alignment horizontal="center"/>
      <protection locked="0" hidden="1"/>
    </xf>
    <xf numFmtId="0" fontId="7" fillId="9" borderId="38" xfId="0" applyFont="1" applyFill="1" applyBorder="1" applyAlignment="1" applyProtection="1">
      <alignment horizontal="center"/>
      <protection locked="0" hidden="1"/>
    </xf>
    <xf numFmtId="0" fontId="7" fillId="9" borderId="30" xfId="0" applyFont="1" applyFill="1" applyBorder="1" applyAlignment="1" applyProtection="1">
      <alignment horizontal="center"/>
      <protection locked="0" hidden="1"/>
    </xf>
    <xf numFmtId="0" fontId="13" fillId="9" borderId="12" xfId="0" applyFont="1" applyFill="1" applyBorder="1" applyAlignment="1" applyProtection="1">
      <alignment horizontal="center"/>
      <protection locked="0" hidden="1"/>
    </xf>
    <xf numFmtId="0" fontId="7" fillId="11" borderId="19" xfId="0" applyFont="1" applyFill="1" applyBorder="1" applyAlignment="1" applyProtection="1">
      <alignment horizontal="center"/>
      <protection locked="0" hidden="1"/>
    </xf>
    <xf numFmtId="0" fontId="7" fillId="12" borderId="19" xfId="0" applyFont="1" applyFill="1" applyBorder="1" applyAlignment="1" applyProtection="1">
      <alignment horizontal="center"/>
      <protection locked="0" hidden="1"/>
    </xf>
    <xf numFmtId="0" fontId="13" fillId="9" borderId="12" xfId="0" applyFont="1" applyFill="1" applyBorder="1" applyAlignment="1" applyProtection="1">
      <alignment horizontal="center" vertical="center"/>
      <protection locked="0" hidden="1"/>
    </xf>
    <xf numFmtId="0" fontId="7" fillId="9" borderId="18" xfId="0" applyFont="1" applyFill="1" applyBorder="1" applyAlignment="1" applyProtection="1">
      <alignment horizontal="center"/>
      <protection locked="0" hidden="1"/>
    </xf>
    <xf numFmtId="0" fontId="7" fillId="9" borderId="21" xfId="0" applyFont="1" applyFill="1" applyBorder="1" applyAlignment="1" applyProtection="1">
      <alignment horizontal="center"/>
      <protection locked="0" hidden="1"/>
    </xf>
    <xf numFmtId="0" fontId="8" fillId="0" borderId="0" xfId="3" applyFill="1" applyBorder="1" applyAlignment="1" applyProtection="1">
      <alignment horizontal="center"/>
      <protection locked="0" hidden="1"/>
    </xf>
    <xf numFmtId="0" fontId="1" fillId="0" borderId="0" xfId="0" applyFont="1" applyBorder="1" applyAlignment="1" applyProtection="1">
      <alignment horizontal="center"/>
      <protection locked="0" hidden="1"/>
    </xf>
    <xf numFmtId="0" fontId="1"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68" fillId="0" borderId="0" xfId="0" applyFont="1" applyAlignment="1">
      <alignment horizontal="center" wrapText="1"/>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2" fontId="0" fillId="0" borderId="0" xfId="0" applyNumberFormat="1" applyBorder="1"/>
    <xf numFmtId="2" fontId="0" fillId="0" borderId="0" xfId="0" applyNumberFormat="1" applyAlignment="1">
      <alignment horizontal="center" vertical="center"/>
    </xf>
    <xf numFmtId="2" fontId="9" fillId="0" borderId="0" xfId="0" applyNumberFormat="1" applyFont="1"/>
    <xf numFmtId="0" fontId="7" fillId="0" borderId="1" xfId="0" applyFont="1" applyBorder="1"/>
    <xf numFmtId="0" fontId="12" fillId="9" borderId="10" xfId="0" applyFont="1" applyFill="1" applyBorder="1" applyAlignment="1"/>
    <xf numFmtId="0" fontId="12" fillId="0" borderId="1" xfId="0" applyFont="1" applyBorder="1" applyProtection="1">
      <protection locked="0"/>
    </xf>
    <xf numFmtId="0" fontId="12" fillId="0" borderId="1" xfId="0" applyFont="1" applyBorder="1" applyAlignment="1" applyProtection="1">
      <alignment vertical="center"/>
      <protection locked="0"/>
    </xf>
    <xf numFmtId="49" fontId="0" fillId="0" borderId="0" xfId="0" applyNumberFormat="1" applyAlignment="1"/>
    <xf numFmtId="0" fontId="1" fillId="10" borderId="0" xfId="0" applyFont="1" applyFill="1" applyBorder="1" applyAlignment="1" applyProtection="1">
      <alignment horizontal="left"/>
      <protection hidden="1"/>
    </xf>
    <xf numFmtId="0" fontId="1" fillId="0" borderId="0" xfId="0" applyNumberFormat="1" applyFont="1" applyBorder="1" applyAlignment="1" applyProtection="1">
      <alignment horizontal="left"/>
      <protection locked="0" hidden="1"/>
    </xf>
    <xf numFmtId="0" fontId="1" fillId="2" borderId="10" xfId="0" applyFont="1" applyFill="1" applyBorder="1" applyAlignment="1" applyProtection="1">
      <alignment shrinkToFit="1"/>
      <protection locked="0"/>
    </xf>
    <xf numFmtId="0" fontId="13" fillId="9" borderId="16" xfId="0" applyFont="1" applyFill="1" applyBorder="1" applyAlignment="1" applyProtection="1">
      <alignment horizontal="center"/>
      <protection locked="0"/>
    </xf>
    <xf numFmtId="0" fontId="12" fillId="9" borderId="2" xfId="0" applyFont="1" applyFill="1" applyBorder="1" applyAlignment="1" applyProtection="1">
      <alignment horizontal="left"/>
      <protection locked="0"/>
    </xf>
    <xf numFmtId="0" fontId="13" fillId="9" borderId="2" xfId="0" applyFont="1" applyFill="1" applyBorder="1" applyAlignment="1" applyProtection="1">
      <alignment horizontal="center"/>
      <protection locked="0"/>
    </xf>
    <xf numFmtId="0" fontId="13" fillId="9" borderId="2" xfId="0" applyFont="1" applyFill="1" applyBorder="1" applyAlignment="1" applyProtection="1">
      <alignment horizontal="center"/>
      <protection locked="0" hidden="1"/>
    </xf>
    <xf numFmtId="0" fontId="9" fillId="11" borderId="2" xfId="0" quotePrefix="1" applyFont="1" applyFill="1" applyBorder="1" applyAlignment="1" applyProtection="1">
      <alignment horizontal="center"/>
      <protection locked="0"/>
    </xf>
    <xf numFmtId="0" fontId="13" fillId="9" borderId="17" xfId="0" applyFont="1" applyFill="1" applyBorder="1" applyAlignment="1" applyProtection="1">
      <alignment horizontal="center"/>
      <protection locked="0"/>
    </xf>
    <xf numFmtId="0" fontId="12" fillId="9" borderId="68" xfId="0" applyFont="1" applyFill="1" applyBorder="1" applyAlignment="1" applyProtection="1">
      <alignment horizontal="left" wrapText="1"/>
      <protection hidden="1"/>
    </xf>
    <xf numFmtId="0" fontId="12" fillId="9" borderId="68" xfId="0" applyFont="1" applyFill="1" applyBorder="1" applyAlignment="1" applyProtection="1">
      <alignment horizontal="center" shrinkToFit="1"/>
      <protection hidden="1"/>
    </xf>
    <xf numFmtId="49" fontId="12" fillId="9" borderId="68" xfId="0" applyNumberFormat="1" applyFont="1" applyFill="1" applyBorder="1" applyAlignment="1" applyProtection="1">
      <alignment horizontal="left"/>
      <protection hidden="1"/>
    </xf>
    <xf numFmtId="0" fontId="12" fillId="9" borderId="2" xfId="0" applyFont="1" applyFill="1" applyBorder="1" applyAlignment="1" applyProtection="1">
      <alignment horizontal="left" wrapText="1"/>
      <protection hidden="1"/>
    </xf>
    <xf numFmtId="0" fontId="12" fillId="9" borderId="2" xfId="0" applyFont="1" applyFill="1" applyBorder="1" applyAlignment="1" applyProtection="1">
      <alignment horizontal="center" shrinkToFit="1"/>
      <protection hidden="1"/>
    </xf>
    <xf numFmtId="49" fontId="12" fillId="9" borderId="2" xfId="0" applyNumberFormat="1" applyFont="1" applyFill="1" applyBorder="1" applyAlignment="1" applyProtection="1">
      <alignment horizontal="left"/>
      <protection hidden="1"/>
    </xf>
    <xf numFmtId="0" fontId="1" fillId="10" borderId="19" xfId="0" applyFont="1" applyFill="1" applyBorder="1" applyAlignment="1" applyProtection="1">
      <alignment horizontal="left"/>
      <protection hidden="1"/>
    </xf>
    <xf numFmtId="0" fontId="1" fillId="10" borderId="19" xfId="0" applyFont="1" applyFill="1" applyBorder="1" applyAlignment="1" applyProtection="1">
      <alignment horizontal="center" shrinkToFit="1"/>
      <protection hidden="1"/>
    </xf>
    <xf numFmtId="49" fontId="1" fillId="10" borderId="19" xfId="0" applyNumberFormat="1" applyFont="1" applyFill="1" applyBorder="1" applyAlignment="1" applyProtection="1">
      <alignment horizontal="left"/>
      <protection hidden="1"/>
    </xf>
    <xf numFmtId="0" fontId="1" fillId="0" borderId="19" xfId="0" applyFont="1" applyFill="1" applyBorder="1" applyAlignment="1" applyProtection="1">
      <alignment horizontal="left"/>
      <protection hidden="1"/>
    </xf>
    <xf numFmtId="0" fontId="1" fillId="0" borderId="19" xfId="0" applyFont="1" applyFill="1" applyBorder="1" applyAlignment="1" applyProtection="1">
      <alignment horizontal="center" shrinkToFit="1"/>
      <protection hidden="1"/>
    </xf>
    <xf numFmtId="49" fontId="1" fillId="0" borderId="19" xfId="0" applyNumberFormat="1" applyFont="1" applyFill="1" applyBorder="1" applyAlignment="1" applyProtection="1">
      <alignment horizontal="left"/>
      <protection hidden="1"/>
    </xf>
    <xf numFmtId="0" fontId="12" fillId="9" borderId="68" xfId="0" applyFont="1" applyFill="1" applyBorder="1" applyAlignment="1" applyProtection="1">
      <alignment horizontal="left"/>
    </xf>
    <xf numFmtId="0" fontId="13" fillId="9" borderId="68" xfId="0" applyFont="1" applyFill="1" applyBorder="1" applyAlignment="1" applyProtection="1">
      <alignment horizontal="center"/>
    </xf>
    <xf numFmtId="0" fontId="9" fillId="11" borderId="68" xfId="0" quotePrefix="1" applyFont="1" applyFill="1" applyBorder="1" applyAlignment="1" applyProtection="1">
      <alignment horizontal="center"/>
    </xf>
    <xf numFmtId="0" fontId="8" fillId="6" borderId="19" xfId="3" applyBorder="1" applyProtection="1"/>
    <xf numFmtId="0" fontId="7" fillId="11" borderId="19" xfId="0" applyFont="1" applyFill="1" applyBorder="1" applyAlignment="1" applyProtection="1">
      <alignment horizontal="center" vertical="center"/>
    </xf>
    <xf numFmtId="0" fontId="7" fillId="11" borderId="19" xfId="0" applyFont="1" applyFill="1" applyBorder="1" applyAlignment="1" applyProtection="1">
      <alignment horizontal="center"/>
    </xf>
    <xf numFmtId="0" fontId="7" fillId="12" borderId="19" xfId="0" applyFont="1" applyFill="1" applyBorder="1" applyAlignment="1" applyProtection="1">
      <alignment horizontal="center"/>
    </xf>
    <xf numFmtId="0" fontId="1" fillId="0" borderId="16" xfId="0" applyFont="1" applyBorder="1" applyAlignment="1" applyProtection="1">
      <alignment horizontal="left"/>
      <protection hidden="1"/>
    </xf>
    <xf numFmtId="0" fontId="1" fillId="0" borderId="17" xfId="0" applyFont="1" applyBorder="1" applyAlignment="1" applyProtection="1">
      <alignment horizontal="left"/>
      <protection hidden="1"/>
    </xf>
    <xf numFmtId="0" fontId="8" fillId="6" borderId="51" xfId="3" applyBorder="1" applyProtection="1"/>
    <xf numFmtId="0" fontId="7" fillId="9" borderId="19" xfId="0" applyFont="1" applyFill="1" applyBorder="1" applyAlignment="1" applyProtection="1">
      <alignment horizontal="center"/>
    </xf>
    <xf numFmtId="0" fontId="7" fillId="11" borderId="22" xfId="0" applyFont="1" applyFill="1" applyBorder="1" applyAlignment="1" applyProtection="1">
      <alignment horizontal="center"/>
    </xf>
    <xf numFmtId="0" fontId="7" fillId="11" borderId="31" xfId="0" applyFont="1" applyFill="1" applyBorder="1" applyAlignment="1" applyProtection="1">
      <alignment horizontal="center"/>
    </xf>
    <xf numFmtId="0" fontId="8" fillId="11" borderId="51" xfId="3" applyFill="1" applyBorder="1" applyProtection="1"/>
    <xf numFmtId="0" fontId="8" fillId="6" borderId="50" xfId="3" applyBorder="1" applyAlignment="1" applyProtection="1">
      <alignment horizontal="left" vertical="center"/>
    </xf>
    <xf numFmtId="0" fontId="8" fillId="11" borderId="49" xfId="3" applyFill="1" applyBorder="1" applyProtection="1"/>
    <xf numFmtId="0" fontId="8" fillId="6" borderId="49" xfId="3" applyBorder="1" applyProtection="1"/>
    <xf numFmtId="0" fontId="8" fillId="6" borderId="49" xfId="3" applyBorder="1" applyAlignment="1" applyProtection="1">
      <alignment horizontal="left" vertical="center"/>
    </xf>
    <xf numFmtId="0" fontId="8" fillId="6" borderId="48" xfId="3" applyBorder="1" applyAlignment="1" applyProtection="1">
      <alignment horizontal="left" vertical="center"/>
    </xf>
    <xf numFmtId="0" fontId="7" fillId="12" borderId="35" xfId="0" applyFont="1" applyFill="1" applyBorder="1" applyAlignment="1" applyProtection="1">
      <alignment horizontal="center"/>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0" fillId="0" borderId="0" xfId="0" applyAlignment="1">
      <alignment horizontal="left" wrapText="1"/>
    </xf>
    <xf numFmtId="0" fontId="2" fillId="0" borderId="0" xfId="0" applyFont="1" applyBorder="1" applyAlignment="1">
      <alignment horizontal="center" wrapText="1"/>
    </xf>
    <xf numFmtId="0" fontId="9" fillId="0" borderId="15" xfId="0" applyFont="1" applyBorder="1" applyAlignment="1">
      <alignment horizontal="center" vertical="center"/>
    </xf>
    <xf numFmtId="0" fontId="9" fillId="0" borderId="9" xfId="0" applyFont="1" applyBorder="1" applyAlignment="1">
      <alignment horizontal="center" vertical="center"/>
    </xf>
    <xf numFmtId="0" fontId="9" fillId="0" borderId="7" xfId="0" applyFont="1" applyFill="1" applyBorder="1" applyAlignment="1" applyProtection="1">
      <alignment horizontal="center" vertical="center" wrapText="1" shrinkToFit="1"/>
      <protection locked="0"/>
    </xf>
    <xf numFmtId="0" fontId="9" fillId="0" borderId="8" xfId="0" applyFont="1" applyFill="1" applyBorder="1" applyAlignment="1" applyProtection="1">
      <alignment horizontal="center" vertical="center" wrapText="1" shrinkToFit="1"/>
      <protection locked="0"/>
    </xf>
    <xf numFmtId="0" fontId="9" fillId="0" borderId="15" xfId="0" applyFont="1" applyBorder="1" applyAlignment="1">
      <alignment horizontal="center"/>
    </xf>
    <xf numFmtId="0" fontId="9" fillId="0" borderId="9" xfId="0" applyFont="1" applyBorder="1" applyAlignment="1">
      <alignment horizontal="center"/>
    </xf>
    <xf numFmtId="0" fontId="9" fillId="0" borderId="16" xfId="0" applyFont="1" applyBorder="1" applyAlignment="1">
      <alignment horizontal="center"/>
    </xf>
    <xf numFmtId="0" fontId="9" fillId="0" borderId="15"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center" wrapText="1"/>
    </xf>
    <xf numFmtId="0" fontId="9" fillId="0" borderId="9" xfId="0" applyFont="1" applyBorder="1" applyAlignment="1">
      <alignment horizontal="center" wrapText="1"/>
    </xf>
    <xf numFmtId="0" fontId="9" fillId="0" borderId="16" xfId="0" applyFont="1" applyBorder="1" applyAlignment="1">
      <alignment horizontal="center" wrapText="1"/>
    </xf>
    <xf numFmtId="0" fontId="7" fillId="0" borderId="0" xfId="0" applyFont="1" applyBorder="1" applyAlignment="1" applyProtection="1">
      <alignment horizontal="left"/>
    </xf>
    <xf numFmtId="0" fontId="9" fillId="0" borderId="3" xfId="0" applyFont="1" applyBorder="1" applyAlignment="1">
      <alignment horizontal="center" wrapText="1"/>
    </xf>
    <xf numFmtId="0" fontId="9" fillId="0" borderId="17" xfId="0" applyFont="1" applyBorder="1" applyAlignment="1">
      <alignment horizontal="center" wrapText="1"/>
    </xf>
    <xf numFmtId="0" fontId="9" fillId="0" borderId="68" xfId="0" applyFont="1" applyBorder="1" applyAlignment="1">
      <alignment horizontal="center"/>
    </xf>
    <xf numFmtId="0" fontId="9" fillId="0" borderId="15" xfId="0" applyFont="1" applyBorder="1" applyAlignment="1">
      <alignment horizontal="center" shrinkToFit="1"/>
    </xf>
    <xf numFmtId="0" fontId="9" fillId="0" borderId="9" xfId="0" applyFont="1" applyBorder="1" applyAlignment="1">
      <alignment horizontal="center" shrinkToFit="1"/>
    </xf>
    <xf numFmtId="0" fontId="9" fillId="0" borderId="16" xfId="0" applyFont="1" applyBorder="1" applyAlignment="1">
      <alignment horizontal="center" shrinkToFit="1"/>
    </xf>
  </cellXfs>
  <cellStyles count="53441">
    <cellStyle name="20% - Accent1" xfId="164" builtinId="30" customBuiltin="1"/>
    <cellStyle name="20% - Accent1 6 2 3 2" xfId="8801"/>
    <cellStyle name="20% - Accent1 6 2 3 2 2" xfId="16591"/>
    <cellStyle name="20% - Accent1 6 2 3 2 2 2" xfId="34212"/>
    <cellStyle name="20% - Accent1 6 2 3 2 3" xfId="27175"/>
    <cellStyle name="20% - Accent1 6 2 3 3" xfId="13354"/>
    <cellStyle name="20% - Accent1 6 2 3 3 2" xfId="30980"/>
    <cellStyle name="20% - Accent1 6 2 3 4" xfId="24314"/>
    <cellStyle name="20% - Accent1 6 2 4" xfId="6134"/>
    <cellStyle name="20% - Accent1 6 2 4 2" xfId="9341"/>
    <cellStyle name="20% - Accent1 6 2 5 2" xfId="9878"/>
    <cellStyle name="20% - Accent1 6 2 5 4" xfId="25387"/>
    <cellStyle name="20% - Accent1 6 2 9" xfId="23068"/>
    <cellStyle name="20% - Accent1 6 3 2 4 2 2 2" xfId="34753"/>
    <cellStyle name="20% - Accent1 6 3 3" xfId="3453"/>
    <cellStyle name="20% - Accent1 6 3 3 2" xfId="5507"/>
    <cellStyle name="20% - Accent1 6 3 3 2 2" xfId="8803"/>
    <cellStyle name="20% - Accent1 6 3 3 2 2 2" xfId="16593"/>
    <cellStyle name="20% - Accent1 6 3 3 2 2 2 2" xfId="34214"/>
    <cellStyle name="20% - Accent1 6 3 3 2 2 3" xfId="27177"/>
    <cellStyle name="20% - Accent1 6 3 3 2 3" xfId="13356"/>
    <cellStyle name="20% - Accent1 6 3 3 2 3 2" xfId="30982"/>
    <cellStyle name="20% - Accent1 6 3 3 2 4" xfId="24316"/>
    <cellStyle name="20% - Accent1 6 3 3 3" xfId="6136"/>
    <cellStyle name="20% - Accent1 6 3 3 3 2" xfId="9343"/>
    <cellStyle name="20% - Accent1 6 3 3 3 2 2" xfId="17131"/>
    <cellStyle name="20% - Accent1 6 3 3 3 2 2 2" xfId="34754"/>
    <cellStyle name="20% - Accent1 6 3 3 3 2 3" xfId="27713"/>
    <cellStyle name="20% - Accent1 6 3 3 3 3" xfId="13919"/>
    <cellStyle name="20% - Accent1 6 3 3 3 3 2" xfId="31540"/>
    <cellStyle name="20% - Accent1 6 3 3 3 4" xfId="24852"/>
    <cellStyle name="20% - Accent1 6 3 3 4" xfId="6673"/>
    <cellStyle name="20% - Accent1 6 3 3 4 2" xfId="9880"/>
    <cellStyle name="20% - Accent1 6 3 3 4 2 2" xfId="17667"/>
    <cellStyle name="20% - Accent1 6 3 3 4 2 2 2" xfId="35290"/>
    <cellStyle name="20% - Accent1 6 3 3 4 2 3" xfId="28249"/>
    <cellStyle name="20% - Accent1 6 3 3 4 3" xfId="14455"/>
    <cellStyle name="20% - Accent1 6 3 3 4 3 2" xfId="32076"/>
    <cellStyle name="20% - Accent1 6 3 3 4 4" xfId="25389"/>
    <cellStyle name="20% - Accent1 6 3 3 5" xfId="8074"/>
    <cellStyle name="20% - Accent1 6 3 3 5 2" xfId="15864"/>
    <cellStyle name="20% - Accent1 6 3 3 5 2 2" xfId="33485"/>
    <cellStyle name="20% - Accent1 6 3 3 5 3" xfId="26474"/>
    <cellStyle name="20% - Accent1 6 3 3 6" xfId="12180"/>
    <cellStyle name="20% - Accent1 6 3 3 6 2" xfId="29837"/>
    <cellStyle name="20% - Accent1 6 3 3 7" xfId="23613"/>
    <cellStyle name="20% - Accent1 6 3 4" xfId="3452"/>
    <cellStyle name="20% - Accent1 6 3 4 2" xfId="8073"/>
    <cellStyle name="20% - Accent1 6 3 4 2 2" xfId="15863"/>
    <cellStyle name="20% - Accent1 6 3 4 2 2 2" xfId="33484"/>
    <cellStyle name="20% - Accent1 6 3 4 2 3" xfId="26473"/>
    <cellStyle name="20% - Accent1 6 3 4 3" xfId="12179"/>
    <cellStyle name="20% - Accent1 6 3 4 3 2" xfId="29836"/>
    <cellStyle name="20% - Accent1 6 3 4 4" xfId="23612"/>
    <cellStyle name="20% - Accent1 6 3 5" xfId="5506"/>
    <cellStyle name="20% - Accent1 6 3 5 2" xfId="8802"/>
    <cellStyle name="20% - Accent1 6 3 5 2 2" xfId="16592"/>
    <cellStyle name="20% - Accent1 6 3 5 2 2 2" xfId="34213"/>
    <cellStyle name="20% - Accent1 6 3 5 2 3" xfId="27176"/>
    <cellStyle name="20% - Accent1 6 3 5 3" xfId="13355"/>
    <cellStyle name="20% - Accent1 6 3 5 3 2" xfId="30981"/>
    <cellStyle name="20% - Accent1 6 3 5 4" xfId="24315"/>
    <cellStyle name="20% - Accent1 6 3 6" xfId="6135"/>
    <cellStyle name="20% - Accent1 6 3 6 2" xfId="9342"/>
    <cellStyle name="20% - Accent1 6 3 6 2 2" xfId="17130"/>
    <cellStyle name="20% - Accent1 6 3 6 2 2 2" xfId="34752"/>
    <cellStyle name="20% - Accent1 6 3 6 2 3" xfId="27712"/>
    <cellStyle name="20% - Accent1 6 3 6 3" xfId="13918"/>
    <cellStyle name="20% - Accent1 6 3 6 3 2" xfId="31539"/>
    <cellStyle name="20% - Accent1 6 3 6 4" xfId="24851"/>
    <cellStyle name="20% - Accent1 6 3 7" xfId="6672"/>
    <cellStyle name="20% - Accent1 6 3 7 2" xfId="9879"/>
    <cellStyle name="20% - Accent1 6 3 7 2 2" xfId="17666"/>
    <cellStyle name="20% - Accent1 6 3 7 2 2 2" xfId="35289"/>
    <cellStyle name="20% - Accent1 6 3 7 2 3" xfId="28248"/>
    <cellStyle name="20% - Accent1 6 3 7 3" xfId="14454"/>
    <cellStyle name="20% - Accent1 6 3 7 3 2" xfId="32075"/>
    <cellStyle name="20% - Accent1 6 3 7 4" xfId="25388"/>
    <cellStyle name="20% - Accent1 6 3 8" xfId="7510"/>
    <cellStyle name="20% - Accent1 6 3 8 2" xfId="15301"/>
    <cellStyle name="20% - Accent1 6 3 8 2 2" xfId="32922"/>
    <cellStyle name="20% - Accent1 6 3 8 3" xfId="25929"/>
    <cellStyle name="20% - Accent1 6 3 9" xfId="11072"/>
    <cellStyle name="20% - Accent1 6 3 9 2" xfId="28788"/>
    <cellStyle name="20% - Accent1 6 4" xfId="215"/>
    <cellStyle name="20% - Accent1 6 4 10" xfId="52877"/>
    <cellStyle name="20% - Accent1 6 4 2" xfId="3454"/>
    <cellStyle name="20% - Accent1 6 4 2 2" xfId="8075"/>
    <cellStyle name="20% - Accent1 6 4 2 2 2" xfId="15865"/>
    <cellStyle name="20% - Accent1 6 4 2 2 2 2" xfId="33486"/>
    <cellStyle name="20% - Accent1 6 4 2 2 3" xfId="26475"/>
    <cellStyle name="20% - Accent1 6 4 2 3" xfId="12181"/>
    <cellStyle name="20% - Accent1 6 4 2 3 2" xfId="29838"/>
    <cellStyle name="20% - Accent1 6 4 2 4" xfId="23614"/>
    <cellStyle name="20% - Accent1 6 4 3" xfId="5508"/>
    <cellStyle name="20% - Accent1 6 4 3 2" xfId="8804"/>
    <cellStyle name="20% - Accent1 6 4 3 2 2" xfId="16594"/>
    <cellStyle name="20% - Accent1 6 4 3 2 2 2" xfId="34215"/>
    <cellStyle name="20% - Accent1 6 4 3 2 3" xfId="27178"/>
    <cellStyle name="20% - Accent1 6 4 3 3" xfId="13357"/>
    <cellStyle name="20% - Accent1 6 4 3 3 2" xfId="30983"/>
    <cellStyle name="20% - Accent1 6 4 3 4" xfId="24317"/>
    <cellStyle name="20% - Accent1 6 4 4" xfId="6137"/>
    <cellStyle name="20% - Accent1 6 4 4 2" xfId="9344"/>
    <cellStyle name="20% - Accent1 6 4 4 2 2" xfId="17132"/>
    <cellStyle name="20% - Accent1 6 4 4 2 2 2" xfId="34755"/>
    <cellStyle name="20% - Accent1 6 4 4 2 3" xfId="27714"/>
    <cellStyle name="20% - Accent1 6 4 4 3" xfId="13920"/>
    <cellStyle name="20% - Accent1 6 4 4 3 2" xfId="31541"/>
    <cellStyle name="20% - Accent1 6 4 4 4" xfId="24853"/>
    <cellStyle name="20% - Accent1 6 4 5" xfId="6674"/>
    <cellStyle name="20% - Accent1 6 4 5 2" xfId="9881"/>
    <cellStyle name="20% - Accent1 6 4 5 2 2" xfId="17668"/>
    <cellStyle name="20% - Accent1 6 4 5 2 2 2" xfId="35291"/>
    <cellStyle name="20% - Accent1 6 4 5 2 3" xfId="28250"/>
    <cellStyle name="20% - Accent1 6 4 5 3" xfId="14456"/>
    <cellStyle name="20% - Accent1 6 4 5 3 2" xfId="32077"/>
    <cellStyle name="20% - Accent1 6 4 5 4" xfId="25390"/>
    <cellStyle name="20% - Accent1 6 4 6" xfId="7511"/>
    <cellStyle name="20% - Accent1 6 4 6 2" xfId="15302"/>
    <cellStyle name="20% - Accent1 6 4 6 2 2" xfId="32923"/>
    <cellStyle name="20% - Accent1 6 4 6 3" xfId="25930"/>
    <cellStyle name="20% - Accent1 6 4 7" xfId="11073"/>
    <cellStyle name="20% - Accent1 6 4 7 2" xfId="28789"/>
    <cellStyle name="20% - Accent1 6 4 8" xfId="23069"/>
    <cellStyle name="20% - Accent1 6 4 9" xfId="51608"/>
    <cellStyle name="20% - Accent1 6 5" xfId="216"/>
    <cellStyle name="20% - Accent1 6 5 2" xfId="3455"/>
    <cellStyle name="20% - Accent1 6 5 2 2" xfId="8076"/>
    <cellStyle name="20% - Accent1 6 5 2 2 2" xfId="15866"/>
    <cellStyle name="20% - Accent1 6 5 2 2 2 2" xfId="33487"/>
    <cellStyle name="20% - Accent1 6 5 2 2 3" xfId="26476"/>
    <cellStyle name="20% - Accent1 6 5 2 3" xfId="12182"/>
    <cellStyle name="20% - Accent1 6 5 2 3 2" xfId="29839"/>
    <cellStyle name="20% - Accent1 6 5 2 4" xfId="23615"/>
    <cellStyle name="20% - Accent1 6 5 3" xfId="5509"/>
    <cellStyle name="20% - Accent1 6 5 3 2" xfId="8805"/>
    <cellStyle name="20% - Accent1 6 5 3 2 2" xfId="16595"/>
    <cellStyle name="20% - Accent1 6 5 3 2 2 2" xfId="34216"/>
    <cellStyle name="20% - Accent1 6 5 3 2 3" xfId="27179"/>
    <cellStyle name="20% - Accent1 6 5 3 3" xfId="13358"/>
    <cellStyle name="20% - Accent1 6 5 3 3 2" xfId="30984"/>
    <cellStyle name="20% - Accent1 6 5 3 4" xfId="24318"/>
    <cellStyle name="20% - Accent1 6 5 4" xfId="6138"/>
    <cellStyle name="20% - Accent1 6 5 4 2" xfId="9345"/>
    <cellStyle name="20% - Accent1 6 5 4 2 2" xfId="17133"/>
    <cellStyle name="20% - Accent1 6 5 4 2 2 2" xfId="34756"/>
    <cellStyle name="20% - Accent1 6 5 4 2 3" xfId="27715"/>
    <cellStyle name="20% - Accent1 6 5 4 3" xfId="13921"/>
    <cellStyle name="20% - Accent1 6 5 4 3 2" xfId="31542"/>
    <cellStyle name="20% - Accent1 6 5 4 4" xfId="24854"/>
    <cellStyle name="20% - Accent1 6 5 5" xfId="6675"/>
    <cellStyle name="20% - Accent1 6 5 5 2" xfId="9882"/>
    <cellStyle name="20% - Accent1 6 5 5 2 2" xfId="17669"/>
    <cellStyle name="20% - Accent1 6 5 5 2 2 2" xfId="35292"/>
    <cellStyle name="20% - Accent1 6 5 5 2 3" xfId="28251"/>
    <cellStyle name="20% - Accent1 6 5 5 3" xfId="14457"/>
    <cellStyle name="20% - Accent1 6 5 5 3 2" xfId="32078"/>
    <cellStyle name="20% - Accent1 6 5 5 4" xfId="25391"/>
    <cellStyle name="20% - Accent1 6 5 6" xfId="7512"/>
    <cellStyle name="20% - Accent1 6 5 6 2" xfId="15303"/>
    <cellStyle name="20% - Accent1 6 5 6 2 2" xfId="32924"/>
    <cellStyle name="20% - Accent1 6 5 6 3" xfId="25931"/>
    <cellStyle name="20% - Accent1 6 5 7" xfId="11074"/>
    <cellStyle name="20% - Accent1 6 5 7 2" xfId="28790"/>
    <cellStyle name="20% - Accent1 6 5 8" xfId="23070"/>
    <cellStyle name="20% - Accent1 6 5 9" xfId="51609"/>
    <cellStyle name="20% - Accent1 6 6" xfId="217"/>
    <cellStyle name="20% - Accent1 6 6 2" xfId="3456"/>
    <cellStyle name="20% - Accent1 6 6 2 2" xfId="8077"/>
    <cellStyle name="20% - Accent1 6 6 2 2 2" xfId="15867"/>
    <cellStyle name="20% - Accent1 6 6 2 2 2 2" xfId="33488"/>
    <cellStyle name="20% - Accent1 6 6 2 2 3" xfId="26477"/>
    <cellStyle name="20% - Accent1 6 6 2 3" xfId="12183"/>
    <cellStyle name="20% - Accent1 6 6 2 3 2" xfId="29840"/>
    <cellStyle name="20% - Accent1 6 6 2 4" xfId="23616"/>
    <cellStyle name="20% - Accent1 6 6 3" xfId="5510"/>
    <cellStyle name="20% - Accent1 6 6 3 2" xfId="8806"/>
    <cellStyle name="20% - Accent1 6 6 3 2 2" xfId="16596"/>
    <cellStyle name="20% - Accent1 6 6 3 2 2 2" xfId="34217"/>
    <cellStyle name="20% - Accent1 6 6 3 2 3" xfId="27180"/>
    <cellStyle name="20% - Accent1 6 6 3 3" xfId="13359"/>
    <cellStyle name="20% - Accent1 6 6 3 3 2" xfId="30985"/>
    <cellStyle name="20% - Accent1 6 6 3 4" xfId="24319"/>
    <cellStyle name="20% - Accent1 6 6 4" xfId="6139"/>
    <cellStyle name="20% - Accent1 6 6 4 2" xfId="9346"/>
    <cellStyle name="20% - Accent1 6 6 4 2 2" xfId="17134"/>
    <cellStyle name="20% - Accent1 6 6 4 2 2 2" xfId="34757"/>
    <cellStyle name="20% - Accent1 6 6 4 2 3" xfId="27716"/>
    <cellStyle name="20% - Accent1 6 6 4 3" xfId="13922"/>
    <cellStyle name="20% - Accent1 6 6 4 3 2" xfId="31543"/>
    <cellStyle name="20% - Accent1 6 6 4 4" xfId="24855"/>
    <cellStyle name="20% - Accent1 6 6 5" xfId="6676"/>
    <cellStyle name="20% - Accent1 6 6 5 2" xfId="9883"/>
    <cellStyle name="20% - Accent1 6 6 5 2 2" xfId="17670"/>
    <cellStyle name="20% - Accent1 6 6 5 2 2 2" xfId="35293"/>
    <cellStyle name="20% - Accent1 6 6 5 2 3" xfId="28252"/>
    <cellStyle name="20% - Accent1 6 6 5 3" xfId="14458"/>
    <cellStyle name="20% - Accent1 6 6 5 3 2" xfId="32079"/>
    <cellStyle name="20% - Accent1 6 6 5 4" xfId="25392"/>
    <cellStyle name="20% - Accent1 6 6 6" xfId="7513"/>
    <cellStyle name="20% - Accent1 6 6 6 2" xfId="15304"/>
    <cellStyle name="20% - Accent1 6 6 6 2 2" xfId="32925"/>
    <cellStyle name="20% - Accent1 6 6 6 3" xfId="25932"/>
    <cellStyle name="20% - Accent1 6 6 7" xfId="11075"/>
    <cellStyle name="20% - Accent1 6 6 7 2" xfId="28791"/>
    <cellStyle name="20% - Accent1 6 6 8" xfId="23071"/>
    <cellStyle name="20% - Accent1 6 6 9" xfId="51610"/>
    <cellStyle name="20% - Accent1 6 7" xfId="218"/>
    <cellStyle name="20% - Accent1 6 7 10" xfId="51611"/>
    <cellStyle name="20% - Accent1 6 7 2" xfId="219"/>
    <cellStyle name="20% - Accent1 6 7 2 2" xfId="8079"/>
    <cellStyle name="20% - Accent1 6 7 2 2 2" xfId="15869"/>
    <cellStyle name="20% - Accent1 6 7 2 2 2 2" xfId="33490"/>
    <cellStyle name="20% - Accent1 6 7 2 2 3" xfId="26479"/>
    <cellStyle name="20% - Accent1 6 7 2 3" xfId="12185"/>
    <cellStyle name="20% - Accent1 6 7 2 3 2" xfId="29842"/>
    <cellStyle name="20% - Accent1 6 7 2 4" xfId="23618"/>
    <cellStyle name="20% - Accent1 6 7 3" xfId="3457"/>
    <cellStyle name="20% - Accent1 6 7 3 2" xfId="8078"/>
    <cellStyle name="20% - Accent1 6 7 3 2 2" xfId="15868"/>
    <cellStyle name="20% - Accent1 6 7 3 2 2 2" xfId="33489"/>
    <cellStyle name="20% - Accent1 6 7 3 2 3" xfId="26478"/>
    <cellStyle name="20% - Accent1 6 7 3 3" xfId="12184"/>
    <cellStyle name="20% - Accent1 6 7 3 3 2" xfId="29841"/>
    <cellStyle name="20% - Accent1 6 7 3 4" xfId="23617"/>
    <cellStyle name="20% - Accent1 6 7 4" xfId="5511"/>
    <cellStyle name="20% - Accent1 6 7 4 2" xfId="8807"/>
    <cellStyle name="20% - Accent1 6 7 4 2 2" xfId="16597"/>
    <cellStyle name="20% - Accent1 6 7 4 2 2 2" xfId="34218"/>
    <cellStyle name="20% - Accent1 6 7 4 2 3" xfId="27181"/>
    <cellStyle name="20% - Accent1 6 7 4 3" xfId="13360"/>
    <cellStyle name="20% - Accent1 6 7 4 3 2" xfId="30986"/>
    <cellStyle name="20% - Accent1 6 7 4 4" xfId="24320"/>
    <cellStyle name="20% - Accent1 6 7 5" xfId="6140"/>
    <cellStyle name="20% - Accent1 6 7 5 2" xfId="9347"/>
    <cellStyle name="20% - Accent1 6 7 5 2 2" xfId="17135"/>
    <cellStyle name="20% - Accent1 6 7 5 2 2 2" xfId="34758"/>
    <cellStyle name="20% - Accent1 6 7 5 2 3" xfId="27717"/>
    <cellStyle name="20% - Accent1 6 7 5 3" xfId="13923"/>
    <cellStyle name="20% - Accent1 6 7 5 3 2" xfId="31544"/>
    <cellStyle name="20% - Accent1 6 7 5 4" xfId="24856"/>
    <cellStyle name="20% - Accent1 6 7 6" xfId="6677"/>
    <cellStyle name="20% - Accent1 6 7 6 2" xfId="9884"/>
    <cellStyle name="20% - Accent1 6 7 6 2 2" xfId="17671"/>
    <cellStyle name="20% - Accent1 6 7 6 2 2 2" xfId="35294"/>
    <cellStyle name="20% - Accent1 6 7 6 2 3" xfId="28253"/>
    <cellStyle name="20% - Accent1 6 7 6 3" xfId="14459"/>
    <cellStyle name="20% - Accent1 6 7 6 3 2" xfId="32080"/>
    <cellStyle name="20% - Accent1 6 7 6 4" xfId="25393"/>
    <cellStyle name="20% - Accent1 6 7 7" xfId="7514"/>
    <cellStyle name="20% - Accent1 6 7 7 2" xfId="15305"/>
    <cellStyle name="20% - Accent1 6 7 7 2 2" xfId="32926"/>
    <cellStyle name="20% - Accent1 6 7 7 3" xfId="25933"/>
    <cellStyle name="20% - Accent1 6 7 8" xfId="11076"/>
    <cellStyle name="20% - Accent1 6 7 8 2" xfId="28792"/>
    <cellStyle name="20% - Accent1 6 7 9" xfId="23072"/>
    <cellStyle name="20% - Accent1 6 8" xfId="3458"/>
    <cellStyle name="20% - Accent1 6 8 2" xfId="8080"/>
    <cellStyle name="20% - Accent1 6 8 2 2" xfId="15870"/>
    <cellStyle name="20% - Accent1 6 8 2 2 2" xfId="33491"/>
    <cellStyle name="20% - Accent1 6 8 2 3" xfId="26480"/>
    <cellStyle name="20% - Accent1 6 8 3" xfId="12186"/>
    <cellStyle name="20% - Accent1 6 8 3 2" xfId="29843"/>
    <cellStyle name="20% - Accent1 6 8 4" xfId="23619"/>
    <cellStyle name="20% - Accent1 6 9" xfId="3459"/>
    <cellStyle name="20% - Accent1 6 9 2" xfId="8081"/>
    <cellStyle name="20% - Accent1 6 9 2 2" xfId="15871"/>
    <cellStyle name="20% - Accent1 6 9 2 2 2" xfId="33492"/>
    <cellStyle name="20% - Accent1 6 9 2 3" xfId="26481"/>
    <cellStyle name="20% - Accent1 6 9 3" xfId="12187"/>
    <cellStyle name="20% - Accent1 6 9 3 2" xfId="29844"/>
    <cellStyle name="20% - Accent1 6 9 4" xfId="23620"/>
    <cellStyle name="20% - Accent1 7" xfId="220"/>
    <cellStyle name="20% - Accent1 7 10" xfId="3460"/>
    <cellStyle name="20% - Accent1 7 10 2" xfId="8082"/>
    <cellStyle name="20% - Accent1 7 10 2 2" xfId="15872"/>
    <cellStyle name="20% - Accent1 7 10 2 2 2" xfId="33493"/>
    <cellStyle name="20% - Accent1 7 10 2 3" xfId="26482"/>
    <cellStyle name="20% - Accent1 7 10 3" xfId="12188"/>
    <cellStyle name="20% - Accent1 7 10 3 2" xfId="29845"/>
    <cellStyle name="20% - Accent1 7 10 4" xfId="23621"/>
    <cellStyle name="20% - Accent1 7 11" xfId="5512"/>
    <cellStyle name="20% - Accent1 7 11 2" xfId="8808"/>
    <cellStyle name="20% - Accent1 7 11 2 2" xfId="16598"/>
    <cellStyle name="20% - Accent1 7 11 2 2 2" xfId="34219"/>
    <cellStyle name="20% - Accent1 7 11 2 3" xfId="27182"/>
    <cellStyle name="20% - Accent1 7 11 3" xfId="13361"/>
    <cellStyle name="20% - Accent1 7 11 3 2" xfId="30987"/>
    <cellStyle name="20% - Accent1 7 11 4" xfId="24321"/>
    <cellStyle name="20% - Accent1 7 12" xfId="6141"/>
    <cellStyle name="20% - Accent1 7 12 2" xfId="9348"/>
    <cellStyle name="20% - Accent1 7 12 2 2" xfId="17136"/>
    <cellStyle name="20% - Accent1 7 12 2 2 2" xfId="34759"/>
    <cellStyle name="20% - Accent1 7 12 2 3" xfId="27718"/>
    <cellStyle name="20% - Accent1 7 12 3" xfId="13924"/>
    <cellStyle name="20% - Accent1 7 12 3 2" xfId="31545"/>
    <cellStyle name="20% - Accent1 7 12 4" xfId="24857"/>
    <cellStyle name="20% - Accent1 7 13" xfId="6678"/>
    <cellStyle name="20% - Accent1 7 13 2" xfId="9885"/>
    <cellStyle name="20% - Accent1 7 13 2 2" xfId="17672"/>
    <cellStyle name="20% - Accent1 7 13 2 2 2" xfId="35295"/>
    <cellStyle name="20% - Accent1 7 13 2 3" xfId="28254"/>
    <cellStyle name="20% - Accent1 7 13 3" xfId="14460"/>
    <cellStyle name="20% - Accent1 7 13 3 2" xfId="32081"/>
    <cellStyle name="20% - Accent1 7 13 4" xfId="25394"/>
    <cellStyle name="20% - Accent1 7 14" xfId="7515"/>
    <cellStyle name="20% - Accent1 7 14 2" xfId="15306"/>
    <cellStyle name="20% - Accent1 7 14 2 2" xfId="32927"/>
    <cellStyle name="20% - Accent1 7 14 3" xfId="25934"/>
    <cellStyle name="20% - Accent1 7 15" xfId="11077"/>
    <cellStyle name="20% - Accent1 7 15 2" xfId="28793"/>
    <cellStyle name="20% - Accent1 7 16" xfId="22018"/>
    <cellStyle name="20% - Accent1 7 16 2" xfId="38723"/>
    <cellStyle name="20% - Accent1 7 17" xfId="23073"/>
    <cellStyle name="20% - Accent1 7 18" xfId="51612"/>
    <cellStyle name="20% - Accent1 7 2" xfId="221"/>
    <cellStyle name="20% - Accent1 7 2 10" xfId="51613"/>
    <cellStyle name="20% - Accent1 7 2 2" xfId="3461"/>
    <cellStyle name="20% - Accent1 7 2 2 2" xfId="8083"/>
    <cellStyle name="20% - Accent1 7 2 2 2 2" xfId="15873"/>
    <cellStyle name="20% - Accent1 7 2 2 2 2 2" xfId="33494"/>
    <cellStyle name="20% - Accent1 7 2 2 2 3" xfId="26483"/>
    <cellStyle name="20% - Accent1 7 2 2 3" xfId="12189"/>
    <cellStyle name="20% - Accent1 7 2 2 3 2" xfId="29846"/>
    <cellStyle name="20% - Accent1 7 2 2 4" xfId="23622"/>
    <cellStyle name="20% - Accent1 7 2 3" xfId="5513"/>
    <cellStyle name="20% - Accent1 7 2 3 2" xfId="8809"/>
    <cellStyle name="20% - Accent1 7 2 3 2 2" xfId="16599"/>
    <cellStyle name="20% - Accent1 7 2 3 2 2 2" xfId="34220"/>
    <cellStyle name="20% - Accent1 7 2 3 2 3" xfId="27183"/>
    <cellStyle name="20% - Accent1 7 2 3 3" xfId="13362"/>
    <cellStyle name="20% - Accent1 7 2 3 3 2" xfId="30988"/>
    <cellStyle name="20% - Accent1 7 2 3 4" xfId="24322"/>
    <cellStyle name="20% - Accent1 7 2 4" xfId="6142"/>
    <cellStyle name="20% - Accent1 7 2 4 2" xfId="9349"/>
    <cellStyle name="20% - Accent1 7 2 4 2 2" xfId="17137"/>
    <cellStyle name="20% - Accent1 7 2 4 2 2 2" xfId="34760"/>
    <cellStyle name="20% - Accent1 7 2 4 2 3" xfId="27719"/>
    <cellStyle name="20% - Accent1 7 2 4 3" xfId="13925"/>
    <cellStyle name="20% - Accent1 7 2 4 3 2" xfId="31546"/>
    <cellStyle name="20% - Accent1 7 2 4 4" xfId="24858"/>
    <cellStyle name="20% - Accent1 7 2 5" xfId="6679"/>
    <cellStyle name="20% - Accent1 7 2 5 2" xfId="9886"/>
    <cellStyle name="20% - Accent1 7 2 5 2 2" xfId="17673"/>
    <cellStyle name="20% - Accent1 7 2 5 2 2 2" xfId="35296"/>
    <cellStyle name="20% - Accent1 7 2 5 2 3" xfId="28255"/>
    <cellStyle name="20% - Accent1 7 2 5 3" xfId="14461"/>
    <cellStyle name="20% - Accent1 7 2 5 3 2" xfId="32082"/>
    <cellStyle name="20% - Accent1 7 2 5 4" xfId="25395"/>
    <cellStyle name="20% - Accent1 7 2 6" xfId="7516"/>
    <cellStyle name="20% - Accent1 7 2 6 2" xfId="15307"/>
    <cellStyle name="20% - Accent1 7 2 6 2 2" xfId="32928"/>
    <cellStyle name="20% - Accent1 7 2 6 3" xfId="25935"/>
    <cellStyle name="20% - Accent1 7 2 7" xfId="11078"/>
    <cellStyle name="20% - Accent1 7 2 7 2" xfId="28794"/>
    <cellStyle name="20% - Accent1 7 2 8" xfId="22696"/>
    <cellStyle name="20% - Accent1 7 2 8 2" xfId="38892"/>
    <cellStyle name="20% - Accent1 7 2 9" xfId="23074"/>
    <cellStyle name="20% - Accent1 7 3" xfId="222"/>
    <cellStyle name="20% - Accent1 7 3 10" xfId="23075"/>
    <cellStyle name="20% - Accent1 7 3 11" xfId="51614"/>
    <cellStyle name="20% - Accent1 7 3 2" xfId="223"/>
    <cellStyle name="20% - Accent1 7 3 2 2" xfId="3463"/>
    <cellStyle name="20% - Accent1 7 3 2 2 2" xfId="8085"/>
    <cellStyle name="20% - Accent1 7 3 2 2 2 2" xfId="15875"/>
    <cellStyle name="20% - Accent1 7 3 2 2 2 2 2" xfId="33496"/>
    <cellStyle name="20% - Accent1 7 3 2 2 2 3" xfId="26485"/>
    <cellStyle name="20% - Accent1 7 3 2 2 3" xfId="12191"/>
    <cellStyle name="20% - Accent1 7 3 2 2 3 2" xfId="29848"/>
    <cellStyle name="20% - Accent1 7 3 2 2 4" xfId="23624"/>
    <cellStyle name="20% - Accent1 7 3 2 3" xfId="5515"/>
    <cellStyle name="20% - Accent1 7 3 2 3 2" xfId="8811"/>
    <cellStyle name="20% - Accent1 7 3 2 3 2 2" xfId="16601"/>
    <cellStyle name="20% - Accent1 7 3 2 3 2 2 2" xfId="34222"/>
    <cellStyle name="20% - Accent1 7 3 2 3 2 3" xfId="27185"/>
    <cellStyle name="20% - Accent1 7 3 2 3 3" xfId="13364"/>
    <cellStyle name="20% - Accent1 7 3 2 3 3 2" xfId="30990"/>
    <cellStyle name="20% - Accent1 7 3 2 3 4" xfId="24324"/>
    <cellStyle name="20% - Accent1 7 3 2 4" xfId="6144"/>
    <cellStyle name="20% - Accent1 7 3 2 4 2" xfId="9351"/>
    <cellStyle name="20% - Accent1 7 3 2 4 2 2" xfId="17139"/>
    <cellStyle name="20% - Accent1 7 3 2 4 2 2 2" xfId="34762"/>
    <cellStyle name="20% - Accent1 7 3 2 4 2 3" xfId="27721"/>
    <cellStyle name="20% - Accent1 7 3 2 4 3" xfId="13927"/>
    <cellStyle name="20% - Accent1 7 3 2 4 3 2" xfId="31548"/>
    <cellStyle name="20% - Accent1 7 3 2 4 4" xfId="24860"/>
    <cellStyle name="20% - Accent1 7 3 2 5" xfId="6681"/>
    <cellStyle name="20% - Accent1 7 3 2 5 2" xfId="9888"/>
    <cellStyle name="20% - Accent1 7 3 2 5 2 2" xfId="17675"/>
    <cellStyle name="20% - Accent1 7 3 2 5 2 2 2" xfId="35298"/>
    <cellStyle name="20% - Accent1 7 3 2 5 2 3" xfId="28257"/>
    <cellStyle name="20% - Accent1 7 3 2 5 3" xfId="14463"/>
    <cellStyle name="20% - Accent1 7 3 2 5 3 2" xfId="32084"/>
    <cellStyle name="20% - Accent1 7 3 2 5 4" xfId="25397"/>
    <cellStyle name="20% - Accent1 7 3 2 6" xfId="7518"/>
    <cellStyle name="20% - Accent1 7 3 2 6 2" xfId="15309"/>
    <cellStyle name="20% - Accent1 7 3 2 6 2 2" xfId="32930"/>
    <cellStyle name="20% - Accent1 7 3 2 6 3" xfId="25937"/>
    <cellStyle name="20% - Accent1 7 3 2 7" xfId="11080"/>
    <cellStyle name="20% - Accent1 7 3 2 7 2" xfId="28796"/>
    <cellStyle name="20% - Accent1 7 3 2 8" xfId="23076"/>
    <cellStyle name="20% - Accent1 7 3 2 9" xfId="51615"/>
    <cellStyle name="20% - Accent1 7 3 3" xfId="3464"/>
    <cellStyle name="20% - Accent1 7 3 3 2" xfId="5516"/>
    <cellStyle name="20% - Accent1 7 3 3 2 2" xfId="8812"/>
    <cellStyle name="20% - Accent1 7 3 3 2 2 2" xfId="16602"/>
    <cellStyle name="20% - Accent1 7 3 3 2 2 2 2" xfId="34223"/>
    <cellStyle name="20% - Accent1 7 3 3 2 2 3" xfId="27186"/>
    <cellStyle name="20% - Accent1 7 3 3 2 3" xfId="13365"/>
    <cellStyle name="20% - Accent1 7 3 3 2 3 2" xfId="30991"/>
    <cellStyle name="20% - Accent1 7 3 3 2 4" xfId="24325"/>
    <cellStyle name="20% - Accent1 7 3 3 3" xfId="6145"/>
    <cellStyle name="20% - Accent1 7 3 3 3 2" xfId="9352"/>
    <cellStyle name="20% - Accent1 7 3 3 3 2 2" xfId="17140"/>
    <cellStyle name="20% - Accent1 7 3 3 3 2 2 2" xfId="34763"/>
    <cellStyle name="20% - Accent1 7 3 3 3 2 3" xfId="27722"/>
    <cellStyle name="20% - Accent1 7 3 3 3 3" xfId="13928"/>
    <cellStyle name="20% - Accent1 7 3 3 3 3 2" xfId="31549"/>
    <cellStyle name="20% - Accent1 7 3 3 3 4" xfId="24861"/>
    <cellStyle name="20% - Accent1 7 3 3 4" xfId="6682"/>
    <cellStyle name="20% - Accent1 7 3 3 4 2" xfId="9889"/>
    <cellStyle name="20% - Accent1 7 3 3 4 2 2" xfId="17676"/>
    <cellStyle name="20% - Accent1 7 3 3 4 2 2 2" xfId="35299"/>
    <cellStyle name="20% - Accent1 7 3 3 4 2 3" xfId="28258"/>
    <cellStyle name="20% - Accent1 7 3 3 4 3" xfId="14464"/>
    <cellStyle name="20% - Accent1 7 3 3 4 3 2" xfId="32085"/>
    <cellStyle name="20% - Accent1 7 3 3 4 4" xfId="25398"/>
    <cellStyle name="20% - Accent1 7 3 3 5" xfId="8086"/>
    <cellStyle name="20% - Accent1 7 3 3 5 2" xfId="15876"/>
    <cellStyle name="20% - Accent1 7 3 3 5 2 2" xfId="33497"/>
    <cellStyle name="20% - Accent1 7 3 3 5 3" xfId="26486"/>
    <cellStyle name="20% - Accent1 7 3 3 6" xfId="12192"/>
    <cellStyle name="20% - Accent1 7 3 3 6 2" xfId="29849"/>
    <cellStyle name="20% - Accent1 7 3 3 7" xfId="23625"/>
    <cellStyle name="20% - Accent1 7 3 4" xfId="3462"/>
    <cellStyle name="20% - Accent1 7 3 4 2" xfId="8084"/>
    <cellStyle name="20% - Accent1 7 3 4 2 2" xfId="15874"/>
    <cellStyle name="20% - Accent1 7 3 4 2 2 2" xfId="33495"/>
    <cellStyle name="20% - Accent1 7 3 4 2 3" xfId="26484"/>
    <cellStyle name="20% - Accent1 7 3 4 3" xfId="12190"/>
    <cellStyle name="20% - Accent1 7 3 4 3 2" xfId="29847"/>
    <cellStyle name="20% - Accent1 7 3 4 4" xfId="23623"/>
    <cellStyle name="20% - Accent1 7 3 5" xfId="5514"/>
    <cellStyle name="20% - Accent1 7 3 5 2" xfId="8810"/>
    <cellStyle name="20% - Accent1 7 3 5 2 2" xfId="16600"/>
    <cellStyle name="20% - Accent1 7 3 5 2 2 2" xfId="34221"/>
    <cellStyle name="20% - Accent1 7 3 5 2 3" xfId="27184"/>
    <cellStyle name="20% - Accent1 7 3 5 3" xfId="13363"/>
    <cellStyle name="20% - Accent1 7 3 5 3 2" xfId="30989"/>
    <cellStyle name="20% - Accent1 7 3 5 4" xfId="24323"/>
    <cellStyle name="20% - Accent1 7 3 6" xfId="6143"/>
    <cellStyle name="20% - Accent1 7 3 6 2" xfId="9350"/>
    <cellStyle name="20% - Accent1 7 3 6 2 2" xfId="17138"/>
    <cellStyle name="20% - Accent1 7 3 6 2 2 2" xfId="34761"/>
    <cellStyle name="20% - Accent1 7 3 6 2 3" xfId="27720"/>
    <cellStyle name="20% - Accent1 7 3 6 3" xfId="13926"/>
    <cellStyle name="20% - Accent1 7 3 6 3 2" xfId="31547"/>
    <cellStyle name="20% - Accent1 7 3 6 4" xfId="24859"/>
    <cellStyle name="20% - Accent1 7 3 7" xfId="6680"/>
    <cellStyle name="20% - Accent1 7 3 7 2" xfId="9887"/>
    <cellStyle name="20% - Accent1 7 3 7 2 2" xfId="17674"/>
    <cellStyle name="20% - Accent1 7 3 7 2 2 2" xfId="35297"/>
    <cellStyle name="20% - Accent1 7 3 7 2 3" xfId="28256"/>
    <cellStyle name="20% - Accent1 7 3 7 3" xfId="14462"/>
    <cellStyle name="20% - Accent1 7 3 7 3 2" xfId="32083"/>
    <cellStyle name="20% - Accent1 7 3 7 4" xfId="25396"/>
    <cellStyle name="20% - Accent1 7 3 8" xfId="7517"/>
    <cellStyle name="20% - Accent1 7 3 8 2" xfId="15308"/>
    <cellStyle name="20% - Accent1 7 3 8 2 2" xfId="32929"/>
    <cellStyle name="20% - Accent1 7 3 8 3" xfId="25936"/>
    <cellStyle name="20% - Accent1 7 3 9" xfId="11079"/>
    <cellStyle name="20% - Accent1 7 3 9 2" xfId="28795"/>
    <cellStyle name="20% - Accent1 7 4" xfId="224"/>
    <cellStyle name="20% - Accent1 7 4 2" xfId="3465"/>
    <cellStyle name="20% - Accent1 7 4 2 2" xfId="8087"/>
    <cellStyle name="20% - Accent1 7 4 2 2 2" xfId="15877"/>
    <cellStyle name="20% - Accent1 7 4 2 2 2 2" xfId="33498"/>
    <cellStyle name="20% - Accent1 7 4 2 2 3" xfId="26487"/>
    <cellStyle name="20% - Accent1 7 4 2 3" xfId="12193"/>
    <cellStyle name="20% - Accent1 7 4 2 3 2" xfId="29850"/>
    <cellStyle name="20% - Accent1 7 4 2 4" xfId="23626"/>
    <cellStyle name="20% - Accent1 7 4 3" xfId="5517"/>
    <cellStyle name="20% - Accent1 7 4 3 2" xfId="8813"/>
    <cellStyle name="20% - Accent1 7 4 3 2 2" xfId="16603"/>
    <cellStyle name="20% - Accent1 7 4 3 2 2 2" xfId="34224"/>
    <cellStyle name="20% - Accent1 7 4 3 2 3" xfId="27187"/>
    <cellStyle name="20% - Accent1 7 4 3 3" xfId="13366"/>
    <cellStyle name="20% - Accent1 7 4 3 3 2" xfId="30992"/>
    <cellStyle name="20% - Accent1 7 4 3 4" xfId="24326"/>
    <cellStyle name="20% - Accent1 7 4 4" xfId="6146"/>
    <cellStyle name="20% - Accent1 7 4 4 2" xfId="9353"/>
    <cellStyle name="20% - Accent1 7 4 4 2 2" xfId="17141"/>
    <cellStyle name="20% - Accent1 7 4 4 2 2 2" xfId="34764"/>
    <cellStyle name="20% - Accent1 7 4 4 2 3" xfId="27723"/>
    <cellStyle name="20% - Accent1 7 4 4 3" xfId="13929"/>
    <cellStyle name="20% - Accent1 7 4 4 3 2" xfId="31550"/>
    <cellStyle name="20% - Accent1 7 4 4 4" xfId="24862"/>
    <cellStyle name="20% - Accent1 7 4 5" xfId="6683"/>
    <cellStyle name="20% - Accent1 7 4 5 2" xfId="9890"/>
    <cellStyle name="20% - Accent1 7 4 5 2 2" xfId="17677"/>
    <cellStyle name="20% - Accent1 7 4 5 2 2 2" xfId="35300"/>
    <cellStyle name="20% - Accent1 7 4 5 2 3" xfId="28259"/>
    <cellStyle name="20% - Accent1 7 4 5 3" xfId="14465"/>
    <cellStyle name="20% - Accent1 7 4 5 3 2" xfId="32086"/>
    <cellStyle name="20% - Accent1 7 4 5 4" xfId="25399"/>
    <cellStyle name="20% - Accent1 7 4 6" xfId="7519"/>
    <cellStyle name="20% - Accent1 7 4 6 2" xfId="15310"/>
    <cellStyle name="20% - Accent1 7 4 6 2 2" xfId="32931"/>
    <cellStyle name="20% - Accent1 7 4 6 3" xfId="25938"/>
    <cellStyle name="20% - Accent1 7 4 7" xfId="11081"/>
    <cellStyle name="20% - Accent1 7 4 7 2" xfId="28797"/>
    <cellStyle name="20% - Accent1 7 4 8" xfId="23077"/>
    <cellStyle name="20% - Accent1 7 4 9" xfId="51616"/>
    <cellStyle name="20% - Accent1 7 5" xfId="225"/>
    <cellStyle name="20% - Accent1 7 5 2" xfId="3466"/>
    <cellStyle name="20% - Accent1 7 5 2 2" xfId="8088"/>
    <cellStyle name="20% - Accent1 7 5 2 2 2" xfId="15878"/>
    <cellStyle name="20% - Accent1 7 5 2 2 2 2" xfId="33499"/>
    <cellStyle name="20% - Accent1 7 5 2 2 3" xfId="26488"/>
    <cellStyle name="20% - Accent1 7 5 2 3" xfId="12194"/>
    <cellStyle name="20% - Accent1 7 5 2 3 2" xfId="29851"/>
    <cellStyle name="20% - Accent1 7 5 2 4" xfId="23627"/>
    <cellStyle name="20% - Accent1 7 5 3" xfId="5518"/>
    <cellStyle name="20% - Accent1 7 5 3 2" xfId="8814"/>
    <cellStyle name="20% - Accent1 7 5 3 2 2" xfId="16604"/>
    <cellStyle name="20% - Accent1 7 5 3 2 2 2" xfId="34225"/>
    <cellStyle name="20% - Accent1 7 5 3 2 3" xfId="27188"/>
    <cellStyle name="20% - Accent1 7 5 3 3" xfId="13367"/>
    <cellStyle name="20% - Accent1 7 5 3 3 2" xfId="30993"/>
    <cellStyle name="20% - Accent1 7 5 3 4" xfId="24327"/>
    <cellStyle name="20% - Accent1 7 5 4" xfId="6147"/>
    <cellStyle name="20% - Accent1 7 5 4 2" xfId="9354"/>
    <cellStyle name="20% - Accent1 7 5 4 2 2" xfId="17142"/>
    <cellStyle name="20% - Accent1 7 5 4 2 2 2" xfId="34765"/>
    <cellStyle name="20% - Accent1 7 5 4 2 3" xfId="27724"/>
    <cellStyle name="20% - Accent1 7 5 4 3" xfId="13930"/>
    <cellStyle name="20% - Accent1 7 5 4 3 2" xfId="31551"/>
    <cellStyle name="20% - Accent1 7 5 4 4" xfId="24863"/>
    <cellStyle name="20% - Accent1 7 5 5" xfId="6684"/>
    <cellStyle name="20% - Accent1 7 5 5 2" xfId="9891"/>
    <cellStyle name="20% - Accent1 7 5 5 2 2" xfId="17678"/>
    <cellStyle name="20% - Accent1 7 5 5 2 2 2" xfId="35301"/>
    <cellStyle name="20% - Accent1 7 5 5 2 3" xfId="28260"/>
    <cellStyle name="20% - Accent1 7 5 5 3" xfId="14466"/>
    <cellStyle name="20% - Accent1 7 5 5 3 2" xfId="32087"/>
    <cellStyle name="20% - Accent1 7 5 5 4" xfId="25400"/>
    <cellStyle name="20% - Accent1 7 5 6" xfId="7520"/>
    <cellStyle name="20% - Accent1 7 5 6 2" xfId="15311"/>
    <cellStyle name="20% - Accent1 7 5 6 2 2" xfId="32932"/>
    <cellStyle name="20% - Accent1 7 5 6 3" xfId="25939"/>
    <cellStyle name="20% - Accent1 7 5 7" xfId="11082"/>
    <cellStyle name="20% - Accent1 7 5 7 2" xfId="28798"/>
    <cellStyle name="20% - Accent1 7 5 8" xfId="23078"/>
    <cellStyle name="20% - Accent1 7 5 9" xfId="51617"/>
    <cellStyle name="20% - Accent1 7 6" xfId="226"/>
    <cellStyle name="20% - Accent1 7 6 2" xfId="3467"/>
    <cellStyle name="20% - Accent1 7 6 2 2" xfId="8089"/>
    <cellStyle name="20% - Accent1 7 6 2 2 2" xfId="15879"/>
    <cellStyle name="20% - Accent1 7 6 2 2 2 2" xfId="33500"/>
    <cellStyle name="20% - Accent1 7 6 2 2 3" xfId="26489"/>
    <cellStyle name="20% - Accent1 7 6 2 3" xfId="12195"/>
    <cellStyle name="20% - Accent1 7 6 2 3 2" xfId="29852"/>
    <cellStyle name="20% - Accent1 7 6 2 4" xfId="23628"/>
    <cellStyle name="20% - Accent1 7 6 3" xfId="5519"/>
    <cellStyle name="20% - Accent1 7 6 3 2" xfId="8815"/>
    <cellStyle name="20% - Accent1 7 6 3 2 2" xfId="16605"/>
    <cellStyle name="20% - Accent1 7 6 3 2 2 2" xfId="34226"/>
    <cellStyle name="20% - Accent1 7 6 3 2 3" xfId="27189"/>
    <cellStyle name="20% - Accent1 7 6 3 3" xfId="13368"/>
    <cellStyle name="20% - Accent1 7 6 3 3 2" xfId="30994"/>
    <cellStyle name="20% - Accent1 7 6 3 4" xfId="24328"/>
    <cellStyle name="20% - Accent1 7 6 4" xfId="6148"/>
    <cellStyle name="20% - Accent1 7 6 4 2" xfId="9355"/>
    <cellStyle name="20% - Accent1 7 6 4 2 2" xfId="17143"/>
    <cellStyle name="20% - Accent1 7 6 4 2 2 2" xfId="34766"/>
    <cellStyle name="20% - Accent1 7 6 4 2 3" xfId="27725"/>
    <cellStyle name="20% - Accent1 7 6 4 3" xfId="13931"/>
    <cellStyle name="20% - Accent1 7 6 4 3 2" xfId="31552"/>
    <cellStyle name="20% - Accent1 7 6 4 4" xfId="24864"/>
    <cellStyle name="20% - Accent1 7 6 5" xfId="6685"/>
    <cellStyle name="20% - Accent1 7 6 5 2" xfId="9892"/>
    <cellStyle name="20% - Accent1 7 6 5 2 2" xfId="17679"/>
    <cellStyle name="20% - Accent1 7 6 5 2 2 2" xfId="35302"/>
    <cellStyle name="20% - Accent1 7 6 5 2 3" xfId="28261"/>
    <cellStyle name="20% - Accent1 7 6 5 3" xfId="14467"/>
    <cellStyle name="20% - Accent1 7 6 5 3 2" xfId="32088"/>
    <cellStyle name="20% - Accent1 7 6 5 4" xfId="25401"/>
    <cellStyle name="20% - Accent1 7 6 6" xfId="7521"/>
    <cellStyle name="20% - Accent1 7 6 6 2" xfId="15312"/>
    <cellStyle name="20% - Accent1 7 6 6 2 2" xfId="32933"/>
    <cellStyle name="20% - Accent1 7 6 6 3" xfId="25940"/>
    <cellStyle name="20% - Accent1 7 6 7" xfId="11083"/>
    <cellStyle name="20% - Accent1 7 6 7 2" xfId="28799"/>
    <cellStyle name="20% - Accent1 7 6 8" xfId="23079"/>
    <cellStyle name="20% - Accent1 7 6 9" xfId="51618"/>
    <cellStyle name="20% - Accent1 7 7" xfId="227"/>
    <cellStyle name="20% - Accent1 7 7 10" xfId="51619"/>
    <cellStyle name="20% - Accent1 7 7 2" xfId="228"/>
    <cellStyle name="20% - Accent1 7 7 2 2" xfId="8091"/>
    <cellStyle name="20% - Accent1 7 7 2 2 2" xfId="15881"/>
    <cellStyle name="20% - Accent1 7 7 2 2 2 2" xfId="33502"/>
    <cellStyle name="20% - Accent1 7 7 2 2 3" xfId="26491"/>
    <cellStyle name="20% - Accent1 7 7 2 3" xfId="12197"/>
    <cellStyle name="20% - Accent1 7 7 2 3 2" xfId="29854"/>
    <cellStyle name="20% - Accent1 7 7 2 4" xfId="23630"/>
    <cellStyle name="20% - Accent1 7 7 3" xfId="3468"/>
    <cellStyle name="20% - Accent1 7 7 3 2" xfId="8090"/>
    <cellStyle name="20% - Accent1 7 7 3 2 2" xfId="15880"/>
    <cellStyle name="20% - Accent1 7 7 3 2 2 2" xfId="33501"/>
    <cellStyle name="20% - Accent1 7 7 3 2 3" xfId="26490"/>
    <cellStyle name="20% - Accent1 7 7 3 3" xfId="12196"/>
    <cellStyle name="20% - Accent1 7 7 3 3 2" xfId="29853"/>
    <cellStyle name="20% - Accent1 7 7 3 4" xfId="23629"/>
    <cellStyle name="20% - Accent1 7 7 4" xfId="5520"/>
    <cellStyle name="20% - Accent1 7 7 4 2" xfId="8816"/>
    <cellStyle name="20% - Accent1 7 7 4 2 2" xfId="16606"/>
    <cellStyle name="20% - Accent1 7 7 4 2 2 2" xfId="34227"/>
    <cellStyle name="20% - Accent1 7 7 4 2 3" xfId="27190"/>
    <cellStyle name="20% - Accent1 7 7 4 3" xfId="13369"/>
    <cellStyle name="20% - Accent1 7 7 4 3 2" xfId="30995"/>
    <cellStyle name="20% - Accent1 7 7 4 4" xfId="24329"/>
    <cellStyle name="20% - Accent1 7 7 5" xfId="6149"/>
    <cellStyle name="20% - Accent1 7 7 5 2" xfId="9356"/>
    <cellStyle name="20% - Accent1 7 7 5 2 2" xfId="17144"/>
    <cellStyle name="20% - Accent1 7 7 5 2 2 2" xfId="34767"/>
    <cellStyle name="20% - Accent1 7 7 5 2 3" xfId="27726"/>
    <cellStyle name="20% - Accent1 7 7 5 3" xfId="13932"/>
    <cellStyle name="20% - Accent1 7 7 5 3 2" xfId="31553"/>
    <cellStyle name="20% - Accent1 7 7 5 4" xfId="24865"/>
    <cellStyle name="20% - Accent1 7 7 6" xfId="6686"/>
    <cellStyle name="20% - Accent1 7 7 6 2" xfId="9893"/>
    <cellStyle name="20% - Accent1 7 7 6 2 2" xfId="17680"/>
    <cellStyle name="20% - Accent1 7 7 6 2 2 2" xfId="35303"/>
    <cellStyle name="20% - Accent1 7 7 6 2 3" xfId="28262"/>
    <cellStyle name="20% - Accent1 7 7 6 3" xfId="14468"/>
    <cellStyle name="20% - Accent1 7 7 6 3 2" xfId="32089"/>
    <cellStyle name="20% - Accent1 7 7 6 4" xfId="25402"/>
    <cellStyle name="20% - Accent1 7 7 7" xfId="7522"/>
    <cellStyle name="20% - Accent1 7 7 7 2" xfId="15313"/>
    <cellStyle name="20% - Accent1 7 7 7 2 2" xfId="32934"/>
    <cellStyle name="20% - Accent1 7 7 7 3" xfId="25941"/>
    <cellStyle name="20% - Accent1 7 7 8" xfId="11084"/>
    <cellStyle name="20% - Accent1 7 7 8 2" xfId="28800"/>
    <cellStyle name="20% - Accent1 7 7 9" xfId="23080"/>
    <cellStyle name="20% - Accent1 7 8" xfId="3469"/>
    <cellStyle name="20% - Accent1 7 8 2" xfId="8092"/>
    <cellStyle name="20% - Accent1 7 8 2 2" xfId="15882"/>
    <cellStyle name="20% - Accent1 7 8 2 2 2" xfId="33503"/>
    <cellStyle name="20% - Accent1 7 8 2 3" xfId="26492"/>
    <cellStyle name="20% - Accent1 7 8 3" xfId="12198"/>
    <cellStyle name="20% - Accent1 7 8 3 2" xfId="29855"/>
    <cellStyle name="20% - Accent1 7 8 4" xfId="23631"/>
    <cellStyle name="20% - Accent1 7 9" xfId="3470"/>
    <cellStyle name="20% - Accent1 7 9 2" xfId="8093"/>
    <cellStyle name="20% - Accent1 7 9 2 2" xfId="15883"/>
    <cellStyle name="20% - Accent1 7 9 2 2 2" xfId="33504"/>
    <cellStyle name="20% - Accent1 7 9 2 3" xfId="26493"/>
    <cellStyle name="20% - Accent1 7 9 3" xfId="12199"/>
    <cellStyle name="20% - Accent1 7 9 3 2" xfId="29856"/>
    <cellStyle name="20% - Accent1 7 9 4" xfId="23632"/>
    <cellStyle name="20% - Accent1 8" xfId="229"/>
    <cellStyle name="20% - Accent1 8 10" xfId="3471"/>
    <cellStyle name="20% - Accent1 8 10 2" xfId="8094"/>
    <cellStyle name="20% - Accent1 8 10 2 2" xfId="15884"/>
    <cellStyle name="20% - Accent1 8 10 2 2 2" xfId="33505"/>
    <cellStyle name="20% - Accent1 8 10 2 3" xfId="26494"/>
    <cellStyle name="20% - Accent1 8 10 3" xfId="12200"/>
    <cellStyle name="20% - Accent1 8 10 3 2" xfId="29857"/>
    <cellStyle name="20% - Accent1 8 10 4" xfId="23633"/>
    <cellStyle name="20% - Accent1 8 11" xfId="5521"/>
    <cellStyle name="20% - Accent1 8 11 2" xfId="8817"/>
    <cellStyle name="20% - Accent1 8 11 2 2" xfId="16607"/>
    <cellStyle name="20% - Accent1 8 11 2 2 2" xfId="34228"/>
    <cellStyle name="20% - Accent1 8 11 2 3" xfId="27191"/>
    <cellStyle name="20% - Accent1 8 11 3" xfId="13370"/>
    <cellStyle name="20% - Accent1 8 11 3 2" xfId="30996"/>
    <cellStyle name="20% - Accent1 8 11 4" xfId="24330"/>
    <cellStyle name="20% - Accent1 8 12" xfId="6150"/>
    <cellStyle name="20% - Accent1 8 12 2" xfId="9357"/>
    <cellStyle name="20% - Accent1 8 12 2 2" xfId="17145"/>
    <cellStyle name="20% - Accent1 8 12 2 2 2" xfId="34768"/>
    <cellStyle name="20% - Accent1 8 12 2 3" xfId="27727"/>
    <cellStyle name="20% - Accent1 8 12 3" xfId="13933"/>
    <cellStyle name="20% - Accent1 8 12 3 2" xfId="31554"/>
    <cellStyle name="20% - Accent1 8 12 4" xfId="24866"/>
    <cellStyle name="20% - Accent1 8 13" xfId="6687"/>
    <cellStyle name="20% - Accent1 8 13 2" xfId="9894"/>
    <cellStyle name="20% - Accent1 8 13 2 2" xfId="17681"/>
    <cellStyle name="20% - Accent1 8 13 2 2 2" xfId="35304"/>
    <cellStyle name="20% - Accent1 8 13 2 3" xfId="28263"/>
    <cellStyle name="20% - Accent1 8 13 3" xfId="14469"/>
    <cellStyle name="20% - Accent1 8 13 3 2" xfId="32090"/>
    <cellStyle name="20% - Accent1 8 13 4" xfId="25403"/>
    <cellStyle name="20% - Accent1 8 14" xfId="7523"/>
    <cellStyle name="20% - Accent1 8 14 2" xfId="15314"/>
    <cellStyle name="20% - Accent1 8 14 2 2" xfId="32935"/>
    <cellStyle name="20% - Accent1 8 14 3" xfId="25942"/>
    <cellStyle name="20% - Accent1 8 15" xfId="11085"/>
    <cellStyle name="20% - Accent1 8 15 2" xfId="28801"/>
    <cellStyle name="20% - Accent1 8 16" xfId="22019"/>
    <cellStyle name="20% - Accent1 8 16 2" xfId="38724"/>
    <cellStyle name="20% - Accent1 8 17" xfId="23081"/>
    <cellStyle name="20% - Accent1 8 18" xfId="51620"/>
    <cellStyle name="20% - Accent1 8 2" xfId="230"/>
    <cellStyle name="20% - Accent1 8 2 10" xfId="51621"/>
    <cellStyle name="20% - Accent1 8 2 2" xfId="3472"/>
    <cellStyle name="20% - Accent1 8 2 2 2" xfId="8095"/>
    <cellStyle name="20% - Accent1 8 2 2 2 2" xfId="15885"/>
    <cellStyle name="20% - Accent1 8 2 2 2 2 2" xfId="33506"/>
    <cellStyle name="20% - Accent1 8 2 2 2 3" xfId="26495"/>
    <cellStyle name="20% - Accent1 8 2 2 3" xfId="12201"/>
    <cellStyle name="20% - Accent1 8 2 2 3 2" xfId="29858"/>
    <cellStyle name="20% - Accent1 8 2 2 4" xfId="22698"/>
    <cellStyle name="20% - Accent1 8 2 2 4 2" xfId="38894"/>
    <cellStyle name="20% - Accent1 8 2 2 5" xfId="23634"/>
    <cellStyle name="20% - Accent1 8 2 3" xfId="5522"/>
    <cellStyle name="20% - Accent1 8 2 3 2" xfId="8818"/>
    <cellStyle name="20% - Accent1 8 2 3 2 2" xfId="16608"/>
    <cellStyle name="20% - Accent1 8 2 3 2 2 2" xfId="34229"/>
    <cellStyle name="20% - Accent1 8 2 3 2 3" xfId="27192"/>
    <cellStyle name="20% - Accent1 8 2 3 3" xfId="13371"/>
    <cellStyle name="20% - Accent1 8 2 3 3 2" xfId="30997"/>
    <cellStyle name="20% - Accent1 8 2 3 4" xfId="24331"/>
    <cellStyle name="20% - Accent1 8 2 4" xfId="6151"/>
    <cellStyle name="20% - Accent1 8 2 4 2" xfId="9358"/>
    <cellStyle name="20% - Accent1 8 2 4 2 2" xfId="17146"/>
    <cellStyle name="20% - Accent1 8 2 4 2 2 2" xfId="34769"/>
    <cellStyle name="20% - Accent1 8 2 4 2 3" xfId="27728"/>
    <cellStyle name="20% - Accent1 8 2 4 3" xfId="13934"/>
    <cellStyle name="20% - Accent1 8 2 4 3 2" xfId="31555"/>
    <cellStyle name="20% - Accent1 8 2 4 4" xfId="24867"/>
    <cellStyle name="20% - Accent1 8 2 5" xfId="6688"/>
    <cellStyle name="20% - Accent1 8 2 5 2" xfId="9895"/>
    <cellStyle name="20% - Accent1 8 2 5 2 2" xfId="17682"/>
    <cellStyle name="20% - Accent1 8 2 5 2 2 2" xfId="35305"/>
    <cellStyle name="20% - Accent1 8 2 5 2 3" xfId="28264"/>
    <cellStyle name="20% - Accent1 8 2 5 3" xfId="14470"/>
    <cellStyle name="20% - Accent1 8 2 5 3 2" xfId="32091"/>
    <cellStyle name="20% - Accent1 8 2 5 4" xfId="25404"/>
    <cellStyle name="20% - Accent1 8 2 6" xfId="7524"/>
    <cellStyle name="20% - Accent1 8 2 6 2" xfId="15315"/>
    <cellStyle name="20% - Accent1 8 2 6 2 2" xfId="32936"/>
    <cellStyle name="20% - Accent1 8 2 6 3" xfId="25943"/>
    <cellStyle name="20% - Accent1 8 2 7" xfId="11086"/>
    <cellStyle name="20% - Accent1 8 2 7 2" xfId="28802"/>
    <cellStyle name="20% - Accent1 8 2 8" xfId="22020"/>
    <cellStyle name="20% - Accent1 8 2 8 2" xfId="38725"/>
    <cellStyle name="20% - Accent1 8 2 9" xfId="23082"/>
    <cellStyle name="20% - Accent1 8 3" xfId="231"/>
    <cellStyle name="20% - Accent1 8 3 10" xfId="22697"/>
    <cellStyle name="20% - Accent1 8 3 10 2" xfId="38893"/>
    <cellStyle name="20% - Accent1 8 3 11" xfId="23083"/>
    <cellStyle name="20% - Accent1 8 3 12" xfId="51622"/>
    <cellStyle name="20% - Accent1 8 3 2" xfId="232"/>
    <cellStyle name="20% - Accent1 8 3 2 2" xfId="3474"/>
    <cellStyle name="20% - Accent1 8 3 2 2 2" xfId="8097"/>
    <cellStyle name="20% - Accent1 8 3 2 2 2 2" xfId="15887"/>
    <cellStyle name="20% - Accent1 8 3 2 2 2 2 2" xfId="33508"/>
    <cellStyle name="20% - Accent1 8 3 2 2 2 3" xfId="26497"/>
    <cellStyle name="20% - Accent1 8 3 2 2 3" xfId="12203"/>
    <cellStyle name="20% - Accent1 8 3 2 2 3 2" xfId="29860"/>
    <cellStyle name="20% - Accent1 8 3 2 2 4" xfId="23636"/>
    <cellStyle name="20% - Accent1 8 3 2 3" xfId="5523"/>
    <cellStyle name="20% - Accent1 8 3 2 3 2" xfId="8820"/>
    <cellStyle name="20% - Accent1 8 3 2 3 2 2" xfId="16610"/>
    <cellStyle name="20% - Accent1 8 3 2 3 2 2 2" xfId="34231"/>
    <cellStyle name="20% - Accent1 8 3 2 3 2 3" xfId="27194"/>
    <cellStyle name="20% - Accent1 8 3 2 3 3" xfId="13373"/>
    <cellStyle name="20% - Accent1 8 3 2 3 3 2" xfId="30999"/>
    <cellStyle name="20% - Accent1 8 3 2 3 4" xfId="24333"/>
    <cellStyle name="20% - Accent1 8 3 2 4" xfId="6153"/>
    <cellStyle name="20% - Accent1 8 3 2 4 2" xfId="9360"/>
    <cellStyle name="20% - Accent1 8 3 2 4 2 2" xfId="17148"/>
    <cellStyle name="20% - Accent1 8 3 2 4 2 2 2" xfId="34771"/>
    <cellStyle name="20% - Accent1 8 3 2 4 2 3" xfId="27730"/>
    <cellStyle name="20% - Accent1 8 3 2 4 3" xfId="13936"/>
    <cellStyle name="20% - Accent1 8 3 2 4 3 2" xfId="31557"/>
    <cellStyle name="20% - Accent1 8 3 2 4 4" xfId="24869"/>
    <cellStyle name="20% - Accent1 8 3 2 5" xfId="6690"/>
    <cellStyle name="20% - Accent1 8 3 2 5 2" xfId="9897"/>
    <cellStyle name="20% - Accent1 8 3 2 5 2 2" xfId="17684"/>
    <cellStyle name="20% - Accent1 8 3 2 5 2 2 2" xfId="35307"/>
    <cellStyle name="20% - Accent1 8 3 2 5 2 3" xfId="28266"/>
    <cellStyle name="20% - Accent1 8 3 2 5 3" xfId="14472"/>
    <cellStyle name="20% - Accent1 8 3 2 5 3 2" xfId="32093"/>
    <cellStyle name="20% - Accent1 8 3 2 5 4" xfId="25406"/>
    <cellStyle name="20% - Accent1 8 3 2 6" xfId="7526"/>
    <cellStyle name="20% - Accent1 8 3 2 6 2" xfId="15317"/>
    <cellStyle name="20% - Accent1 8 3 2 6 2 2" xfId="32938"/>
    <cellStyle name="20% - Accent1 8 3 2 6 3" xfId="25945"/>
    <cellStyle name="20% - Accent1 8 3 2 7" xfId="11088"/>
    <cellStyle name="20% - Accent1 8 3 2 7 2" xfId="28804"/>
    <cellStyle name="20% - Accent1 8 3 2 8" xfId="23084"/>
    <cellStyle name="20% - Accent1 8 3 2 9" xfId="51623"/>
    <cellStyle name="20% - Accent1 8 3 3" xfId="3475"/>
    <cellStyle name="20% - Accent1 8 3 3 2" xfId="5524"/>
    <cellStyle name="20% - Accent1 8 3 3 2 2" xfId="8821"/>
    <cellStyle name="20% - Accent1 8 3 3 2 2 2 2" xfId="34232"/>
    <cellStyle name="20% - Accent1 8 3 3 2 2 3" xfId="27195"/>
    <cellStyle name="20% - Accent1 8 3 3 2 3" xfId="13374"/>
    <cellStyle name="20% - Accent1 8 3 3 2 3 2" xfId="31000"/>
    <cellStyle name="20% - Accent1 8 3 3 2 4" xfId="24334"/>
    <cellStyle name="20% - Accent1 8 3 3 3" xfId="6154"/>
    <cellStyle name="20% - Accent1 8 3 3 3 2" xfId="9361"/>
    <cellStyle name="20% - Accent1 8 3 3 3 2 2" xfId="17149"/>
    <cellStyle name="20% - Accent1 8 3 3 3 2 2 2" xfId="34772"/>
    <cellStyle name="20% - Accent1 8 3 3 3 2 3" xfId="27731"/>
    <cellStyle name="20% - Accent1 8 3 3 3 3" xfId="13937"/>
    <cellStyle name="20% - Accent1 8 3 3 3 3 2" xfId="31558"/>
    <cellStyle name="20% - Accent1 8 3 3 3 4" xfId="24870"/>
    <cellStyle name="20% - Accent1 8 3 3 4" xfId="6691"/>
    <cellStyle name="20% - Accent1 8 3 3 4 2" xfId="9898"/>
    <cellStyle name="20% - Accent1 8 3 3 4 2 2" xfId="17685"/>
    <cellStyle name="20% - Accent1 8 3 3 4 2 2 2" xfId="35308"/>
    <cellStyle name="20% - Accent1 8 3 3 4 2 3" xfId="28267"/>
    <cellStyle name="20% - Accent1 8 3 3 4 3" xfId="14473"/>
    <cellStyle name="20% - Accent1 8 3 3 4 3 2" xfId="32094"/>
    <cellStyle name="20% - Accent1 8 3 3 4 4" xfId="25407"/>
    <cellStyle name="20% - Accent1 8 3 3 5" xfId="8098"/>
    <cellStyle name="20% - Accent1 8 3 3 5 2" xfId="15888"/>
    <cellStyle name="20% - Accent1 8 3 3 5 2 2" xfId="33509"/>
    <cellStyle name="20% - Accent1 8 3 3 5 3" xfId="26498"/>
    <cellStyle name="20% - Accent1 8 3 3 6" xfId="12204"/>
    <cellStyle name="20% - Accent1 8 3 3 6 2" xfId="29861"/>
    <cellStyle name="20% - Accent1 8 3 3 7" xfId="23637"/>
    <cellStyle name="20% - Accent1 8 3 4" xfId="3473"/>
    <cellStyle name="20% - Accent1 8 3 4 2" xfId="8096"/>
    <cellStyle name="20% - Accent1 8 3 4 2 2" xfId="15886"/>
    <cellStyle name="20% - Accent1 8 3 4 2 2 2" xfId="33507"/>
    <cellStyle name="20% - Accent1 8 3 4 2 3" xfId="26496"/>
    <cellStyle name="20% - Accent1 8 3 4 3" xfId="12202"/>
    <cellStyle name="20% - Accent1 8 3 4 3 2" xfId="29859"/>
    <cellStyle name="20% - Accent1 8 3 4 4" xfId="23635"/>
    <cellStyle name="20% - Accent1 8 3 5 2" xfId="8819"/>
    <cellStyle name="20% - Accent1 8 3 5 2 2" xfId="16609"/>
    <cellStyle name="20% - Accent1 8 3 5 2 2 2" xfId="34230"/>
    <cellStyle name="20% - Accent1 8 3 5 2 3" xfId="27193"/>
    <cellStyle name="20% - Accent1 8 3 5 3" xfId="13372"/>
    <cellStyle name="20% - Accent1 8 3 5 3 2" xfId="30998"/>
    <cellStyle name="20% - Accent1 8 3 5 4" xfId="24332"/>
    <cellStyle name="20% - Accent1 8 3 6" xfId="6152"/>
    <cellStyle name="20% - Accent1 8 3 6 2" xfId="9359"/>
    <cellStyle name="20% - Accent1 8 3 6 2 2" xfId="17147"/>
    <cellStyle name="20% - Accent1 8 3 6 2 2 2" xfId="34770"/>
    <cellStyle name="20% - Accent1 8 3 6 2 3" xfId="27729"/>
    <cellStyle name="20% - Accent1 8 3 6 3" xfId="13935"/>
    <cellStyle name="20% - Accent1 8 3 6 3 2" xfId="31556"/>
    <cellStyle name="20% - Accent1 8 3 6 4" xfId="24868"/>
    <cellStyle name="20% - Accent1 8 3 7" xfId="6689"/>
    <cellStyle name="20% - Accent1 8 3 7 2" xfId="9896"/>
    <cellStyle name="20% - Accent1 8 3 7 2 2" xfId="17683"/>
    <cellStyle name="20% - Accent1 8 3 7 2 2 2" xfId="35306"/>
    <cellStyle name="20% - Accent1 8 3 7 2 3" xfId="28265"/>
    <cellStyle name="20% - Accent1 8 3 7 3" xfId="14471"/>
    <cellStyle name="20% - Accent1 8 3 7 3 2" xfId="32092"/>
    <cellStyle name="20% - Accent1 8 3 7 4" xfId="25405"/>
    <cellStyle name="20% - Accent1 8 3 8" xfId="7525"/>
    <cellStyle name="20% - Accent1 8 3 8 2" xfId="15316"/>
    <cellStyle name="20% - Accent1 8 3 8 2 2" xfId="32937"/>
    <cellStyle name="20% - Accent1 8 3 8 3" xfId="25944"/>
    <cellStyle name="20% - Accent1 8 3 9" xfId="11087"/>
    <cellStyle name="20% - Accent1 8 3 9 2" xfId="28803"/>
    <cellStyle name="20% - Accent1 8 4" xfId="233"/>
    <cellStyle name="20% - Accent1 8 4 2" xfId="3476"/>
    <cellStyle name="20% - Accent1 8 4 2 2" xfId="8099"/>
    <cellStyle name="20% - Accent1 8 4 2 2 2" xfId="15889"/>
    <cellStyle name="20% - Accent1 8 4 2 2 2 2" xfId="33510"/>
    <cellStyle name="20% - Accent1 8 4 2 2 3" xfId="26499"/>
    <cellStyle name="20% - Accent1 8 4 2 3" xfId="12205"/>
    <cellStyle name="20% - Accent1 8 4 2 3 2" xfId="29862"/>
    <cellStyle name="20% - Accent1 8 4 2 4" xfId="23638"/>
    <cellStyle name="20% - Accent1 8 4 3" xfId="5525"/>
    <cellStyle name="20% - Accent1 8 4 3 2" xfId="8822"/>
    <cellStyle name="20% - Accent1 8 4 3 2 2" xfId="16611"/>
    <cellStyle name="20% - Accent1 8 4 3 2 2 2" xfId="34233"/>
    <cellStyle name="20% - Accent1 8 4 3 2 3" xfId="27196"/>
    <cellStyle name="20% - Accent1 8 4 3 3" xfId="13375"/>
    <cellStyle name="20% - Accent1 8 4 3 3 2" xfId="31001"/>
    <cellStyle name="20% - Accent1 8 4 3 4" xfId="24335"/>
    <cellStyle name="20% - Accent1 8 4 4" xfId="6155"/>
    <cellStyle name="20% - Accent1 8 4 4 2" xfId="9362"/>
    <cellStyle name="20% - Accent1 8 4 4 2 2" xfId="17150"/>
    <cellStyle name="20% - Accent1 8 4 4 2 2 2" xfId="34773"/>
    <cellStyle name="20% - Accent1 8 4 4 2 3" xfId="27732"/>
    <cellStyle name="20% - Accent1 8 4 4 3" xfId="13938"/>
    <cellStyle name="20% - Accent1 8 4 4 3 2" xfId="31559"/>
    <cellStyle name="20% - Accent1 8 4 4 4" xfId="24871"/>
    <cellStyle name="20% - Accent1 8 4 5" xfId="6692"/>
    <cellStyle name="20% - Accent1 8 4 5 2" xfId="9899"/>
    <cellStyle name="20% - Accent1 8 4 5 2 2" xfId="17686"/>
    <cellStyle name="20% - Accent1 8 4 5 2 2 2" xfId="35309"/>
    <cellStyle name="20% - Accent1 8 4 5 2 3" xfId="28268"/>
    <cellStyle name="20% - Accent1 8 4 5 3" xfId="14474"/>
    <cellStyle name="20% - Accent1 8 4 5 3 2" xfId="32095"/>
    <cellStyle name="20% - Accent1 8 4 5 4" xfId="25408"/>
    <cellStyle name="20% - Accent1 8 4 6" xfId="7527"/>
    <cellStyle name="20% - Accent1 8 4 6 2" xfId="15318"/>
    <cellStyle name="20% - Accent1 8 4 6 2 2" xfId="32939"/>
    <cellStyle name="20% - Accent1 8 4 6 3" xfId="25946"/>
    <cellStyle name="20% - Accent1 8 4 7" xfId="11089"/>
    <cellStyle name="20% - Accent1 8 4 7 2" xfId="28805"/>
    <cellStyle name="20% - Accent1 8 4 8" xfId="23085"/>
    <cellStyle name="20% - Accent1 8 4 9" xfId="51624"/>
    <cellStyle name="20% - Accent1 8 5" xfId="234"/>
    <cellStyle name="20% - Accent1 8 5 2" xfId="3477"/>
    <cellStyle name="20% - Accent1 8 5 2 2" xfId="8100"/>
    <cellStyle name="20% - Accent1 8 5 2 2 2" xfId="15890"/>
    <cellStyle name="20% - Accent1 8 5 2 2 2 2" xfId="33511"/>
    <cellStyle name="20% - Accent1 8 5 2 2 3" xfId="26500"/>
    <cellStyle name="20% - Accent1 8 5 2 3" xfId="12206"/>
    <cellStyle name="20% - Accent1 8 5 2 3 2" xfId="29863"/>
    <cellStyle name="20% - Accent1 8 5 2 4" xfId="23639"/>
    <cellStyle name="20% - Accent1 8 5 3" xfId="5526"/>
    <cellStyle name="20% - Accent1 8 5 3 2" xfId="8823"/>
    <cellStyle name="20% - Accent1 8 5 3 2 2" xfId="16612"/>
    <cellStyle name="20% - Accent1 8 5 3 2 2 2" xfId="34234"/>
    <cellStyle name="20% - Accent1 8 5 3 2 3" xfId="27197"/>
    <cellStyle name="20% - Accent1 8 5 3 3" xfId="13376"/>
    <cellStyle name="20% - Accent1 8 5 3 3 2" xfId="31002"/>
    <cellStyle name="20% - Accent1 8 5 3 4" xfId="24336"/>
    <cellStyle name="20% - Accent1 8 5 4" xfId="6156"/>
    <cellStyle name="20% - Accent1 8 5 4 2" xfId="9363"/>
    <cellStyle name="20% - Accent1 8 5 4 2 2" xfId="17151"/>
    <cellStyle name="20% - Accent1 8 5 4 2 2 2" xfId="34774"/>
    <cellStyle name="20% - Accent1 8 5 4 2 3" xfId="27733"/>
    <cellStyle name="20% - Accent1 8 5 4 3" xfId="13939"/>
    <cellStyle name="20% - Accent1 8 5 4 3 2" xfId="31560"/>
    <cellStyle name="20% - Accent1 8 5 4 4" xfId="24872"/>
    <cellStyle name="20% - Accent1 8 5 5" xfId="6693"/>
    <cellStyle name="20% - Accent1 8 5 5 2" xfId="9900"/>
    <cellStyle name="20% - Accent1 8 5 5 2 2" xfId="17687"/>
    <cellStyle name="20% - Accent1 8 5 5 2 2 2" xfId="35310"/>
    <cellStyle name="20% - Accent1 8 5 5 2 3" xfId="28269"/>
    <cellStyle name="20% - Accent1 8 5 5 3" xfId="14475"/>
    <cellStyle name="20% - Accent1 8 5 5 3 2" xfId="32096"/>
    <cellStyle name="20% - Accent1 8 5 5 4" xfId="25409"/>
    <cellStyle name="20% - Accent1 8 5 6" xfId="7528"/>
    <cellStyle name="20% - Accent1 8 5 6 2" xfId="15319"/>
    <cellStyle name="20% - Accent1 8 5 6 2 2" xfId="32940"/>
    <cellStyle name="20% - Accent1 8 5 6 3" xfId="25947"/>
    <cellStyle name="20% - Accent1 8 5 7" xfId="11090"/>
    <cellStyle name="20% - Accent1 8 5 7 2" xfId="28806"/>
    <cellStyle name="20% - Accent1 8 5 8" xfId="23086"/>
    <cellStyle name="20% - Accent1 8 5 9" xfId="51625"/>
    <cellStyle name="20% - Accent1 8 6" xfId="235"/>
    <cellStyle name="20% - Accent1 8 6 2" xfId="3478"/>
    <cellStyle name="20% - Accent1 8 6 2 2" xfId="8101"/>
    <cellStyle name="20% - Accent1 8 6 2 2 2" xfId="15891"/>
    <cellStyle name="20% - Accent1 8 6 2 2 2 2" xfId="33512"/>
    <cellStyle name="20% - Accent1 8 6 2 2 3" xfId="26501"/>
    <cellStyle name="20% - Accent1 8 6 2 3" xfId="12207"/>
    <cellStyle name="20% - Accent1 8 6 2 3 2" xfId="29864"/>
    <cellStyle name="20% - Accent1 8 6 2 4" xfId="23640"/>
    <cellStyle name="20% - Accent1 8 6 3" xfId="5527"/>
    <cellStyle name="20% - Accent1 8 6 3 2" xfId="8824"/>
    <cellStyle name="20% - Accent1 8 6 3 2 2" xfId="16613"/>
    <cellStyle name="20% - Accent1 8 6 3 2 2 2" xfId="34235"/>
    <cellStyle name="20% - Accent1 8 6 3 2 3" xfId="27198"/>
    <cellStyle name="20% - Accent1 8 6 3 3" xfId="13377"/>
    <cellStyle name="20% - Accent1 8 6 3 3 2" xfId="31003"/>
    <cellStyle name="20% - Accent1 8 6 3 4" xfId="24337"/>
    <cellStyle name="20% - Accent1 8 6 4" xfId="6157"/>
    <cellStyle name="20% - Accent1 8 6 4 2" xfId="9364"/>
    <cellStyle name="20% - Accent1 8 6 4 2 2" xfId="17152"/>
    <cellStyle name="20% - Accent1 8 6 4 2 2 2" xfId="34775"/>
    <cellStyle name="20% - Accent1 8 6 4 2 3" xfId="27734"/>
    <cellStyle name="20% - Accent1 8 6 4 3" xfId="13940"/>
    <cellStyle name="20% - Accent1 8 6 4 3 2" xfId="31561"/>
    <cellStyle name="20% - Accent1 8 6 4 4" xfId="24873"/>
    <cellStyle name="20% - Accent1 8 6 5" xfId="6694"/>
    <cellStyle name="20% - Accent1 8 6 5 2" xfId="9901"/>
    <cellStyle name="20% - Accent1 8 6 5 2 2" xfId="17688"/>
    <cellStyle name="20% - Accent1 8 6 5 2 2 2" xfId="35311"/>
    <cellStyle name="20% - Accent1 8 6 5 2 3" xfId="28270"/>
    <cellStyle name="20% - Accent1 8 6 5 3" xfId="14476"/>
    <cellStyle name="20% - Accent1 8 6 5 3 2" xfId="32097"/>
    <cellStyle name="20% - Accent1 8 6 5 4" xfId="25410"/>
    <cellStyle name="20% - Accent1 8 6 6" xfId="7529"/>
    <cellStyle name="20% - Accent1 8 6 6 2" xfId="15320"/>
    <cellStyle name="20% - Accent1 8 6 6 2 2" xfId="32941"/>
    <cellStyle name="20% - Accent1 8 6 6 3" xfId="25948"/>
    <cellStyle name="20% - Accent1 8 6 7" xfId="11091"/>
    <cellStyle name="20% - Accent1 8 6 7 2" xfId="28807"/>
    <cellStyle name="20% - Accent1 8 6 8" xfId="23087"/>
    <cellStyle name="20% - Accent1 8 6 9" xfId="51626"/>
    <cellStyle name="20% - Accent1 8 7" xfId="236"/>
    <cellStyle name="20% - Accent1 8 7 10" xfId="51627"/>
    <cellStyle name="20% - Accent1 8 7 2" xfId="237"/>
    <cellStyle name="20% - Accent1 8 7 2 2" xfId="8103"/>
    <cellStyle name="20% - Accent1 8 7 2 2 2" xfId="15893"/>
    <cellStyle name="20% - Accent1 8 7 2 2 2 2" xfId="33514"/>
    <cellStyle name="20% - Accent1 8 7 2 2 3" xfId="26503"/>
    <cellStyle name="20% - Accent1 8 7 2 3" xfId="12209"/>
    <cellStyle name="20% - Accent1 8 7 2 3 2" xfId="29866"/>
    <cellStyle name="20% - Accent1 8 7 2 4" xfId="23642"/>
    <cellStyle name="20% - Accent1 8 7 3" xfId="3479"/>
    <cellStyle name="20% - Accent1 8 7 3 2" xfId="8102"/>
    <cellStyle name="20% - Accent1 8 7 3 2 2" xfId="15892"/>
    <cellStyle name="20% - Accent1 8 7 3 2 2 2" xfId="33513"/>
    <cellStyle name="20% - Accent1 8 7 3 2 3" xfId="26502"/>
    <cellStyle name="20% - Accent1 8 7 3 3" xfId="12208"/>
    <cellStyle name="20% - Accent1 8 7 3 3 2" xfId="29865"/>
    <cellStyle name="20% - Accent1 8 7 3 4" xfId="23641"/>
    <cellStyle name="20% - Accent1 8 7 4" xfId="5528"/>
    <cellStyle name="20% - Accent1 8 7 4 2" xfId="8825"/>
    <cellStyle name="20% - Accent1 8 7 4 2 2" xfId="16614"/>
    <cellStyle name="20% - Accent1 8 7 4 2 2 2" xfId="34236"/>
    <cellStyle name="20% - Accent1 8 7 4 2 3" xfId="27199"/>
    <cellStyle name="20% - Accent1 8 7 4 3" xfId="13378"/>
    <cellStyle name="20% - Accent1 8 7 4 3 2" xfId="31004"/>
    <cellStyle name="20% - Accent1 8 7 4 4" xfId="24338"/>
    <cellStyle name="20% - Accent1 8 7 5" xfId="6158"/>
    <cellStyle name="20% - Accent1 8 7 5 2" xfId="9365"/>
    <cellStyle name="20% - Accent1 8 7 5 2 2" xfId="17153"/>
    <cellStyle name="20% - Accent1 8 7 5 2 2 2" xfId="34776"/>
    <cellStyle name="20% - Accent1 8 7 5 2 3" xfId="27735"/>
    <cellStyle name="20% - Accent1 8 7 5 3" xfId="13941"/>
    <cellStyle name="20% - Accent1 8 7 5 3 2" xfId="31562"/>
    <cellStyle name="20% - Accent1 8 7 5 4" xfId="24874"/>
    <cellStyle name="20% - Accent1 8 7 6" xfId="6695"/>
    <cellStyle name="20% - Accent1 8 7 6 2" xfId="9902"/>
    <cellStyle name="20% - Accent1 8 7 6 2 2" xfId="17689"/>
    <cellStyle name="20% - Accent1 8 7 6 2 2 2" xfId="35312"/>
    <cellStyle name="20% - Accent1 8 7 6 2 3" xfId="28271"/>
    <cellStyle name="20% - Accent1 8 7 6 3" xfId="14477"/>
    <cellStyle name="20% - Accent1 8 7 6 3 2" xfId="32098"/>
    <cellStyle name="20% - Accent1 8 7 6 4" xfId="25411"/>
    <cellStyle name="20% - Accent1 8 7 7" xfId="7530"/>
    <cellStyle name="20% - Accent1 8 7 7 2" xfId="15321"/>
    <cellStyle name="20% - Accent1 8 7 7 2 2" xfId="32942"/>
    <cellStyle name="20% - Accent1 8 7 7 3" xfId="25949"/>
    <cellStyle name="20% - Accent1 8 7 8" xfId="11092"/>
    <cellStyle name="20% - Accent1 8 7 8 2" xfId="28808"/>
    <cellStyle name="20% - Accent1 8 7 9" xfId="23088"/>
    <cellStyle name="20% - Accent1 8 8" xfId="3480"/>
    <cellStyle name="20% - Accent1 8 8 2" xfId="8104"/>
    <cellStyle name="20% - Accent1 8 8 2 2" xfId="15894"/>
    <cellStyle name="20% - Accent1 8 8 2 2 2" xfId="33515"/>
    <cellStyle name="20% - Accent1 8 8 2 3" xfId="26504"/>
    <cellStyle name="20% - Accent1 8 8 3" xfId="12210"/>
    <cellStyle name="20% - Accent1 8 8 3 2" xfId="29867"/>
    <cellStyle name="20% - Accent1 8 8 4" xfId="23643"/>
    <cellStyle name="20% - Accent1 8 9" xfId="3481"/>
    <cellStyle name="20% - Accent1 8 9 2" xfId="8105"/>
    <cellStyle name="20% - Accent1 8 9 2 2" xfId="15895"/>
    <cellStyle name="20% - Accent1 8 9 2 2 2" xfId="33516"/>
    <cellStyle name="20% - Accent1 8 9 2 3" xfId="26505"/>
    <cellStyle name="20% - Accent1 8 9 3" xfId="12211"/>
    <cellStyle name="20% - Accent1 8 9 3 2" xfId="29868"/>
    <cellStyle name="20% - Accent1 8 9 4" xfId="23644"/>
    <cellStyle name="20% - Accent1 9" xfId="238"/>
    <cellStyle name="20% - Accent1 9 10" xfId="3482"/>
    <cellStyle name="20% - Accent1 9 10 2" xfId="8106"/>
    <cellStyle name="20% - Accent1 9 10 2 2" xfId="15896"/>
    <cellStyle name="20% - Accent1 9 10 2 2 2" xfId="33517"/>
    <cellStyle name="20% - Accent1 9 10 2 3" xfId="26506"/>
    <cellStyle name="20% - Accent1 9 10 3" xfId="12212"/>
    <cellStyle name="20% - Accent1 9 10 3 2" xfId="29869"/>
    <cellStyle name="20% - Accent1 9 10 4" xfId="23645"/>
    <cellStyle name="20% - Accent1 9 11" xfId="5529"/>
    <cellStyle name="20% - Accent1 9 11 2" xfId="8826"/>
    <cellStyle name="20% - Accent1 9 11 2 2" xfId="16615"/>
    <cellStyle name="20% - Accent1 9 11 2 2 2" xfId="34237"/>
    <cellStyle name="20% - Accent1 9 11 2 3" xfId="27200"/>
    <cellStyle name="20% - Accent1 9 11 3" xfId="13379"/>
    <cellStyle name="20% - Accent1 9 11 3 2" xfId="31005"/>
    <cellStyle name="20% - Accent1 9 11 4" xfId="24339"/>
    <cellStyle name="20% - Accent1 9 12" xfId="6159"/>
    <cellStyle name="20% - Accent1 9 12 2" xfId="9366"/>
    <cellStyle name="20% - Accent1 9 12 2 2" xfId="17154"/>
    <cellStyle name="20% - Accent1 9 12 2 2 2" xfId="34777"/>
    <cellStyle name="20% - Accent1 9 12 2 3" xfId="27736"/>
    <cellStyle name="20% - Accent1 9 12 3" xfId="13942"/>
    <cellStyle name="20% - Accent1 9 12 3 2" xfId="31563"/>
    <cellStyle name="20% - Accent1 9 12 4" xfId="24875"/>
    <cellStyle name="20% - Accent1 9 13" xfId="6696"/>
    <cellStyle name="20% - Accent1 9 13 2" xfId="9903"/>
    <cellStyle name="20% - Accent1 9 13 2 2" xfId="17690"/>
    <cellStyle name="20% - Accent1 9 13 2 2 2" xfId="35313"/>
    <cellStyle name="20% - Accent1 9 13 2 3" xfId="28272"/>
    <cellStyle name="20% - Accent1 9 13 3" xfId="14478"/>
    <cellStyle name="20% - Accent1 9 13 3 2" xfId="32099"/>
    <cellStyle name="20% - Accent1 9 13 4" xfId="25412"/>
    <cellStyle name="20% - Accent1 9 14" xfId="7531"/>
    <cellStyle name="20% - Accent1 9 14 2" xfId="15322"/>
    <cellStyle name="20% - Accent1 9 14 2 2" xfId="32943"/>
    <cellStyle name="20% - Accent1 9 14 3" xfId="25950"/>
    <cellStyle name="20% - Accent1 9 15" xfId="11093"/>
    <cellStyle name="20% - Accent1 9 15 2" xfId="28809"/>
    <cellStyle name="20% - Accent1 9 16" xfId="22021"/>
    <cellStyle name="20% - Accent1 9 16 2" xfId="38726"/>
    <cellStyle name="20% - Accent1 9 17" xfId="23089"/>
    <cellStyle name="20% - Accent1 9 18" xfId="51628"/>
    <cellStyle name="20% - Accent1 9 2" xfId="239"/>
    <cellStyle name="20% - Accent1 9 2 10" xfId="51629"/>
    <cellStyle name="20% - Accent1 9 2 2" xfId="3483"/>
    <cellStyle name="20% - Accent1 9 2 2 2" xfId="8107"/>
    <cellStyle name="20% - Accent1 9 2 2 2 2" xfId="15897"/>
    <cellStyle name="20% - Accent1 9 2 2 2 2 2" xfId="33518"/>
    <cellStyle name="20% - Accent1 9 2 2 2 3" xfId="26507"/>
    <cellStyle name="20% - Accent1 9 2 2 3" xfId="12213"/>
    <cellStyle name="20% - Accent1 9 2 2 3 2" xfId="29870"/>
    <cellStyle name="20% - Accent1 9 2 2 4" xfId="23646"/>
    <cellStyle name="20% - Accent1 9 2 3" xfId="5530"/>
    <cellStyle name="20% - Accent1 9 2 3 2" xfId="8827"/>
    <cellStyle name="20% - Accent1 9 2 3 2 2" xfId="16616"/>
    <cellStyle name="20% - Accent1 9 2 3 2 2 2" xfId="34238"/>
    <cellStyle name="20% - Accent1 9 2 3 2 3" xfId="27201"/>
    <cellStyle name="20% - Accent1 9 2 3 3" xfId="13380"/>
    <cellStyle name="20% - Accent1 9 2 3 3 2" xfId="31006"/>
    <cellStyle name="20% - Accent1 9 2 3 4" xfId="24340"/>
    <cellStyle name="20% - Accent1 9 2 4" xfId="6160"/>
    <cellStyle name="20% - Accent1 9 2 4 2" xfId="9367"/>
    <cellStyle name="20% - Accent1 9 2 4 2 2" xfId="17155"/>
    <cellStyle name="20% - Accent1 9 2 4 2 2 2" xfId="34778"/>
    <cellStyle name="20% - Accent1 9 2 4 2 3" xfId="27737"/>
    <cellStyle name="20% - Accent1 9 2 4 3" xfId="13943"/>
    <cellStyle name="20% - Accent1 9 2 4 3 2" xfId="31564"/>
    <cellStyle name="20% - Accent1 9 2 4 4" xfId="24876"/>
    <cellStyle name="20% - Accent1 9 2 5" xfId="6697"/>
    <cellStyle name="20% - Accent1 9 2 5 2" xfId="9904"/>
    <cellStyle name="20% - Accent1 9 2 5 2 2" xfId="17691"/>
    <cellStyle name="20% - Accent1 9 2 5 2 2 2" xfId="35314"/>
    <cellStyle name="20% - Accent1 9 2 5 2 3" xfId="28273"/>
    <cellStyle name="20% - Accent1 9 2 5 3" xfId="14479"/>
    <cellStyle name="20% - Accent1 9 2 5 3 2" xfId="32100"/>
    <cellStyle name="20% - Accent1 9 2 5 4" xfId="25413"/>
    <cellStyle name="20% - Accent1 9 2 6" xfId="7532"/>
    <cellStyle name="20% - Accent1 9 2 6 2" xfId="15323"/>
    <cellStyle name="20% - Accent1 9 2 6 2 2" xfId="32944"/>
    <cellStyle name="20% - Accent1 9 2 6 3" xfId="25951"/>
    <cellStyle name="20% - Accent1 9 2 7" xfId="11094"/>
    <cellStyle name="20% - Accent1 9 2 7 2" xfId="28810"/>
    <cellStyle name="20% - Accent1 9 2 8" xfId="22699"/>
    <cellStyle name="20% - Accent1 9 2 8 2" xfId="38895"/>
    <cellStyle name="20% - Accent1 9 2 9" xfId="23090"/>
    <cellStyle name="20% - Accent1 9 3" xfId="240"/>
    <cellStyle name="20% - Accent1 9 3 10" xfId="23091"/>
    <cellStyle name="20% - Accent1 9 3 11" xfId="51630"/>
    <cellStyle name="20% - Accent1 9 3 2" xfId="241"/>
    <cellStyle name="20% - Accent1 9 3 2 2" xfId="3485"/>
    <cellStyle name="20% - Accent1 9 3 2 2 2" xfId="8109"/>
    <cellStyle name="20% - Accent1 9 3 2 2 2 2" xfId="15899"/>
    <cellStyle name="20% - Accent1 9 3 2 2 2 2 2" xfId="33520"/>
    <cellStyle name="20% - Accent1 9 3 2 2 2 3" xfId="26509"/>
    <cellStyle name="20% - Accent1 9 3 2 2 3" xfId="12215"/>
    <cellStyle name="20% - Accent1 9 3 2 2 3 2" xfId="29872"/>
    <cellStyle name="20% - Accent1 9 3 2 2 4" xfId="23648"/>
    <cellStyle name="20% - Accent1 9 3 2 3" xfId="5532"/>
    <cellStyle name="20% - Accent1 9 3 2 3 2" xfId="8829"/>
    <cellStyle name="20% - Accent1 9 3 2 3 2 2" xfId="16618"/>
    <cellStyle name="20% - Accent1 9 3 2 3 2 2 2" xfId="34240"/>
    <cellStyle name="20% - Accent1 9 3 2 3 2 3" xfId="27203"/>
    <cellStyle name="20% - Accent1 9 3 2 3 3" xfId="13382"/>
    <cellStyle name="20% - Accent1 9 3 2 3 3 2" xfId="31008"/>
    <cellStyle name="20% - Accent1 9 3 2 3 4" xfId="24342"/>
    <cellStyle name="20% - Accent1 9 3 2 4" xfId="6162"/>
    <cellStyle name="20% - Accent1 9 3 2 4 2" xfId="9369"/>
    <cellStyle name="20% - Accent1 9 3 2 4 2 2" xfId="17157"/>
    <cellStyle name="20% - Accent1 9 3 2 4 2 2 2" xfId="34780"/>
    <cellStyle name="20% - Accent1 9 3 2 4 2 3" xfId="27739"/>
    <cellStyle name="20% - Accent1 9 3 2 4 3" xfId="13945"/>
    <cellStyle name="20% - Accent1 9 3 2 4 3 2" xfId="31566"/>
    <cellStyle name="20% - Accent1 9 3 2 4 4" xfId="24878"/>
    <cellStyle name="20% - Accent1 9 3 2 5" xfId="6699"/>
    <cellStyle name="20% - Accent1 9 3 2 5 2" xfId="9906"/>
    <cellStyle name="20% - Accent1 9 3 2 5 2 2" xfId="17693"/>
    <cellStyle name="20% - Accent1 9 3 2 5 2 2 2" xfId="35316"/>
    <cellStyle name="20% - Accent1 9 3 2 5 2 3" xfId="28275"/>
    <cellStyle name="20% - Accent1 9 3 2 5 3" xfId="14481"/>
    <cellStyle name="20% - Accent1 9 3 2 5 3 2" xfId="32102"/>
    <cellStyle name="20% - Accent1 9 3 2 5 4" xfId="25415"/>
    <cellStyle name="20% - Accent1 9 3 2 6" xfId="7534"/>
    <cellStyle name="20% - Accent1 9 3 2 6 2" xfId="15325"/>
    <cellStyle name="20% - Accent1 9 3 2 6 2 2" xfId="32946"/>
    <cellStyle name="20% - Accent1 9 3 2 6 3" xfId="25953"/>
    <cellStyle name="20% - Accent1 9 3 2 7" xfId="11096"/>
    <cellStyle name="20% - Accent1 9 3 2 7 2" xfId="28812"/>
    <cellStyle name="20% - Accent1 9 3 2 8" xfId="23092"/>
    <cellStyle name="20% - Accent1 9 3 2 9" xfId="51631"/>
    <cellStyle name="20% - Accent1 9 3 3" xfId="3486"/>
    <cellStyle name="20% - Accent1 9 3 3 2" xfId="5533"/>
    <cellStyle name="20% - Accent1 9 3 3 2 2" xfId="8830"/>
    <cellStyle name="20% - Accent1 9 3 3 2 2 2" xfId="16619"/>
    <cellStyle name="20% - Accent1 9 3 3 2 2 2 2" xfId="34241"/>
    <cellStyle name="20% - Accent1 9 3 3 2 2 3" xfId="27204"/>
    <cellStyle name="20% - Accent1 9 3 3 2 3" xfId="13383"/>
    <cellStyle name="20% - Accent1 9 3 3 2 3 2" xfId="31009"/>
    <cellStyle name="20% - Accent1 9 3 3 2 4" xfId="24343"/>
    <cellStyle name="20% - Accent1 9 3 3 3" xfId="6163"/>
    <cellStyle name="20% - Accent1 9 3 3 3 2" xfId="9370"/>
    <cellStyle name="20% - Accent1 9 3 3 3 2 2" xfId="17158"/>
    <cellStyle name="20% - Accent1 9 3 3 3 2 2 2" xfId="34781"/>
    <cellStyle name="20% - Accent1 9 3 3 3 2 3" xfId="27740"/>
    <cellStyle name="20% - Accent1 9 3 3 3 3" xfId="13946"/>
    <cellStyle name="20% - Accent1 9 3 3 3 3 2" xfId="31567"/>
    <cellStyle name="20% - Accent1 9 3 3 3 4" xfId="24879"/>
    <cellStyle name="20% - Accent1 9 3 3 4" xfId="6700"/>
    <cellStyle name="20% - Accent1 9 3 3 4 2" xfId="9907"/>
    <cellStyle name="20% - Accent1 9 3 3 4 2 2" xfId="17694"/>
    <cellStyle name="20% - Accent1 9 3 3 4 2 2 2" xfId="35317"/>
    <cellStyle name="20% - Accent1 9 3 3 4 2 3" xfId="28276"/>
    <cellStyle name="20% - Accent1 9 3 3 4 3" xfId="14482"/>
    <cellStyle name="20% - Accent1 9 3 3 4 3 2" xfId="32103"/>
    <cellStyle name="20% - Accent1 9 3 3 4 4" xfId="25416"/>
    <cellStyle name="20% - Accent1 9 3 3 5" xfId="8110"/>
    <cellStyle name="20% - Accent1 9 3 3 5 2" xfId="15900"/>
    <cellStyle name="20% - Accent1 9 3 3 5 2 2" xfId="33521"/>
    <cellStyle name="20% - Accent1 9 3 3 5 3" xfId="26510"/>
    <cellStyle name="20% - Accent1 9 3 3 6" xfId="12216"/>
    <cellStyle name="20% - Accent1 9 3 3 6 2" xfId="29873"/>
    <cellStyle name="20% - Accent1 9 3 3 7" xfId="23649"/>
    <cellStyle name="20% - Accent1 9 3 4" xfId="3484"/>
    <cellStyle name="20% - Accent1 9 3 4 2" xfId="8108"/>
    <cellStyle name="20% - Accent1 9 3 4 2 2" xfId="15898"/>
    <cellStyle name="20% - Accent1 9 3 4 2 2 2" xfId="33519"/>
    <cellStyle name="20% - Accent1 9 3 4 2 3" xfId="26508"/>
    <cellStyle name="20% - Accent1 9 3 4 3" xfId="12214"/>
    <cellStyle name="20% - Accent1 9 3 4 3 2" xfId="29871"/>
    <cellStyle name="20% - Accent1 9 3 4 4" xfId="23647"/>
    <cellStyle name="20% - Accent1 9 3 5" xfId="5531"/>
    <cellStyle name="20% - Accent1 9 3 5 2" xfId="8828"/>
    <cellStyle name="20% - Accent1 9 3 5 2 2" xfId="16617"/>
    <cellStyle name="20% - Accent1 9 3 5 2 2 2" xfId="34239"/>
    <cellStyle name="20% - Accent1 9 3 5 2 3" xfId="27202"/>
    <cellStyle name="20% - Accent1 9 3 5 3" xfId="13381"/>
    <cellStyle name="20% - Accent1 9 3 5 3 2" xfId="31007"/>
    <cellStyle name="20% - Accent1 9 3 5 4" xfId="24341"/>
    <cellStyle name="20% - Accent1 9 3 6" xfId="6161"/>
    <cellStyle name="20% - Accent1 9 3 6 2" xfId="9368"/>
    <cellStyle name="20% - Accent1 9 3 6 2 2" xfId="17156"/>
    <cellStyle name="20% - Accent1 9 3 6 2 2 2" xfId="34779"/>
    <cellStyle name="20% - Accent1 9 3 6 2 3" xfId="27738"/>
    <cellStyle name="20% - Accent1 9 3 6 3" xfId="13944"/>
    <cellStyle name="20% - Accent1 9 3 6 3 2" xfId="31565"/>
    <cellStyle name="20% - Accent1 9 3 6 4" xfId="24877"/>
    <cellStyle name="20% - Accent1 9 3 7" xfId="6698"/>
    <cellStyle name="20% - Accent1 9 3 7 2" xfId="9905"/>
    <cellStyle name="20% - Accent1 9 3 7 2 2" xfId="17692"/>
    <cellStyle name="20% - Accent1 9 3 7 2 2 2" xfId="35315"/>
    <cellStyle name="20% - Accent1 9 3 7 2 3" xfId="28274"/>
    <cellStyle name="20% - Accent1 9 3 7 3" xfId="14480"/>
    <cellStyle name="20% - Accent1 9 3 7 3 2" xfId="32101"/>
    <cellStyle name="20% - Accent1 9 3 7 4" xfId="25414"/>
    <cellStyle name="20% - Accent1 9 3 8" xfId="7533"/>
    <cellStyle name="20% - Accent1 9 3 8 2" xfId="15324"/>
    <cellStyle name="20% - Accent1 9 3 8 2 2" xfId="32945"/>
    <cellStyle name="20% - Accent1 9 3 8 3" xfId="25952"/>
    <cellStyle name="20% - Accent1 9 3 9" xfId="11095"/>
    <cellStyle name="20% - Accent1 9 3 9 2" xfId="28811"/>
    <cellStyle name="20% - Accent1 9 4" xfId="242"/>
    <cellStyle name="20% - Accent1 9 4 2" xfId="3487"/>
    <cellStyle name="20% - Accent1 9 4 2 2" xfId="8111"/>
    <cellStyle name="20% - Accent1 9 4 2 2 2" xfId="15901"/>
    <cellStyle name="20% - Accent1 9 4 2 2 2 2" xfId="33522"/>
    <cellStyle name="20% - Accent1 9 4 2 2 3" xfId="26511"/>
    <cellStyle name="20% - Accent1 9 4 2 3" xfId="12217"/>
    <cellStyle name="20% - Accent1 9 4 2 3 2" xfId="29874"/>
    <cellStyle name="20% - Accent1 9 4 2 4" xfId="23650"/>
    <cellStyle name="20% - Accent1 9 4 3" xfId="5534"/>
    <cellStyle name="20% - Accent1 9 4 3 2" xfId="8831"/>
    <cellStyle name="20% - Accent1 9 4 3 2 2" xfId="16620"/>
    <cellStyle name="20% - Accent1 9 4 3 2 2 2" xfId="34242"/>
    <cellStyle name="20% - Accent1 9 4 3 2 3" xfId="27205"/>
    <cellStyle name="20% - Accent1 9 4 3 3" xfId="13384"/>
    <cellStyle name="20% - Accent1 9 4 3 3 2" xfId="31010"/>
    <cellStyle name="20% - Accent1 9 4 3 4" xfId="24344"/>
    <cellStyle name="20% - Accent1 9 4 4" xfId="6164"/>
    <cellStyle name="20% - Accent1 9 4 4 2" xfId="9371"/>
    <cellStyle name="20% - Accent1 9 4 4 2 2" xfId="17159"/>
    <cellStyle name="20% - Accent1 9 4 4 2 2 2" xfId="34782"/>
    <cellStyle name="20% - Accent1 9 4 4 2 3" xfId="27741"/>
    <cellStyle name="20% - Accent1 9 4 4 3" xfId="13947"/>
    <cellStyle name="20% - Accent1 9 4 4 3 2" xfId="31568"/>
    <cellStyle name="20% - Accent1 9 4 4 4" xfId="24880"/>
    <cellStyle name="20% - Accent1 9 4 5" xfId="6701"/>
    <cellStyle name="20% - Accent1 9 4 5 2" xfId="9908"/>
    <cellStyle name="20% - Accent1 9 4 5 2 2" xfId="17695"/>
    <cellStyle name="20% - Accent1 9 4 5 2 2 2" xfId="35318"/>
    <cellStyle name="20% - Accent1 9 4 5 2 3" xfId="28277"/>
    <cellStyle name="20% - Accent1 9 4 5 3" xfId="14483"/>
    <cellStyle name="20% - Accent1 9 4 5 3 2" xfId="32104"/>
    <cellStyle name="20% - Accent1 9 4 5 4" xfId="25417"/>
    <cellStyle name="20% - Accent1 9 4 6" xfId="7535"/>
    <cellStyle name="20% - Accent1 9 4 6 2" xfId="15326"/>
    <cellStyle name="20% - Accent1 9 4 6 2 2" xfId="32947"/>
    <cellStyle name="20% - Accent1 9 4 6 3" xfId="25954"/>
    <cellStyle name="20% - Accent1 9 4 7" xfId="11097"/>
    <cellStyle name="20% - Accent1 9 4 7 2" xfId="28813"/>
    <cellStyle name="20% - Accent1 9 4 8" xfId="23093"/>
    <cellStyle name="20% - Accent1 9 4 9" xfId="51632"/>
    <cellStyle name="20% - Accent1 9 5" xfId="243"/>
    <cellStyle name="20% - Accent1 9 5 2" xfId="3488"/>
    <cellStyle name="20% - Accent1 9 5 2 2" xfId="8112"/>
    <cellStyle name="20% - Accent1 9 5 2 2 2" xfId="15902"/>
    <cellStyle name="20% - Accent1 9 5 2 2 2 2" xfId="33523"/>
    <cellStyle name="20% - Accent1 9 5 2 2 3" xfId="26512"/>
    <cellStyle name="20% - Accent1 9 5 2 3" xfId="12218"/>
    <cellStyle name="20% - Accent1 9 5 2 3 2" xfId="29875"/>
    <cellStyle name="20% - Accent1 9 5 2 4" xfId="23651"/>
    <cellStyle name="20% - Accent1 9 5 3" xfId="5535"/>
    <cellStyle name="20% - Accent1 9 5 3 2" xfId="8832"/>
    <cellStyle name="20% - Accent1 9 5 3 2 2" xfId="16621"/>
    <cellStyle name="20% - Accent1 9 5 3 2 2 2" xfId="34243"/>
    <cellStyle name="20% - Accent1 9 5 3 2 3" xfId="27206"/>
    <cellStyle name="20% - Accent1 9 5 3 3" xfId="13385"/>
    <cellStyle name="20% - Accent1 9 5 3 3 2" xfId="31011"/>
    <cellStyle name="20% - Accent1 9 5 3 4" xfId="24345"/>
    <cellStyle name="20% - Accent1 9 5 4" xfId="6165"/>
    <cellStyle name="20% - Accent1 9 5 4 2" xfId="9372"/>
    <cellStyle name="20% - Accent1 9 5 4 2 2" xfId="17160"/>
    <cellStyle name="20% - Accent1 9 5 4 2 2 2" xfId="34783"/>
    <cellStyle name="20% - Accent1 9 5 4 2 3" xfId="27742"/>
    <cellStyle name="20% - Accent1 9 5 4 3" xfId="13948"/>
    <cellStyle name="20% - Accent1 9 5 4 3 2" xfId="31569"/>
    <cellStyle name="20% - Accent1 9 5 4 4" xfId="24881"/>
    <cellStyle name="20% - Accent1 9 5 5" xfId="6702"/>
    <cellStyle name="20% - Accent1 9 5 5 2" xfId="9909"/>
    <cellStyle name="20% - Accent1 9 5 5 2 2" xfId="17696"/>
    <cellStyle name="20% - Accent1 9 5 5 2 2 2" xfId="35319"/>
    <cellStyle name="20% - Accent1 9 5 5 2 3" xfId="28278"/>
    <cellStyle name="20% - Accent1 9 5 5 3" xfId="14484"/>
    <cellStyle name="20% - Accent1 9 5 5 3 2" xfId="32105"/>
    <cellStyle name="20% - Accent1 9 5 5 4" xfId="25418"/>
    <cellStyle name="20% - Accent1 9 5 6" xfId="7536"/>
    <cellStyle name="20% - Accent1 9 5 6 2" xfId="15327"/>
    <cellStyle name="20% - Accent1 9 5 6 2 2" xfId="32948"/>
    <cellStyle name="20% - Accent1 9 5 6 3" xfId="25955"/>
    <cellStyle name="20% - Accent1 9 5 7" xfId="11098"/>
    <cellStyle name="20% - Accent1 9 5 7 2" xfId="28814"/>
    <cellStyle name="20% - Accent1 9 5 8" xfId="23094"/>
    <cellStyle name="20% - Accent1 9 5 9" xfId="51633"/>
    <cellStyle name="20% - Accent1 9 6" xfId="244"/>
    <cellStyle name="20% - Accent1 9 6 2" xfId="3489"/>
    <cellStyle name="20% - Accent1 9 6 2 2" xfId="8113"/>
    <cellStyle name="20% - Accent1 9 6 2 2 2" xfId="15903"/>
    <cellStyle name="20% - Accent1 9 6 2 2 2 2" xfId="33524"/>
    <cellStyle name="20% - Accent1 9 6 2 2 3" xfId="26513"/>
    <cellStyle name="20% - Accent1 9 6 2 3" xfId="12219"/>
    <cellStyle name="20% - Accent1 9 6 2 3 2" xfId="29876"/>
    <cellStyle name="20% - Accent1 9 6 2 4" xfId="23652"/>
    <cellStyle name="20% - Accent1 9 6 3" xfId="5536"/>
    <cellStyle name="20% - Accent1 9 6 3 2" xfId="8833"/>
    <cellStyle name="20% - Accent1 9 6 3 2 2" xfId="16622"/>
    <cellStyle name="20% - Accent1 9 6 3 2 2 2" xfId="34244"/>
    <cellStyle name="20% - Accent1 9 6 3 2 3" xfId="27207"/>
    <cellStyle name="20% - Accent1 9 6 3 3" xfId="13386"/>
    <cellStyle name="20% - Accent1 9 6 3 3 2" xfId="31012"/>
    <cellStyle name="20% - Accent1 9 6 3 4" xfId="24346"/>
    <cellStyle name="20% - Accent1 9 6 4" xfId="6166"/>
    <cellStyle name="20% - Accent1 9 6 4 2" xfId="9373"/>
    <cellStyle name="20% - Accent1 9 6 4 2 2" xfId="17161"/>
    <cellStyle name="20% - Accent1 9 6 4 2 2 2" xfId="34784"/>
    <cellStyle name="20% - Accent1 9 6 4 2 3" xfId="27743"/>
    <cellStyle name="20% - Accent1 9 6 4 3" xfId="13949"/>
    <cellStyle name="20% - Accent1 9 6 4 3 2" xfId="31570"/>
    <cellStyle name="20% - Accent1 9 6 4 4" xfId="24882"/>
    <cellStyle name="20% - Accent1 9 6 5" xfId="6703"/>
    <cellStyle name="20% - Accent1 9 6 5 2" xfId="9910"/>
    <cellStyle name="20% - Accent1 9 6 5 2 2" xfId="17697"/>
    <cellStyle name="20% - Accent1 9 6 5 2 2 2" xfId="35320"/>
    <cellStyle name="20% - Accent1 9 6 5 2 3" xfId="28279"/>
    <cellStyle name="20% - Accent1 9 6 5 3" xfId="14485"/>
    <cellStyle name="20% - Accent1 9 6 5 3 2" xfId="32106"/>
    <cellStyle name="20% - Accent1 9 6 5 4" xfId="25419"/>
    <cellStyle name="20% - Accent1 9 6 6" xfId="7537"/>
    <cellStyle name="20% - Accent1 9 6 6 2" xfId="15328"/>
    <cellStyle name="20% - Accent1 9 6 6 2 2" xfId="32949"/>
    <cellStyle name="20% - Accent1 9 6 6 3" xfId="25956"/>
    <cellStyle name="20% - Accent1 9 6 7" xfId="11099"/>
    <cellStyle name="20% - Accent1 9 6 7 2" xfId="28815"/>
    <cellStyle name="20% - Accent1 9 6 8" xfId="23095"/>
    <cellStyle name="20% - Accent1 9 6 9" xfId="51634"/>
    <cellStyle name="20% - Accent1 9 7" xfId="245"/>
    <cellStyle name="20% - Accent1 9 7 10" xfId="51635"/>
    <cellStyle name="20% - Accent1 9 7 2" xfId="246"/>
    <cellStyle name="20% - Accent1 9 7 2 2" xfId="8115"/>
    <cellStyle name="20% - Accent1 9 7 2 2 2" xfId="15905"/>
    <cellStyle name="20% - Accent1 9 7 2 2 2 2" xfId="33526"/>
    <cellStyle name="20% - Accent1 9 7 2 2 3" xfId="26515"/>
    <cellStyle name="20% - Accent1 9 7 2 3" xfId="12221"/>
    <cellStyle name="20% - Accent1 9 7 2 3 2" xfId="29878"/>
    <cellStyle name="20% - Accent1 9 7 2 4" xfId="23654"/>
    <cellStyle name="20% - Accent1 9 7 3" xfId="3490"/>
    <cellStyle name="20% - Accent1 9 7 3 2" xfId="8114"/>
    <cellStyle name="20% - Accent1 9 7 3 2 2" xfId="15904"/>
    <cellStyle name="20% - Accent1 9 7 3 2 2 2" xfId="33525"/>
    <cellStyle name="20% - Accent1 9 7 3 2 3" xfId="26514"/>
    <cellStyle name="20% - Accent1 9 7 3 3" xfId="12220"/>
    <cellStyle name="20% - Accent1 9 7 3 3 2" xfId="29877"/>
    <cellStyle name="20% - Accent1 9 7 3 4" xfId="23653"/>
    <cellStyle name="20% - Accent1 9 7 4" xfId="5537"/>
    <cellStyle name="20% - Accent1 9 7 4 2" xfId="8834"/>
    <cellStyle name="20% - Accent1 9 7 4 2 2" xfId="16623"/>
    <cellStyle name="20% - Accent1 9 7 4 2 2 2" xfId="34245"/>
    <cellStyle name="20% - Accent1 9 7 4 2 3" xfId="27208"/>
    <cellStyle name="20% - Accent1 9 7 4 3" xfId="13387"/>
    <cellStyle name="20% - Accent1 9 7 4 3 2" xfId="31013"/>
    <cellStyle name="20% - Accent1 9 7 4 4" xfId="24347"/>
    <cellStyle name="20% - Accent1 9 7 5" xfId="6167"/>
    <cellStyle name="20% - Accent1 9 7 5 2" xfId="9374"/>
    <cellStyle name="20% - Accent1 9 7 5 2 2" xfId="17162"/>
    <cellStyle name="20% - Accent1 9 7 5 2 2 2" xfId="34785"/>
    <cellStyle name="20% - Accent1 9 7 5 2 3" xfId="27744"/>
    <cellStyle name="20% - Accent1 9 7 5 3" xfId="13950"/>
    <cellStyle name="20% - Accent1 9 7 5 3 2" xfId="31571"/>
    <cellStyle name="20% - Accent1 9 7 5 4" xfId="24883"/>
    <cellStyle name="20% - Accent1 9 7 6" xfId="6704"/>
    <cellStyle name="20% - Accent1 9 7 6 2" xfId="9911"/>
    <cellStyle name="20% - Accent1 9 7 6 2 2" xfId="17698"/>
    <cellStyle name="20% - Accent1 9 7 6 2 2 2" xfId="35321"/>
    <cellStyle name="20% - Accent1 9 7 6 2 3" xfId="28280"/>
    <cellStyle name="20% - Accent1 9 7 6 3" xfId="14486"/>
    <cellStyle name="20% - Accent1 9 7 6 3 2" xfId="32107"/>
    <cellStyle name="20% - Accent1 9 7 6 4" xfId="25420"/>
    <cellStyle name="20% - Accent1 9 7 7" xfId="7538"/>
    <cellStyle name="20% - Accent1 9 7 7 2" xfId="15329"/>
    <cellStyle name="20% - Accent1 9 7 7 2 2" xfId="32950"/>
    <cellStyle name="20% - Accent1 9 7 7 3" xfId="25957"/>
    <cellStyle name="20% - Accent1 9 7 8" xfId="11100"/>
    <cellStyle name="20% - Accent1 9 7 8 2" xfId="28816"/>
    <cellStyle name="20% - Accent1 9 7 9" xfId="23096"/>
    <cellStyle name="20% - Accent1 9 8" xfId="3491"/>
    <cellStyle name="20% - Accent1 9 8 2" xfId="8116"/>
    <cellStyle name="20% - Accent1 9 8 2 2" xfId="15906"/>
    <cellStyle name="20% - Accent1 9 8 2 2 2" xfId="33527"/>
    <cellStyle name="20% - Accent1 9 8 2 3" xfId="26516"/>
    <cellStyle name="20% - Accent1 9 8 3" xfId="12222"/>
    <cellStyle name="20% - Accent1 9 8 3 2" xfId="29879"/>
    <cellStyle name="20% - Accent1 9 8 4" xfId="23655"/>
    <cellStyle name="20% - Accent1 9 9" xfId="3492"/>
    <cellStyle name="20% - Accent1 9 9 2" xfId="8117"/>
    <cellStyle name="20% - Accent1 9 9 2 2" xfId="15907"/>
    <cellStyle name="20% - Accent1 9 9 2 2 2" xfId="33528"/>
    <cellStyle name="20% - Accent1 9 9 2 3" xfId="26517"/>
    <cellStyle name="20% - Accent1 9 9 3" xfId="12223"/>
    <cellStyle name="20% - Accent1 9 9 3 2" xfId="29880"/>
    <cellStyle name="20% - Accent1 9 9 4" xfId="23656"/>
    <cellStyle name="20% - Accent2" xfId="168" builtinId="34" customBuiltin="1"/>
    <cellStyle name="20% - Accent2 10" xfId="247"/>
    <cellStyle name="20% - Accent2 10 2" xfId="248"/>
    <cellStyle name="20% - Accent2 10 3" xfId="249"/>
    <cellStyle name="20% - Accent2 10 3 2" xfId="8118"/>
    <cellStyle name="20% - Accent2 10 3 2 2" xfId="15908"/>
    <cellStyle name="20% - Accent2 10 3 2 2 2" xfId="33529"/>
    <cellStyle name="20% - Accent2 10 3 2 3" xfId="26518"/>
    <cellStyle name="20% - Accent2 10 3 3" xfId="12224"/>
    <cellStyle name="20% - Accent2 10 3 3 2" xfId="29881"/>
    <cellStyle name="20% - Accent2 10 3 4" xfId="23657"/>
    <cellStyle name="20% - Accent2 10 3 5" xfId="51636"/>
    <cellStyle name="20% - Accent2 10 4" xfId="7539"/>
    <cellStyle name="20% - Accent2 10 4 2" xfId="15330"/>
    <cellStyle name="20% - Accent2 10 4 2 2" xfId="32951"/>
    <cellStyle name="20% - Accent2 10 4 3" xfId="25958"/>
    <cellStyle name="20% - Accent2 10 5" xfId="11101"/>
    <cellStyle name="20% - Accent2 10 5 2" xfId="28817"/>
    <cellStyle name="20% - Accent2 10 6" xfId="22023"/>
    <cellStyle name="20% - Accent2 10 6 2" xfId="38727"/>
    <cellStyle name="20% - Accent2 10 7" xfId="23097"/>
    <cellStyle name="20% - Accent2 11" xfId="250"/>
    <cellStyle name="20% - Accent2 11 10" xfId="3493"/>
    <cellStyle name="20% - Accent2 11 10 2" xfId="8119"/>
    <cellStyle name="20% - Accent2 11 10 2 2" xfId="15909"/>
    <cellStyle name="20% - Accent2 11 10 2 2 2" xfId="33530"/>
    <cellStyle name="20% - Accent2 11 10 2 3" xfId="26519"/>
    <cellStyle name="20% - Accent2 11 10 3" xfId="12225"/>
    <cellStyle name="20% - Accent2 11 10 3 2" xfId="29882"/>
    <cellStyle name="20% - Accent2 11 10 4" xfId="23658"/>
    <cellStyle name="20% - Accent2 11 11" xfId="5538"/>
    <cellStyle name="20% - Accent2 11 11 2" xfId="8835"/>
    <cellStyle name="20% - Accent2 11 11 2 2" xfId="16624"/>
    <cellStyle name="20% - Accent2 11 11 2 2 2" xfId="34246"/>
    <cellStyle name="20% - Accent2 11 11 2 3" xfId="27209"/>
    <cellStyle name="20% - Accent2 11 11 3" xfId="13388"/>
    <cellStyle name="20% - Accent2 11 11 3 2" xfId="31014"/>
    <cellStyle name="20% - Accent2 11 11 4" xfId="24348"/>
    <cellStyle name="20% - Accent2 11 12" xfId="6168"/>
    <cellStyle name="20% - Accent2 11 12 2" xfId="9375"/>
    <cellStyle name="20% - Accent2 11 12 2 2" xfId="17163"/>
    <cellStyle name="20% - Accent2 11 12 2 2 2" xfId="34786"/>
    <cellStyle name="20% - Accent2 11 12 2 3" xfId="27745"/>
    <cellStyle name="20% - Accent2 11 12 3" xfId="13951"/>
    <cellStyle name="20% - Accent2 11 12 3 2" xfId="31572"/>
    <cellStyle name="20% - Accent2 11 12 4" xfId="24884"/>
    <cellStyle name="20% - Accent2 11 13" xfId="6705"/>
    <cellStyle name="20% - Accent2 11 13 2" xfId="9912"/>
    <cellStyle name="20% - Accent2 11 13 2 2" xfId="17699"/>
    <cellStyle name="20% - Accent2 11 13 2 2 2" xfId="35322"/>
    <cellStyle name="20% - Accent2 11 13 2 3" xfId="28281"/>
    <cellStyle name="20% - Accent2 11 13 3" xfId="14487"/>
    <cellStyle name="20% - Accent2 11 13 3 2" xfId="32108"/>
    <cellStyle name="20% - Accent2 11 13 4" xfId="25421"/>
    <cellStyle name="20% - Accent2 11 14" xfId="7540"/>
    <cellStyle name="20% - Accent2 11 14 2" xfId="15331"/>
    <cellStyle name="20% - Accent2 11 14 2 2" xfId="32952"/>
    <cellStyle name="20% - Accent2 11 14 3" xfId="25959"/>
    <cellStyle name="20% - Accent2 11 15" xfId="11102"/>
    <cellStyle name="20% - Accent2 11 15 2" xfId="28818"/>
    <cellStyle name="20% - Accent2 11 16" xfId="22024"/>
    <cellStyle name="20% - Accent2 11 16 2" xfId="38728"/>
    <cellStyle name="20% - Accent2 11 17" xfId="23098"/>
    <cellStyle name="20% - Accent2 11 18" xfId="51637"/>
    <cellStyle name="20% - Accent2 11 2" xfId="251"/>
    <cellStyle name="20% - Accent2 11 2 2" xfId="3494"/>
    <cellStyle name="20% - Accent2 11 2 2 2" xfId="8120"/>
    <cellStyle name="20% - Accent2 11 2 2 2 2" xfId="15910"/>
    <cellStyle name="20% - Accent2 11 2 2 2 2 2" xfId="33531"/>
    <cellStyle name="20% - Accent2 11 2 2 2 3" xfId="26520"/>
    <cellStyle name="20% - Accent2 11 2 2 3" xfId="12226"/>
    <cellStyle name="20% - Accent2 11 2 2 3 2" xfId="29883"/>
    <cellStyle name="20% - Accent2 11 2 2 4" xfId="23659"/>
    <cellStyle name="20% - Accent2 11 2 3" xfId="5539"/>
    <cellStyle name="20% - Accent2 11 2 3 2" xfId="8836"/>
    <cellStyle name="20% - Accent2 11 2 3 2 2" xfId="16625"/>
    <cellStyle name="20% - Accent2 11 2 3 2 2 2" xfId="34247"/>
    <cellStyle name="20% - Accent2 11 2 3 2 3" xfId="27210"/>
    <cellStyle name="20% - Accent2 11 2 3 3" xfId="13389"/>
    <cellStyle name="20% - Accent2 11 2 3 3 2" xfId="31015"/>
    <cellStyle name="20% - Accent2 11 2 3 4" xfId="24349"/>
    <cellStyle name="20% - Accent2 11 2 4" xfId="6169"/>
    <cellStyle name="20% - Accent2 11 2 4 2" xfId="9376"/>
    <cellStyle name="20% - Accent2 11 2 4 2 2" xfId="17164"/>
    <cellStyle name="20% - Accent2 11 2 4 2 2 2" xfId="34787"/>
    <cellStyle name="20% - Accent2 11 2 4 2 3" xfId="27746"/>
    <cellStyle name="20% - Accent2 11 2 4 3" xfId="13952"/>
    <cellStyle name="20% - Accent2 11 2 4 3 2" xfId="31573"/>
    <cellStyle name="20% - Accent2 11 2 4 4" xfId="24885"/>
    <cellStyle name="20% - Accent2 11 2 5" xfId="6706"/>
    <cellStyle name="20% - Accent2 11 2 5 2" xfId="9913"/>
    <cellStyle name="20% - Accent2 11 2 5 2 2" xfId="17700"/>
    <cellStyle name="20% - Accent2 11 2 5 2 2 2" xfId="35323"/>
    <cellStyle name="20% - Accent2 11 2 5 2 3" xfId="28282"/>
    <cellStyle name="20% - Accent2 11 2 5 3" xfId="14488"/>
    <cellStyle name="20% - Accent2 11 2 5 3 2" xfId="32109"/>
    <cellStyle name="20% - Accent2 11 2 5 4" xfId="25422"/>
    <cellStyle name="20% - Accent2 11 2 6" xfId="7541"/>
    <cellStyle name="20% - Accent2 11 2 6 2" xfId="15332"/>
    <cellStyle name="20% - Accent2 11 2 6 2 2" xfId="32953"/>
    <cellStyle name="20% - Accent2 11 2 6 3" xfId="25960"/>
    <cellStyle name="20% - Accent2 11 2 7" xfId="11103"/>
    <cellStyle name="20% - Accent2 11 2 7 2" xfId="28819"/>
    <cellStyle name="20% - Accent2 11 2 8" xfId="23099"/>
    <cellStyle name="20% - Accent2 11 2 9" xfId="51638"/>
    <cellStyle name="20% - Accent2 11 3" xfId="252"/>
    <cellStyle name="20% - Accent2 11 3 10" xfId="23100"/>
    <cellStyle name="20% - Accent2 11 3 11" xfId="51639"/>
    <cellStyle name="20% - Accent2 11 3 2" xfId="253"/>
    <cellStyle name="20% - Accent2 11 3 2 2" xfId="3496"/>
    <cellStyle name="20% - Accent2 11 3 2 2 2" xfId="8122"/>
    <cellStyle name="20% - Accent2 11 3 2 2 2 2" xfId="15912"/>
    <cellStyle name="20% - Accent2 11 3 2 2 2 2 2" xfId="33533"/>
    <cellStyle name="20% - Accent2 11 3 2 2 2 3" xfId="26522"/>
    <cellStyle name="20% - Accent2 11 3 2 2 3" xfId="12228"/>
    <cellStyle name="20% - Accent2 11 3 2 2 3 2" xfId="29885"/>
    <cellStyle name="20% - Accent2 11 3 2 2 4" xfId="23661"/>
    <cellStyle name="20% - Accent2 11 3 2 3" xfId="5541"/>
    <cellStyle name="20% - Accent2 11 3 2 3 2" xfId="8838"/>
    <cellStyle name="20% - Accent2 11 3 2 3 2 2" xfId="16627"/>
    <cellStyle name="20% - Accent2 11 3 2 3 2 2 2" xfId="34249"/>
    <cellStyle name="20% - Accent2 11 3 2 3 2 3" xfId="27212"/>
    <cellStyle name="20% - Accent2 11 3 2 3 3" xfId="13391"/>
    <cellStyle name="20% - Accent2 11 3 2 3 3 2" xfId="31017"/>
    <cellStyle name="20% - Accent2 11 3 2 3 4" xfId="24351"/>
    <cellStyle name="20% - Accent2 11 3 2 4" xfId="6171"/>
    <cellStyle name="20% - Accent2 11 3 2 4 2" xfId="9378"/>
    <cellStyle name="20% - Accent2 11 3 2 4 2 2" xfId="17166"/>
    <cellStyle name="20% - Accent2 11 3 2 4 2 2 2" xfId="34789"/>
    <cellStyle name="20% - Accent2 11 3 2 4 2 3" xfId="27748"/>
    <cellStyle name="20% - Accent2 11 3 2 4 3" xfId="13954"/>
    <cellStyle name="20% - Accent2 11 3 2 4 3 2" xfId="31575"/>
    <cellStyle name="20% - Accent2 11 3 2 4 4" xfId="24887"/>
    <cellStyle name="20% - Accent2 11 3 2 5" xfId="6708"/>
    <cellStyle name="20% - Accent2 11 3 2 5 2" xfId="9915"/>
    <cellStyle name="20% - Accent2 11 3 2 5 2 2" xfId="17702"/>
    <cellStyle name="20% - Accent2 11 3 2 5 2 2 2" xfId="35325"/>
    <cellStyle name="20% - Accent2 11 3 2 5 2 3" xfId="28284"/>
    <cellStyle name="20% - Accent2 11 3 2 5 3" xfId="14490"/>
    <cellStyle name="20% - Accent2 11 3 2 5 3 2" xfId="32111"/>
    <cellStyle name="20% - Accent2 11 3 2 5 4" xfId="25424"/>
    <cellStyle name="20% - Accent2 11 3 2 6" xfId="7543"/>
    <cellStyle name="20% - Accent2 11 3 2 6 2" xfId="15334"/>
    <cellStyle name="20% - Accent2 11 3 2 6 2 2" xfId="32955"/>
    <cellStyle name="20% - Accent2 11 3 2 6 3" xfId="25962"/>
    <cellStyle name="20% - Accent2 11 3 2 7" xfId="11105"/>
    <cellStyle name="20% - Accent2 11 3 2 7 2" xfId="28821"/>
    <cellStyle name="20% - Accent2 11 3 2 8" xfId="23101"/>
    <cellStyle name="20% - Accent2 11 3 2 9" xfId="51640"/>
    <cellStyle name="20% - Accent2 11 3 3" xfId="3497"/>
    <cellStyle name="20% - Accent2 11 3 3 2" xfId="5542"/>
    <cellStyle name="20% - Accent2 11 3 3 2 2" xfId="8839"/>
    <cellStyle name="20% - Accent2 11 3 3 2 2 2" xfId="16628"/>
    <cellStyle name="20% - Accent2 11 3 3 2 2 2 2" xfId="34250"/>
    <cellStyle name="20% - Accent2 11 3 3 2 2 3" xfId="27213"/>
    <cellStyle name="20% - Accent2 11 3 3 2 3" xfId="13392"/>
    <cellStyle name="20% - Accent2 11 3 3 2 3 2" xfId="31018"/>
    <cellStyle name="20% - Accent2 11 3 3 2 4" xfId="24352"/>
    <cellStyle name="20% - Accent2 11 3 3 3" xfId="6172"/>
    <cellStyle name="20% - Accent2 11 3 3 3 2" xfId="9379"/>
    <cellStyle name="20% - Accent2 11 3 3 3 2 2" xfId="17167"/>
    <cellStyle name="20% - Accent2 11 3 3 3 2 2 2" xfId="34790"/>
    <cellStyle name="20% - Accent2 11 3 3 3 2 3" xfId="27749"/>
    <cellStyle name="20% - Accent2 11 3 3 3 3" xfId="13955"/>
    <cellStyle name="20% - Accent2 11 3 3 3 3 2" xfId="31576"/>
    <cellStyle name="20% - Accent2 11 3 3 3 4" xfId="24888"/>
    <cellStyle name="20% - Accent2 11 3 3 4" xfId="6709"/>
    <cellStyle name="20% - Accent2 11 3 3 4 2" xfId="9916"/>
    <cellStyle name="20% - Accent2 11 3 3 4 2 2" xfId="17703"/>
    <cellStyle name="20% - Accent2 11 3 3 4 2 2 2" xfId="35326"/>
    <cellStyle name="20% - Accent2 11 3 3 4 2 3" xfId="28285"/>
    <cellStyle name="20% - Accent2 11 3 3 4 3" xfId="14491"/>
    <cellStyle name="20% - Accent2 11 3 3 4 3 2" xfId="32112"/>
    <cellStyle name="20% - Accent2 11 3 3 4 4" xfId="25425"/>
    <cellStyle name="20% - Accent2 11 3 3 5" xfId="8123"/>
    <cellStyle name="20% - Accent2 11 3 3 5 2" xfId="15913"/>
    <cellStyle name="20% - Accent2 11 3 3 5 2 2" xfId="33534"/>
    <cellStyle name="20% - Accent2 11 3 3 5 3" xfId="26523"/>
    <cellStyle name="20% - Accent2 11 3 3 6" xfId="12229"/>
    <cellStyle name="20% - Accent2 11 3 3 6 2" xfId="29886"/>
    <cellStyle name="20% - Accent2 11 3 3 7" xfId="23662"/>
    <cellStyle name="20% - Accent2 11 3 4" xfId="3495"/>
    <cellStyle name="20% - Accent2 11 3 4 2" xfId="8121"/>
    <cellStyle name="20% - Accent2 11 3 4 2 2" xfId="15911"/>
    <cellStyle name="20% - Accent2 11 3 4 2 2 2" xfId="33532"/>
    <cellStyle name="20% - Accent2 11 3 4 2 3" xfId="26521"/>
    <cellStyle name="20% - Accent2 11 3 4 3" xfId="12227"/>
    <cellStyle name="20% - Accent2 11 3 4 3 2" xfId="29884"/>
    <cellStyle name="20% - Accent2 11 3 4 4" xfId="23660"/>
    <cellStyle name="20% - Accent2 11 3 5" xfId="5540"/>
    <cellStyle name="20% - Accent2 11 3 5 2" xfId="8837"/>
    <cellStyle name="20% - Accent2 11 3 5 2 2" xfId="16626"/>
    <cellStyle name="20% - Accent2 11 3 5 2 2 2" xfId="34248"/>
    <cellStyle name="20% - Accent2 11 3 5 2 3" xfId="27211"/>
    <cellStyle name="20% - Accent2 11 3 5 3" xfId="13390"/>
    <cellStyle name="20% - Accent2 11 3 5 3 2" xfId="31016"/>
    <cellStyle name="20% - Accent2 11 3 5 4" xfId="24350"/>
    <cellStyle name="20% - Accent2 11 3 6" xfId="6170"/>
    <cellStyle name="20% - Accent2 11 3 6 2" xfId="9377"/>
    <cellStyle name="20% - Accent2 11 3 6 2 2" xfId="17165"/>
    <cellStyle name="20% - Accent2 11 3 6 2 2 2" xfId="34788"/>
    <cellStyle name="20% - Accent2 11 3 6 2 3" xfId="27747"/>
    <cellStyle name="20% - Accent2 11 3 6 3" xfId="13953"/>
    <cellStyle name="20% - Accent2 11 3 6 3 2" xfId="31574"/>
    <cellStyle name="20% - Accent2 11 3 6 4" xfId="24886"/>
    <cellStyle name="20% - Accent2 11 3 7" xfId="6707"/>
    <cellStyle name="20% - Accent2 11 3 7 2" xfId="9914"/>
    <cellStyle name="20% - Accent2 11 3 7 2 2" xfId="17701"/>
    <cellStyle name="20% - Accent2 11 3 7 2 2 2" xfId="35324"/>
    <cellStyle name="20% - Accent2 11 3 7 2 3" xfId="28283"/>
    <cellStyle name="20% - Accent2 11 3 7 3" xfId="14489"/>
    <cellStyle name="20% - Accent2 11 3 7 3 2" xfId="32110"/>
    <cellStyle name="20% - Accent2 11 3 7 4" xfId="25423"/>
    <cellStyle name="20% - Accent2 11 3 8" xfId="7542"/>
    <cellStyle name="20% - Accent2 11 3 8 2" xfId="15333"/>
    <cellStyle name="20% - Accent2 11 3 8 2 2" xfId="32954"/>
    <cellStyle name="20% - Accent2 11 3 8 3" xfId="25961"/>
    <cellStyle name="20% - Accent2 11 3 9" xfId="11104"/>
    <cellStyle name="20% - Accent2 11 3 9 2" xfId="28820"/>
    <cellStyle name="20% - Accent2 11 4" xfId="254"/>
    <cellStyle name="20% - Accent2 11 4 2" xfId="3498"/>
    <cellStyle name="20% - Accent2 11 4 2 2" xfId="8124"/>
    <cellStyle name="20% - Accent2 11 4 2 2 2" xfId="15914"/>
    <cellStyle name="20% - Accent2 11 4 2 2 2 2" xfId="33535"/>
    <cellStyle name="20% - Accent2 11 4 2 2 3" xfId="26524"/>
    <cellStyle name="20% - Accent2 11 4 2 3" xfId="12230"/>
    <cellStyle name="20% - Accent2 11 4 2 3 2" xfId="29887"/>
    <cellStyle name="20% - Accent2 11 4 2 4" xfId="23663"/>
    <cellStyle name="20% - Accent2 11 4 3" xfId="5543"/>
    <cellStyle name="20% - Accent2 11 4 3 2" xfId="8840"/>
    <cellStyle name="20% - Accent2 11 4 3 2 2" xfId="16629"/>
    <cellStyle name="20% - Accent2 11 4 3 2 2 2" xfId="34251"/>
    <cellStyle name="20% - Accent2 11 4 3 2 3" xfId="27214"/>
    <cellStyle name="20% - Accent2 11 4 3 3" xfId="13393"/>
    <cellStyle name="20% - Accent2 11 4 3 3 2" xfId="31019"/>
    <cellStyle name="20% - Accent2 11 4 3 4" xfId="24353"/>
    <cellStyle name="20% - Accent2 11 4 4" xfId="6173"/>
    <cellStyle name="20% - Accent2 11 4 4 2" xfId="9380"/>
    <cellStyle name="20% - Accent2 11 4 4 2 2" xfId="17168"/>
    <cellStyle name="20% - Accent2 11 4 4 2 2 2" xfId="34791"/>
    <cellStyle name="20% - Accent2 11 4 4 2 3" xfId="27750"/>
    <cellStyle name="20% - Accent2 11 4 4 3" xfId="13956"/>
    <cellStyle name="20% - Accent2 11 4 4 3 2" xfId="31577"/>
    <cellStyle name="20% - Accent2 11 4 4 4" xfId="24889"/>
    <cellStyle name="20% - Accent2 11 4 5" xfId="6710"/>
    <cellStyle name="20% - Accent2 11 4 5 2" xfId="9917"/>
    <cellStyle name="20% - Accent2 11 4 5 2 2" xfId="17704"/>
    <cellStyle name="20% - Accent2 11 4 5 2 2 2" xfId="35327"/>
    <cellStyle name="20% - Accent2 11 4 5 2 3" xfId="28286"/>
    <cellStyle name="20% - Accent2 11 4 5 3" xfId="14492"/>
    <cellStyle name="20% - Accent2 11 4 5 3 2" xfId="32113"/>
    <cellStyle name="20% - Accent2 11 4 5 4" xfId="25426"/>
    <cellStyle name="20% - Accent2 11 4 6" xfId="7544"/>
    <cellStyle name="20% - Accent2 11 4 6 2" xfId="15335"/>
    <cellStyle name="20% - Accent2 11 4 6 2 2" xfId="32956"/>
    <cellStyle name="20% - Accent2 11 4 6 3" xfId="25963"/>
    <cellStyle name="20% - Accent2 11 4 7" xfId="11106"/>
    <cellStyle name="20% - Accent2 11 4 7 2" xfId="28822"/>
    <cellStyle name="20% - Accent2 11 4 8" xfId="23102"/>
    <cellStyle name="20% - Accent2 11 4 9" xfId="51641"/>
    <cellStyle name="20% - Accent2 11 5" xfId="255"/>
    <cellStyle name="20% - Accent2 11 5 2" xfId="3499"/>
    <cellStyle name="20% - Accent2 11 5 2 2" xfId="8125"/>
    <cellStyle name="20% - Accent2 11 5 2 2 2" xfId="15915"/>
    <cellStyle name="20% - Accent2 11 5 2 2 2 2" xfId="33536"/>
    <cellStyle name="20% - Accent2 11 5 2 2 3" xfId="26525"/>
    <cellStyle name="20% - Accent2 11 5 2 3" xfId="12231"/>
    <cellStyle name="20% - Accent2 11 5 2 3 2" xfId="29888"/>
    <cellStyle name="20% - Accent2 11 5 2 4" xfId="23664"/>
    <cellStyle name="20% - Accent2 11 5 3" xfId="5544"/>
    <cellStyle name="20% - Accent2 11 5 3 2" xfId="8841"/>
    <cellStyle name="20% - Accent2 11 5 3 2 2" xfId="16630"/>
    <cellStyle name="20% - Accent2 11 5 3 2 2 2" xfId="34252"/>
    <cellStyle name="20% - Accent2 11 5 3 2 3" xfId="27215"/>
    <cellStyle name="20% - Accent2 11 5 3 3" xfId="13394"/>
    <cellStyle name="20% - Accent2 11 5 3 3 2" xfId="31020"/>
    <cellStyle name="20% - Accent2 11 5 3 4" xfId="24354"/>
    <cellStyle name="20% - Accent2 11 5 4" xfId="6174"/>
    <cellStyle name="20% - Accent2 11 5 4 2" xfId="9381"/>
    <cellStyle name="20% - Accent2 11 5 4 2 2" xfId="17169"/>
    <cellStyle name="20% - Accent2 11 5 4 2 2 2" xfId="34792"/>
    <cellStyle name="20% - Accent2 11 5 4 2 3" xfId="27751"/>
    <cellStyle name="20% - Accent2 11 5 4 3" xfId="13957"/>
    <cellStyle name="20% - Accent2 11 5 4 3 2" xfId="31578"/>
    <cellStyle name="20% - Accent2 11 5 4 4" xfId="24890"/>
    <cellStyle name="20% - Accent2 11 5 5" xfId="6711"/>
    <cellStyle name="20% - Accent2 11 5 5 2" xfId="9918"/>
    <cellStyle name="20% - Accent2 11 5 5 2 2" xfId="17705"/>
    <cellStyle name="20% - Accent2 11 5 5 2 2 2" xfId="35328"/>
    <cellStyle name="20% - Accent2 11 5 5 2 3" xfId="28287"/>
    <cellStyle name="20% - Accent2 11 5 5 3" xfId="14493"/>
    <cellStyle name="20% - Accent2 11 5 5 3 2" xfId="32114"/>
    <cellStyle name="20% - Accent2 11 5 5 4" xfId="25427"/>
    <cellStyle name="20% - Accent2 11 5 6" xfId="7545"/>
    <cellStyle name="20% - Accent2 11 5 6 2" xfId="15336"/>
    <cellStyle name="20% - Accent2 11 5 6 2 2" xfId="32957"/>
    <cellStyle name="20% - Accent2 11 5 6 3" xfId="25964"/>
    <cellStyle name="20% - Accent2 11 5 7" xfId="11107"/>
    <cellStyle name="20% - Accent2 11 5 7 2" xfId="28823"/>
    <cellStyle name="20% - Accent2 11 5 8" xfId="23103"/>
    <cellStyle name="20% - Accent2 11 5 9" xfId="51642"/>
    <cellStyle name="20% - Accent2 11 6" xfId="256"/>
    <cellStyle name="20% - Accent2 11 6 2" xfId="3500"/>
    <cellStyle name="20% - Accent2 11 6 2 2" xfId="8126"/>
    <cellStyle name="20% - Accent2 11 6 2 2 2" xfId="15916"/>
    <cellStyle name="20% - Accent2 11 6 2 2 2 2" xfId="33537"/>
    <cellStyle name="20% - Accent2 11 6 2 2 3" xfId="26526"/>
    <cellStyle name="20% - Accent2 11 6 2 3" xfId="12232"/>
    <cellStyle name="20% - Accent2 11 6 2 3 2" xfId="29889"/>
    <cellStyle name="20% - Accent2 11 6 2 4" xfId="23665"/>
    <cellStyle name="20% - Accent2 11 6 3" xfId="5545"/>
    <cellStyle name="20% - Accent2 11 6 3 2" xfId="8842"/>
    <cellStyle name="20% - Accent2 11 6 3 2 2" xfId="16631"/>
    <cellStyle name="20% - Accent2 11 6 3 2 2 2" xfId="34253"/>
    <cellStyle name="20% - Accent2 11 6 3 2 3" xfId="27216"/>
    <cellStyle name="20% - Accent2 11 6 3 3" xfId="13395"/>
    <cellStyle name="20% - Accent2 11 6 3 3 2" xfId="31021"/>
    <cellStyle name="20% - Accent2 11 6 3 4" xfId="24355"/>
    <cellStyle name="20% - Accent2 11 6 4" xfId="6175"/>
    <cellStyle name="20% - Accent2 11 6 4 2" xfId="9382"/>
    <cellStyle name="20% - Accent2 11 6 4 2 2" xfId="17170"/>
    <cellStyle name="20% - Accent2 11 6 4 2 2 2" xfId="34793"/>
    <cellStyle name="20% - Accent2 11 6 4 2 3" xfId="27752"/>
    <cellStyle name="20% - Accent2 11 6 4 3" xfId="13958"/>
    <cellStyle name="20% - Accent2 11 6 4 3 2" xfId="31579"/>
    <cellStyle name="20% - Accent2 11 6 4 4" xfId="24891"/>
    <cellStyle name="20% - Accent2 11 6 5" xfId="6712"/>
    <cellStyle name="20% - Accent2 11 6 5 2" xfId="9919"/>
    <cellStyle name="20% - Accent2 11 6 5 2 2" xfId="17706"/>
    <cellStyle name="20% - Accent2 11 6 5 2 2 2" xfId="35329"/>
    <cellStyle name="20% - Accent2 11 6 5 2 3" xfId="28288"/>
    <cellStyle name="20% - Accent2 11 6 5 3" xfId="14494"/>
    <cellStyle name="20% - Accent2 11 6 5 3 2" xfId="32115"/>
    <cellStyle name="20% - Accent2 11 6 5 4" xfId="25428"/>
    <cellStyle name="20% - Accent2 11 6 6" xfId="7546"/>
    <cellStyle name="20% - Accent2 11 6 6 2" xfId="15337"/>
    <cellStyle name="20% - Accent2 11 6 6 2 2" xfId="32958"/>
    <cellStyle name="20% - Accent2 11 6 6 3" xfId="25965"/>
    <cellStyle name="20% - Accent2 11 6 7" xfId="11108"/>
    <cellStyle name="20% - Accent2 11 6 7 2" xfId="28824"/>
    <cellStyle name="20% - Accent2 11 6 8" xfId="23104"/>
    <cellStyle name="20% - Accent2 11 6 9" xfId="51643"/>
    <cellStyle name="20% - Accent2 11 7" xfId="257"/>
    <cellStyle name="20% - Accent2 11 7 10" xfId="51644"/>
    <cellStyle name="20% - Accent2 11 7 2" xfId="258"/>
    <cellStyle name="20% - Accent2 11 7 2 2" xfId="8128"/>
    <cellStyle name="20% - Accent2 11 7 2 2 2" xfId="15918"/>
    <cellStyle name="20% - Accent2 11 7 2 2 2 2" xfId="33539"/>
    <cellStyle name="20% - Accent2 11 7 2 2 3" xfId="26528"/>
    <cellStyle name="20% - Accent2 11 7 2 3" xfId="12234"/>
    <cellStyle name="20% - Accent2 11 7 2 3 2" xfId="29891"/>
    <cellStyle name="20% - Accent2 11 7 2 4" xfId="23667"/>
    <cellStyle name="20% - Accent2 11 7 3" xfId="3501"/>
    <cellStyle name="20% - Accent2 11 7 3 2" xfId="8127"/>
    <cellStyle name="20% - Accent2 11 7 3 2 2" xfId="15917"/>
    <cellStyle name="20% - Accent2 11 7 3 2 2 2" xfId="33538"/>
    <cellStyle name="20% - Accent2 11 7 3 2 3" xfId="26527"/>
    <cellStyle name="20% - Accent2 11 7 3 3" xfId="12233"/>
    <cellStyle name="20% - Accent2 11 7 3 3 2" xfId="29890"/>
    <cellStyle name="20% - Accent2 11 7 3 4" xfId="23666"/>
    <cellStyle name="20% - Accent2 11 7 4" xfId="5546"/>
    <cellStyle name="20% - Accent2 11 7 4 2" xfId="8843"/>
    <cellStyle name="20% - Accent2 11 7 4 2 2" xfId="16632"/>
    <cellStyle name="20% - Accent2 11 7 4 2 2 2" xfId="34254"/>
    <cellStyle name="20% - Accent2 11 7 4 2 3" xfId="27217"/>
    <cellStyle name="20% - Accent2 11 7 4 3" xfId="13396"/>
    <cellStyle name="20% - Accent2 11 7 4 3 2" xfId="31022"/>
    <cellStyle name="20% - Accent2 11 7 4 4" xfId="24356"/>
    <cellStyle name="20% - Accent2 11 7 5" xfId="6176"/>
    <cellStyle name="20% - Accent2 11 7 5 2" xfId="9383"/>
    <cellStyle name="20% - Accent2 11 7 5 2 2" xfId="17171"/>
    <cellStyle name="20% - Accent2 11 7 5 2 2 2" xfId="34794"/>
    <cellStyle name="20% - Accent2 11 7 5 2 3" xfId="27753"/>
    <cellStyle name="20% - Accent2 11 7 5 3" xfId="13959"/>
    <cellStyle name="20% - Accent2 11 7 5 3 2" xfId="31580"/>
    <cellStyle name="20% - Accent2 11 7 5 4" xfId="24892"/>
    <cellStyle name="20% - Accent2 11 7 6" xfId="6713"/>
    <cellStyle name="20% - Accent2 11 7 6 2" xfId="9920"/>
    <cellStyle name="20% - Accent2 11 7 6 2 2" xfId="17707"/>
    <cellStyle name="20% - Accent2 11 7 6 2 2 2" xfId="35330"/>
    <cellStyle name="20% - Accent2 11 7 6 2 3" xfId="28289"/>
    <cellStyle name="20% - Accent2 11 7 6 3" xfId="14495"/>
    <cellStyle name="20% - Accent2 11 7 6 3 2" xfId="32116"/>
    <cellStyle name="20% - Accent2 11 7 6 4" xfId="25429"/>
    <cellStyle name="20% - Accent2 11 7 7" xfId="7547"/>
    <cellStyle name="20% - Accent2 11 7 7 2" xfId="15338"/>
    <cellStyle name="20% - Accent2 11 7 7 2 2" xfId="32959"/>
    <cellStyle name="20% - Accent2 11 7 7 3" xfId="25966"/>
    <cellStyle name="20% - Accent2 11 7 8" xfId="11109"/>
    <cellStyle name="20% - Accent2 11 7 8 2" xfId="28825"/>
    <cellStyle name="20% - Accent2 11 7 9" xfId="23105"/>
    <cellStyle name="20% - Accent2 11 8" xfId="3502"/>
    <cellStyle name="20% - Accent2 11 8 2" xfId="8129"/>
    <cellStyle name="20% - Accent2 11 8 2 2" xfId="15919"/>
    <cellStyle name="20% - Accent2 11 8 2 2 2" xfId="33540"/>
    <cellStyle name="20% - Accent2 11 8 2 3" xfId="26529"/>
    <cellStyle name="20% - Accent2 11 8 3" xfId="12235"/>
    <cellStyle name="20% - Accent2 11 8 3 2" xfId="29892"/>
    <cellStyle name="20% - Accent2 11 8 4" xfId="23668"/>
    <cellStyle name="20% - Accent2 11 9" xfId="3503"/>
    <cellStyle name="20% - Accent2 11 9 2" xfId="8130"/>
    <cellStyle name="20% - Accent2 11 9 2 2" xfId="15920"/>
    <cellStyle name="20% - Accent2 11 9 2 2 2" xfId="33541"/>
    <cellStyle name="20% - Accent2 11 9 2 3" xfId="26530"/>
    <cellStyle name="20% - Accent2 11 9 3" xfId="12236"/>
    <cellStyle name="20% - Accent2 11 9 3 2" xfId="29893"/>
    <cellStyle name="20% - Accent2 11 9 4" xfId="23669"/>
    <cellStyle name="20% - Accent2 12" xfId="259"/>
    <cellStyle name="20% - Accent2 12 2" xfId="3504"/>
    <cellStyle name="20% - Accent2 12 2 2" xfId="8131"/>
    <cellStyle name="20% - Accent2 12 2 2 2" xfId="15921"/>
    <cellStyle name="20% - Accent2 12 2 2 2 2" xfId="33542"/>
    <cellStyle name="20% - Accent2 12 2 2 3" xfId="26531"/>
    <cellStyle name="20% - Accent2 12 2 3" xfId="12237"/>
    <cellStyle name="20% - Accent2 12 2 3 2" xfId="29894"/>
    <cellStyle name="20% - Accent2 12 2 4" xfId="22026"/>
    <cellStyle name="20% - Accent2 12 2 4 2" xfId="38730"/>
    <cellStyle name="20% - Accent2 12 2 5" xfId="23670"/>
    <cellStyle name="20% - Accent2 12 3" xfId="7548"/>
    <cellStyle name="20% - Accent2 12 3 2" xfId="15339"/>
    <cellStyle name="20% - Accent2 12 3 2 2" xfId="32960"/>
    <cellStyle name="20% - Accent2 12 3 3" xfId="25967"/>
    <cellStyle name="20% - Accent2 12 4" xfId="11110"/>
    <cellStyle name="20% - Accent2 12 4 2" xfId="28826"/>
    <cellStyle name="20% - Accent2 12 5" xfId="22025"/>
    <cellStyle name="20% - Accent2 12 5 2" xfId="38729"/>
    <cellStyle name="20% - Accent2 12 6" xfId="23106"/>
    <cellStyle name="20% - Accent2 12 7" xfId="51645"/>
    <cellStyle name="20% - Accent2 13" xfId="18858"/>
    <cellStyle name="20% - Accent2 13 2" xfId="22027"/>
    <cellStyle name="20% - Accent2 13 2 2" xfId="38731"/>
    <cellStyle name="20% - Accent2 13 3" xfId="36481"/>
    <cellStyle name="20% - Accent2 14" xfId="15286"/>
    <cellStyle name="20% - Accent2 14 2" xfId="22028"/>
    <cellStyle name="20% - Accent2 14 3" xfId="32907"/>
    <cellStyle name="20% - Accent2 15" xfId="22667"/>
    <cellStyle name="20% - Accent2 15 2" xfId="38875"/>
    <cellStyle name="20% - Accent2 16" xfId="22022"/>
    <cellStyle name="20% - Accent2 17" xfId="23056"/>
    <cellStyle name="20% - Accent2 18" xfId="51454"/>
    <cellStyle name="20% - Accent2 19" xfId="51467"/>
    <cellStyle name="20% - Accent2 2" xfId="4"/>
    <cellStyle name="20% - Accent2 2 10" xfId="261"/>
    <cellStyle name="20% - Accent2 2 11" xfId="262"/>
    <cellStyle name="20% - Accent2 2 12" xfId="263"/>
    <cellStyle name="20% - Accent2 2 13" xfId="264"/>
    <cellStyle name="20% - Accent2 2 14" xfId="265"/>
    <cellStyle name="20% - Accent2 2 15" xfId="3505"/>
    <cellStyle name="20% - Accent2 2 16" xfId="3506"/>
    <cellStyle name="20% - Accent2 2 17" xfId="3507"/>
    <cellStyle name="20% - Accent2 2 18" xfId="260"/>
    <cellStyle name="20% - Accent2 2 2" xfId="266"/>
    <cellStyle name="20% - Accent2 2 2 2" xfId="267"/>
    <cellStyle name="20% - Accent2 2 2 3" xfId="268"/>
    <cellStyle name="20% - Accent2 2 2 4" xfId="3508"/>
    <cellStyle name="20% - Accent2 2 2 5" xfId="3509"/>
    <cellStyle name="20% - Accent2 2 2_Sheet1" xfId="269"/>
    <cellStyle name="20% - Accent2 2 3" xfId="270"/>
    <cellStyle name="20% - Accent2 2 4" xfId="271"/>
    <cellStyle name="20% - Accent2 2 5" xfId="272"/>
    <cellStyle name="20% - Accent2 2 6" xfId="273"/>
    <cellStyle name="20% - Accent2 2 7" xfId="274"/>
    <cellStyle name="20% - Accent2 2 8" xfId="275"/>
    <cellStyle name="20% - Accent2 2 9" xfId="276"/>
    <cellStyle name="20% - Accent2 2_BallGrid" xfId="277"/>
    <cellStyle name="20% - Accent2 20" xfId="51480"/>
    <cellStyle name="20% - Accent2 3" xfId="5"/>
    <cellStyle name="20% - Accent2 3 10" xfId="278"/>
    <cellStyle name="20% - Accent2 3 2" xfId="279"/>
    <cellStyle name="20% - Accent2 3 3" xfId="280"/>
    <cellStyle name="20% - Accent2 3 4" xfId="281"/>
    <cellStyle name="20% - Accent2 3 5" xfId="282"/>
    <cellStyle name="20% - Accent2 3 6" xfId="283"/>
    <cellStyle name="20% - Accent2 3 7" xfId="3510"/>
    <cellStyle name="20% - Accent2 3 8" xfId="3511"/>
    <cellStyle name="20% - Accent2 3 9" xfId="3512"/>
    <cellStyle name="20% - Accent2 3_BallGrid" xfId="284"/>
    <cellStyle name="20% - Accent2 4" xfId="6"/>
    <cellStyle name="20% - Accent2 4 2" xfId="286"/>
    <cellStyle name="20% - Accent2 4 2 2" xfId="22819"/>
    <cellStyle name="20% - Accent2 4 3" xfId="287"/>
    <cellStyle name="20% - Accent2 4 3 2" xfId="22029"/>
    <cellStyle name="20% - Accent2 4 4" xfId="288"/>
    <cellStyle name="20% - Accent2 4 5" xfId="289"/>
    <cellStyle name="20% - Accent2 4 6" xfId="3513"/>
    <cellStyle name="20% - Accent2 4 7" xfId="3514"/>
    <cellStyle name="20% - Accent2 4 8" xfId="3515"/>
    <cellStyle name="20% - Accent2 4 9" xfId="285"/>
    <cellStyle name="20% - Accent2 5" xfId="290"/>
    <cellStyle name="20% - Accent2 5 10" xfId="3517"/>
    <cellStyle name="20% - Accent2 5 10 2" xfId="8133"/>
    <cellStyle name="20% - Accent2 5 10 2 2" xfId="15923"/>
    <cellStyle name="20% - Accent2 5 10 2 2 2" xfId="33544"/>
    <cellStyle name="20% - Accent2 5 10 2 3" xfId="26533"/>
    <cellStyle name="20% - Accent2 5 10 3" xfId="12241"/>
    <cellStyle name="20% - Accent2 5 10 3 2" xfId="29898"/>
    <cellStyle name="20% - Accent2 5 10 4" xfId="23672"/>
    <cellStyle name="20% - Accent2 5 11" xfId="3516"/>
    <cellStyle name="20% - Accent2 5 11 2" xfId="8132"/>
    <cellStyle name="20% - Accent2 5 11 2 2" xfId="15922"/>
    <cellStyle name="20% - Accent2 5 11 2 2 2" xfId="33543"/>
    <cellStyle name="20% - Accent2 5 11 2 3" xfId="26532"/>
    <cellStyle name="20% - Accent2 5 11 3" xfId="12240"/>
    <cellStyle name="20% - Accent2 5 11 3 2" xfId="29897"/>
    <cellStyle name="20% - Accent2 5 11 4" xfId="23671"/>
    <cellStyle name="20% - Accent2 5 12" xfId="5547"/>
    <cellStyle name="20% - Accent2 5 12 2" xfId="8844"/>
    <cellStyle name="20% - Accent2 5 12 2 2" xfId="16633"/>
    <cellStyle name="20% - Accent2 5 12 2 2 2" xfId="34255"/>
    <cellStyle name="20% - Accent2 5 12 2 3" xfId="27218"/>
    <cellStyle name="20% - Accent2 5 12 3" xfId="13397"/>
    <cellStyle name="20% - Accent2 5 12 3 2" xfId="31023"/>
    <cellStyle name="20% - Accent2 5 12 4" xfId="24357"/>
    <cellStyle name="20% - Accent2 5 13" xfId="6177"/>
    <cellStyle name="20% - Accent2 5 13 2" xfId="9384"/>
    <cellStyle name="20% - Accent2 5 13 2 2" xfId="17172"/>
    <cellStyle name="20% - Accent2 5 13 2 2 2" xfId="34795"/>
    <cellStyle name="20% - Accent2 5 13 2 3" xfId="27754"/>
    <cellStyle name="20% - Accent2 5 13 3" xfId="13960"/>
    <cellStyle name="20% - Accent2 5 13 3 2" xfId="31581"/>
    <cellStyle name="20% - Accent2 5 13 4" xfId="24893"/>
    <cellStyle name="20% - Accent2 5 14" xfId="6714"/>
    <cellStyle name="20% - Accent2 5 14 2" xfId="9921"/>
    <cellStyle name="20% - Accent2 5 14 2 2" xfId="17708"/>
    <cellStyle name="20% - Accent2 5 14 2 2 2" xfId="35331"/>
    <cellStyle name="20% - Accent2 5 14 2 3" xfId="28290"/>
    <cellStyle name="20% - Accent2 5 14 3" xfId="14496"/>
    <cellStyle name="20% - Accent2 5 14 3 2" xfId="32117"/>
    <cellStyle name="20% - Accent2 5 14 4" xfId="25430"/>
    <cellStyle name="20% - Accent2 5 15" xfId="7549"/>
    <cellStyle name="20% - Accent2 5 15 2" xfId="15340"/>
    <cellStyle name="20% - Accent2 5 15 2 2" xfId="32961"/>
    <cellStyle name="20% - Accent2 5 15 3" xfId="25968"/>
    <cellStyle name="20% - Accent2 5 16" xfId="11114"/>
    <cellStyle name="20% - Accent2 5 16 2" xfId="28828"/>
    <cellStyle name="20% - Accent2 5 17" xfId="21925"/>
    <cellStyle name="20% - Accent2 5 17 2" xfId="38664"/>
    <cellStyle name="20% - Accent2 5 18" xfId="23107"/>
    <cellStyle name="20% - Accent2 5 19" xfId="51646"/>
    <cellStyle name="20% - Accent2 5 2" xfId="291"/>
    <cellStyle name="20% - Accent2 5 2 10" xfId="51647"/>
    <cellStyle name="20% - Accent2 5 2 2" xfId="3518"/>
    <cellStyle name="20% - Accent2 5 2 2 2" xfId="8134"/>
    <cellStyle name="20% - Accent2 5 2 2 2 2" xfId="15924"/>
    <cellStyle name="20% - Accent2 5 2 2 2 2 2" xfId="33545"/>
    <cellStyle name="20% - Accent2 5 2 2 2 3" xfId="26534"/>
    <cellStyle name="20% - Accent2 5 2 2 3" xfId="12242"/>
    <cellStyle name="20% - Accent2 5 2 2 3 2" xfId="29899"/>
    <cellStyle name="20% - Accent2 5 2 2 4" xfId="23673"/>
    <cellStyle name="20% - Accent2 5 2 3" xfId="5548"/>
    <cellStyle name="20% - Accent2 5 2 3 2" xfId="8845"/>
    <cellStyle name="20% - Accent2 5 2 3 2 2" xfId="16634"/>
    <cellStyle name="20% - Accent2 5 2 3 2 2 2" xfId="34256"/>
    <cellStyle name="20% - Accent2 5 2 3 2 3" xfId="27219"/>
    <cellStyle name="20% - Accent2 5 2 3 3" xfId="13398"/>
    <cellStyle name="20% - Accent2 5 2 3 3 2" xfId="31024"/>
    <cellStyle name="20% - Accent2 5 2 3 4" xfId="24358"/>
    <cellStyle name="20% - Accent2 5 2 4" xfId="6178"/>
    <cellStyle name="20% - Accent2 5 2 4 2" xfId="9385"/>
    <cellStyle name="20% - Accent2 5 2 4 2 2" xfId="17173"/>
    <cellStyle name="20% - Accent2 5 2 4 2 2 2" xfId="34796"/>
    <cellStyle name="20% - Accent2 5 2 4 2 3" xfId="27755"/>
    <cellStyle name="20% - Accent2 5 2 4 3" xfId="13961"/>
    <cellStyle name="20% - Accent2 5 2 4 3 2" xfId="31582"/>
    <cellStyle name="20% - Accent2 5 2 4 4" xfId="24894"/>
    <cellStyle name="20% - Accent2 5 2 5" xfId="6715"/>
    <cellStyle name="20% - Accent2 5 2 5 2" xfId="9922"/>
    <cellStyle name="20% - Accent2 5 2 5 2 2" xfId="17709"/>
    <cellStyle name="20% - Accent2 5 2 5 2 2 2" xfId="35332"/>
    <cellStyle name="20% - Accent2 5 2 5 2 3" xfId="28291"/>
    <cellStyle name="20% - Accent2 5 2 5 3" xfId="14497"/>
    <cellStyle name="20% - Accent2 5 2 5 3 2" xfId="32118"/>
    <cellStyle name="20% - Accent2 5 2 5 4" xfId="25431"/>
    <cellStyle name="20% - Accent2 5 2 6" xfId="7550"/>
    <cellStyle name="20% - Accent2 5 2 6 2" xfId="15341"/>
    <cellStyle name="20% - Accent2 5 2 6 2 2" xfId="32962"/>
    <cellStyle name="20% - Accent2 5 2 6 3" xfId="25969"/>
    <cellStyle name="20% - Accent2 5 2 7" xfId="11115"/>
    <cellStyle name="20% - Accent2 5 2 7 2" xfId="28829"/>
    <cellStyle name="20% - Accent2 5 2 8" xfId="22820"/>
    <cellStyle name="20% - Accent2 5 2 8 2" xfId="38985"/>
    <cellStyle name="20% - Accent2 5 2 9" xfId="23108"/>
    <cellStyle name="20% - Accent2 5 3" xfId="292"/>
    <cellStyle name="20% - Accent2 5 3 10" xfId="22030"/>
    <cellStyle name="20% - Accent2 5 3 11" xfId="23109"/>
    <cellStyle name="20% - Accent2 5 3 12" xfId="51648"/>
    <cellStyle name="20% - Accent2 5 3 2" xfId="293"/>
    <cellStyle name="20% - Accent2 5 3 2 2" xfId="3520"/>
    <cellStyle name="20% - Accent2 5 3 2 2 2" xfId="8136"/>
    <cellStyle name="20% - Accent2 5 3 2 2 2 2" xfId="15926"/>
    <cellStyle name="20% - Accent2 5 3 2 2 2 2 2" xfId="33547"/>
    <cellStyle name="20% - Accent2 5 3 2 2 2 3" xfId="26536"/>
    <cellStyle name="20% - Accent2 5 3 2 2 3" xfId="12244"/>
    <cellStyle name="20% - Accent2 5 3 2 2 3 2" xfId="29901"/>
    <cellStyle name="20% - Accent2 5 3 2 2 4" xfId="23675"/>
    <cellStyle name="20% - Accent2 5 3 2 3" xfId="5550"/>
    <cellStyle name="20% - Accent2 5 3 2 3 2" xfId="8847"/>
    <cellStyle name="20% - Accent2 5 3 2 3 2 2" xfId="16636"/>
    <cellStyle name="20% - Accent2 5 3 2 3 2 2 2" xfId="34258"/>
    <cellStyle name="20% - Accent2 5 3 2 3 2 3" xfId="27221"/>
    <cellStyle name="20% - Accent2 5 3 2 3 3" xfId="13400"/>
    <cellStyle name="20% - Accent2 5 3 2 3 3 2" xfId="31026"/>
    <cellStyle name="20% - Accent2 5 3 2 3 4" xfId="24360"/>
    <cellStyle name="20% - Accent2 5 3 2 4" xfId="6180"/>
    <cellStyle name="20% - Accent2 5 3 2 4 2" xfId="9387"/>
    <cellStyle name="20% - Accent2 5 3 2 4 2 2" xfId="17175"/>
    <cellStyle name="20% - Accent2 5 3 2 4 2 2 2" xfId="34798"/>
    <cellStyle name="20% - Accent2 5 3 2 4 2 3" xfId="27757"/>
    <cellStyle name="20% - Accent2 5 3 2 4 3" xfId="13963"/>
    <cellStyle name="20% - Accent2 5 3 2 4 3 2" xfId="31584"/>
    <cellStyle name="20% - Accent2 5 3 2 4 4" xfId="24896"/>
    <cellStyle name="20% - Accent2 5 3 2 5" xfId="6717"/>
    <cellStyle name="20% - Accent2 5 3 2 5 2" xfId="9924"/>
    <cellStyle name="20% - Accent2 5 3 2 5 2 2" xfId="17711"/>
    <cellStyle name="20% - Accent2 5 3 2 5 2 2 2" xfId="35334"/>
    <cellStyle name="20% - Accent2 5 3 2 5 2 3" xfId="28293"/>
    <cellStyle name="20% - Accent2 5 3 2 5 3" xfId="14499"/>
    <cellStyle name="20% - Accent2 5 3 2 5 3 2" xfId="32120"/>
    <cellStyle name="20% - Accent2 5 3 2 5 4" xfId="25433"/>
    <cellStyle name="20% - Accent2 5 3 2 6" xfId="7552"/>
    <cellStyle name="20% - Accent2 5 3 2 6 2" xfId="15343"/>
    <cellStyle name="20% - Accent2 5 3 2 6 2 2" xfId="32964"/>
    <cellStyle name="20% - Accent2 5 3 2 6 3" xfId="25971"/>
    <cellStyle name="20% - Accent2 5 3 2 7" xfId="11117"/>
    <cellStyle name="20% - Accent2 5 3 2 7 2" xfId="28831"/>
    <cellStyle name="20% - Accent2 5 3 2 8" xfId="23110"/>
    <cellStyle name="20% - Accent2 5 3 2 9" xfId="51649"/>
    <cellStyle name="20% - Accent2 5 3 3" xfId="3521"/>
    <cellStyle name="20% - Accent2 5 3 3 2" xfId="5551"/>
    <cellStyle name="20% - Accent2 5 3 3 2 2" xfId="8848"/>
    <cellStyle name="20% - Accent2 5 3 3 2 2 2" xfId="16637"/>
    <cellStyle name="20% - Accent2 5 3 3 2 2 2 2" xfId="34259"/>
    <cellStyle name="20% - Accent2 5 3 3 2 2 3" xfId="27222"/>
    <cellStyle name="20% - Accent2 5 3 3 2 3" xfId="13401"/>
    <cellStyle name="20% - Accent2 5 3 3 2 3 2" xfId="31027"/>
    <cellStyle name="20% - Accent2 5 3 3 2 4" xfId="24361"/>
    <cellStyle name="20% - Accent2 5 3 3 3" xfId="6181"/>
    <cellStyle name="20% - Accent2 5 3 3 3 2" xfId="9388"/>
    <cellStyle name="20% - Accent2 5 3 3 3 2 2" xfId="17176"/>
    <cellStyle name="20% - Accent2 5 3 3 3 2 2 2" xfId="34799"/>
    <cellStyle name="20% - Accent2 5 3 3 3 2 3" xfId="27758"/>
    <cellStyle name="20% - Accent2 5 3 3 3 3" xfId="13964"/>
    <cellStyle name="20% - Accent2 5 3 3 3 3 2" xfId="31585"/>
    <cellStyle name="20% - Accent2 5 3 3 3 4" xfId="24897"/>
    <cellStyle name="20% - Accent2 5 3 3 4" xfId="6718"/>
    <cellStyle name="20% - Accent2 5 3 3 4 2" xfId="9925"/>
    <cellStyle name="20% - Accent2 5 3 3 4 2 2" xfId="17712"/>
    <cellStyle name="20% - Accent2 5 3 3 4 2 2 2" xfId="35335"/>
    <cellStyle name="20% - Accent2 5 3 3 4 2 3" xfId="28294"/>
    <cellStyle name="20% - Accent2 5 3 3 4 3" xfId="14500"/>
    <cellStyle name="20% - Accent2 5 3 3 4 3 2" xfId="32121"/>
    <cellStyle name="20% - Accent2 5 3 3 4 4" xfId="25434"/>
    <cellStyle name="20% - Accent2 5 3 3 5" xfId="8137"/>
    <cellStyle name="20% - Accent2 5 3 3 5 2" xfId="15927"/>
    <cellStyle name="20% - Accent2 5 3 3 5 2 2" xfId="33548"/>
    <cellStyle name="20% - Accent2 5 3 3 5 3" xfId="26537"/>
    <cellStyle name="20% - Accent2 5 3 3 6" xfId="12245"/>
    <cellStyle name="20% - Accent2 5 3 3 6 2" xfId="29902"/>
    <cellStyle name="20% - Accent2 5 3 3 7" xfId="23676"/>
    <cellStyle name="20% - Accent2 5 3 4" xfId="3519"/>
    <cellStyle name="20% - Accent2 5 3 4 2" xfId="8135"/>
    <cellStyle name="20% - Accent2 5 3 4 2 2" xfId="15925"/>
    <cellStyle name="20% - Accent2 5 3 4 2 2 2" xfId="33546"/>
    <cellStyle name="20% - Accent2 5 3 4 2 3" xfId="26535"/>
    <cellStyle name="20% - Accent2 5 3 4 3" xfId="12243"/>
    <cellStyle name="20% - Accent2 5 3 4 3 2" xfId="29900"/>
    <cellStyle name="20% - Accent2 5 3 4 4" xfId="23674"/>
    <cellStyle name="20% - Accent2 5 3 5" xfId="5549"/>
    <cellStyle name="20% - Accent2 5 3 5 2" xfId="8846"/>
    <cellStyle name="20% - Accent2 5 3 5 2 2" xfId="16635"/>
    <cellStyle name="20% - Accent2 5 3 5 2 2 2" xfId="34257"/>
    <cellStyle name="20% - Accent2 5 3 5 2 3" xfId="27220"/>
    <cellStyle name="20% - Accent2 5 3 5 3" xfId="13399"/>
    <cellStyle name="20% - Accent2 5 3 5 3 2" xfId="31025"/>
    <cellStyle name="20% - Accent2 5 3 5 4" xfId="24359"/>
    <cellStyle name="20% - Accent2 5 3 6" xfId="6179"/>
    <cellStyle name="20% - Accent2 5 3 6 2" xfId="9386"/>
    <cellStyle name="20% - Accent2 5 3 6 2 2" xfId="17174"/>
    <cellStyle name="20% - Accent2 5 3 6 2 2 2" xfId="34797"/>
    <cellStyle name="20% - Accent2 5 3 6 2 3" xfId="27756"/>
    <cellStyle name="20% - Accent2 5 3 6 3" xfId="13962"/>
    <cellStyle name="20% - Accent2 5 3 6 3 2" xfId="31583"/>
    <cellStyle name="20% - Accent2 5 3 6 4" xfId="24895"/>
    <cellStyle name="20% - Accent2 5 3 7" xfId="6716"/>
    <cellStyle name="20% - Accent2 5 3 7 2" xfId="9923"/>
    <cellStyle name="20% - Accent2 5 3 7 2 2" xfId="17710"/>
    <cellStyle name="20% - Accent2 5 3 7 2 2 2" xfId="35333"/>
    <cellStyle name="20% - Accent2 5 3 7 2 3" xfId="28292"/>
    <cellStyle name="20% - Accent2 5 3 7 3" xfId="14498"/>
    <cellStyle name="20% - Accent2 5 3 7 3 2" xfId="32119"/>
    <cellStyle name="20% - Accent2 5 3 7 4" xfId="25432"/>
    <cellStyle name="20% - Accent2 5 3 8" xfId="7551"/>
    <cellStyle name="20% - Accent2 5 3 8 2" xfId="15342"/>
    <cellStyle name="20% - Accent2 5 3 8 2 2" xfId="32963"/>
    <cellStyle name="20% - Accent2 5 3 8 3" xfId="25970"/>
    <cellStyle name="20% - Accent2 5 3 9" xfId="11116"/>
    <cellStyle name="20% - Accent2 5 3 9 2" xfId="28830"/>
    <cellStyle name="20% - Accent2 5 4" xfId="294"/>
    <cellStyle name="20% - Accent2 5 4 10" xfId="52878"/>
    <cellStyle name="20% - Accent2 5 4 2" xfId="3522"/>
    <cellStyle name="20% - Accent2 5 4 2 2" xfId="8138"/>
    <cellStyle name="20% - Accent2 5 4 2 2 2" xfId="15928"/>
    <cellStyle name="20% - Accent2 5 4 2 2 2 2" xfId="33549"/>
    <cellStyle name="20% - Accent2 5 4 2 2 3" xfId="26538"/>
    <cellStyle name="20% - Accent2 5 4 2 3" xfId="12246"/>
    <cellStyle name="20% - Accent2 5 4 2 3 2" xfId="29903"/>
    <cellStyle name="20% - Accent2 5 4 2 4" xfId="23677"/>
    <cellStyle name="20% - Accent2 5 4 3" xfId="5552"/>
    <cellStyle name="20% - Accent2 5 4 3 2" xfId="8849"/>
    <cellStyle name="20% - Accent2 5 4 3 2 2" xfId="16638"/>
    <cellStyle name="20% - Accent2 5 4 3 2 2 2" xfId="34260"/>
    <cellStyle name="20% - Accent2 5 4 3 2 3" xfId="27223"/>
    <cellStyle name="20% - Accent2 5 4 3 3" xfId="13402"/>
    <cellStyle name="20% - Accent2 5 4 3 3 2" xfId="31028"/>
    <cellStyle name="20% - Accent2 5 4 3 4" xfId="24362"/>
    <cellStyle name="20% - Accent2 5 4 4" xfId="6182"/>
    <cellStyle name="20% - Accent2 5 4 4 2" xfId="9389"/>
    <cellStyle name="20% - Accent2 5 4 4 2 2" xfId="17177"/>
    <cellStyle name="20% - Accent2 5 4 4 2 2 2" xfId="34800"/>
    <cellStyle name="20% - Accent2 5 4 4 2 3" xfId="27759"/>
    <cellStyle name="20% - Accent2 5 4 4 3" xfId="13965"/>
    <cellStyle name="20% - Accent2 5 4 4 3 2" xfId="31586"/>
    <cellStyle name="20% - Accent2 5 4 4 4" xfId="24898"/>
    <cellStyle name="20% - Accent2 5 4 5" xfId="6719"/>
    <cellStyle name="20% - Accent2 5 4 5 2" xfId="9926"/>
    <cellStyle name="20% - Accent2 5 4 5 2 2" xfId="17713"/>
    <cellStyle name="20% - Accent2 5 4 5 2 2 2" xfId="35336"/>
    <cellStyle name="20% - Accent2 5 4 5 2 3" xfId="28295"/>
    <cellStyle name="20% - Accent2 5 4 5 3" xfId="14501"/>
    <cellStyle name="20% - Accent2 5 4 5 3 2" xfId="32122"/>
    <cellStyle name="20% - Accent2 5 4 5 4" xfId="25435"/>
    <cellStyle name="20% - Accent2 5 4 6" xfId="7553"/>
    <cellStyle name="20% - Accent2 5 4 6 2" xfId="15344"/>
    <cellStyle name="20% - Accent2 5 4 6 2 2" xfId="32965"/>
    <cellStyle name="20% - Accent2 5 4 6 3" xfId="25972"/>
    <cellStyle name="20% - Accent2 5 4 7" xfId="11118"/>
    <cellStyle name="20% - Accent2 5 4 7 2" xfId="28832"/>
    <cellStyle name="20% - Accent2 5 4 8" xfId="23111"/>
    <cellStyle name="20% - Accent2 5 4 9" xfId="51650"/>
    <cellStyle name="20% - Accent2 5 5" xfId="295"/>
    <cellStyle name="20% - Accent2 5 5 2" xfId="3523"/>
    <cellStyle name="20% - Accent2 5 5 2 2" xfId="8139"/>
    <cellStyle name="20% - Accent2 5 5 2 2 2" xfId="15929"/>
    <cellStyle name="20% - Accent2 5 5 2 2 2 2" xfId="33550"/>
    <cellStyle name="20% - Accent2 5 5 2 2 3" xfId="26539"/>
    <cellStyle name="20% - Accent2 5 5 2 3" xfId="12247"/>
    <cellStyle name="20% - Accent2 5 5 2 3 2" xfId="29904"/>
    <cellStyle name="20% - Accent2 5 5 2 4" xfId="23678"/>
    <cellStyle name="20% - Accent2 5 5 3" xfId="5553"/>
    <cellStyle name="20% - Accent2 5 5 3 2" xfId="8850"/>
    <cellStyle name="20% - Accent2 5 5 3 2 2" xfId="16639"/>
    <cellStyle name="20% - Accent2 5 5 3 2 2 2" xfId="34261"/>
    <cellStyle name="20% - Accent2 5 5 3 2 3" xfId="27224"/>
    <cellStyle name="20% - Accent2 5 5 3 3" xfId="13403"/>
    <cellStyle name="20% - Accent2 5 5 3 3 2" xfId="31029"/>
    <cellStyle name="20% - Accent2 5 5 3 4" xfId="24363"/>
    <cellStyle name="20% - Accent2 5 5 4" xfId="6183"/>
    <cellStyle name="20% - Accent2 5 5 4 2" xfId="9390"/>
    <cellStyle name="20% - Accent2 5 5 4 2 2" xfId="17178"/>
    <cellStyle name="20% - Accent2 5 5 4 2 2 2" xfId="34801"/>
    <cellStyle name="20% - Accent2 5 5 4 2 3" xfId="27760"/>
    <cellStyle name="20% - Accent2 5 5 4 3" xfId="13966"/>
    <cellStyle name="20% - Accent2 5 5 4 3 2" xfId="31587"/>
    <cellStyle name="20% - Accent2 5 5 4 4" xfId="24899"/>
    <cellStyle name="20% - Accent2 5 5 5" xfId="6720"/>
    <cellStyle name="20% - Accent2 5 5 5 2" xfId="9927"/>
    <cellStyle name="20% - Accent2 5 5 5 2 2" xfId="17714"/>
    <cellStyle name="20% - Accent2 5 5 5 2 2 2" xfId="35337"/>
    <cellStyle name="20% - Accent2 5 5 5 2 3" xfId="28296"/>
    <cellStyle name="20% - Accent2 5 5 5 3" xfId="14502"/>
    <cellStyle name="20% - Accent2 5 5 5 3 2" xfId="32123"/>
    <cellStyle name="20% - Accent2 5 5 5 4" xfId="25436"/>
    <cellStyle name="20% - Accent2 5 5 6" xfId="7554"/>
    <cellStyle name="20% - Accent2 5 5 6 2" xfId="15345"/>
    <cellStyle name="20% - Accent2 5 5 6 2 2" xfId="32966"/>
    <cellStyle name="20% - Accent2 5 5 6 3" xfId="25973"/>
    <cellStyle name="20% - Accent2 5 5 7" xfId="11119"/>
    <cellStyle name="20% - Accent2 5 5 7 2" xfId="28833"/>
    <cellStyle name="20% - Accent2 5 5 8" xfId="23112"/>
    <cellStyle name="20% - Accent2 5 5 9" xfId="51651"/>
    <cellStyle name="20% - Accent2 5 6" xfId="296"/>
    <cellStyle name="20% - Accent2 5 6 2" xfId="3524"/>
    <cellStyle name="20% - Accent2 5 6 2 2" xfId="8140"/>
    <cellStyle name="20% - Accent2 5 6 2 2 2" xfId="15930"/>
    <cellStyle name="20% - Accent2 5 6 2 2 2 2" xfId="33551"/>
    <cellStyle name="20% - Accent2 5 6 2 2 3" xfId="26540"/>
    <cellStyle name="20% - Accent2 5 6 2 3" xfId="12248"/>
    <cellStyle name="20% - Accent2 5 6 2 3 2" xfId="29905"/>
    <cellStyle name="20% - Accent2 5 6 2 4" xfId="23679"/>
    <cellStyle name="20% - Accent2 5 6 3" xfId="5554"/>
    <cellStyle name="20% - Accent2 5 6 3 2" xfId="8851"/>
    <cellStyle name="20% - Accent2 5 6 3 2 2" xfId="16640"/>
    <cellStyle name="20% - Accent2 5 6 3 2 2 2" xfId="34262"/>
    <cellStyle name="20% - Accent2 5 6 3 2 3" xfId="27225"/>
    <cellStyle name="20% - Accent2 5 6 3 3" xfId="13404"/>
    <cellStyle name="20% - Accent2 5 6 3 3 2" xfId="31030"/>
    <cellStyle name="20% - Accent2 5 6 3 4" xfId="24364"/>
    <cellStyle name="20% - Accent2 5 6 4" xfId="6184"/>
    <cellStyle name="20% - Accent2 5 6 4 2" xfId="9391"/>
    <cellStyle name="20% - Accent2 5 6 4 2 2" xfId="17179"/>
    <cellStyle name="20% - Accent2 5 6 4 2 2 2" xfId="34802"/>
    <cellStyle name="20% - Accent2 5 6 4 2 3" xfId="27761"/>
    <cellStyle name="20% - Accent2 5 6 4 3" xfId="13967"/>
    <cellStyle name="20% - Accent2 5 6 4 3 2" xfId="31588"/>
    <cellStyle name="20% - Accent2 5 6 4 4" xfId="24900"/>
    <cellStyle name="20% - Accent2 5 6 5" xfId="6721"/>
    <cellStyle name="20% - Accent2 5 6 5 2" xfId="9928"/>
    <cellStyle name="20% - Accent2 5 6 5 2 2" xfId="17715"/>
    <cellStyle name="20% - Accent2 5 6 5 2 2 2" xfId="35338"/>
    <cellStyle name="20% - Accent2 5 6 5 2 3" xfId="28297"/>
    <cellStyle name="20% - Accent2 5 6 5 3" xfId="14503"/>
    <cellStyle name="20% - Accent2 5 6 5 3 2" xfId="32124"/>
    <cellStyle name="20% - Accent2 5 6 5 4" xfId="25437"/>
    <cellStyle name="20% - Accent2 5 6 6" xfId="7555"/>
    <cellStyle name="20% - Accent2 5 6 6 2" xfId="15346"/>
    <cellStyle name="20% - Accent2 5 6 6 2 2" xfId="32967"/>
    <cellStyle name="20% - Accent2 5 6 6 3" xfId="25974"/>
    <cellStyle name="20% - Accent2 5 6 7" xfId="11120"/>
    <cellStyle name="20% - Accent2 5 6 7 2" xfId="28834"/>
    <cellStyle name="20% - Accent2 5 6 8" xfId="23113"/>
    <cellStyle name="20% - Accent2 5 6 9" xfId="51652"/>
    <cellStyle name="20% - Accent2 5 7" xfId="297"/>
    <cellStyle name="20% - Accent2 5 7 10" xfId="51653"/>
    <cellStyle name="20% - Accent2 5 7 2" xfId="298"/>
    <cellStyle name="20% - Accent2 5 7 2 2" xfId="8142"/>
    <cellStyle name="20% - Accent2 5 7 2 2 2" xfId="15932"/>
    <cellStyle name="20% - Accent2 5 7 2 2 2 2" xfId="33553"/>
    <cellStyle name="20% - Accent2 5 7 2 2 3" xfId="26542"/>
    <cellStyle name="20% - Accent2 5 7 2 3" xfId="12250"/>
    <cellStyle name="20% - Accent2 5 7 2 3 2" xfId="29907"/>
    <cellStyle name="20% - Accent2 5 7 2 4" xfId="23681"/>
    <cellStyle name="20% - Accent2 5 7 3" xfId="3525"/>
    <cellStyle name="20% - Accent2 5 7 3 2" xfId="8141"/>
    <cellStyle name="20% - Accent2 5 7 3 2 2" xfId="15931"/>
    <cellStyle name="20% - Accent2 5 7 3 2 2 2" xfId="33552"/>
    <cellStyle name="20% - Accent2 5 7 3 2 3" xfId="26541"/>
    <cellStyle name="20% - Accent2 5 7 3 3" xfId="12249"/>
    <cellStyle name="20% - Accent2 5 7 3 3 2" xfId="29906"/>
    <cellStyle name="20% - Accent2 5 7 3 4" xfId="23680"/>
    <cellStyle name="20% - Accent2 5 7 4" xfId="5555"/>
    <cellStyle name="20% - Accent2 5 7 4 2" xfId="8852"/>
    <cellStyle name="20% - Accent2 5 7 4 2 2" xfId="16641"/>
    <cellStyle name="20% - Accent2 5 7 4 2 2 2" xfId="34263"/>
    <cellStyle name="20% - Accent2 5 7 4 2 3" xfId="27226"/>
    <cellStyle name="20% - Accent2 5 7 4 3" xfId="13405"/>
    <cellStyle name="20% - Accent2 5 7 4 3 2" xfId="31031"/>
    <cellStyle name="20% - Accent2 5 7 4 4" xfId="24365"/>
    <cellStyle name="20% - Accent2 5 7 5" xfId="6185"/>
    <cellStyle name="20% - Accent2 5 7 5 2" xfId="9392"/>
    <cellStyle name="20% - Accent2 5 7 5 2 2" xfId="17180"/>
    <cellStyle name="20% - Accent2 5 7 5 2 2 2" xfId="34803"/>
    <cellStyle name="20% - Accent2 5 7 5 2 3" xfId="27762"/>
    <cellStyle name="20% - Accent2 5 7 5 3" xfId="13968"/>
    <cellStyle name="20% - Accent2 5 7 5 3 2" xfId="31589"/>
    <cellStyle name="20% - Accent2 5 7 5 4" xfId="24901"/>
    <cellStyle name="20% - Accent2 5 7 6" xfId="6722"/>
    <cellStyle name="20% - Accent2 5 7 6 2" xfId="9929"/>
    <cellStyle name="20% - Accent2 5 7 6 2 2" xfId="17716"/>
    <cellStyle name="20% - Accent2 5 7 6 2 2 2" xfId="35339"/>
    <cellStyle name="20% - Accent2 5 7 6 2 3" xfId="28298"/>
    <cellStyle name="20% - Accent2 5 7 6 3" xfId="14504"/>
    <cellStyle name="20% - Accent2 5 7 6 3 2" xfId="32125"/>
    <cellStyle name="20% - Accent2 5 7 6 4" xfId="25438"/>
    <cellStyle name="20% - Accent2 5 7 7" xfId="7556"/>
    <cellStyle name="20% - Accent2 5 7 7 2" xfId="15347"/>
    <cellStyle name="20% - Accent2 5 7 7 2 2" xfId="32968"/>
    <cellStyle name="20% - Accent2 5 7 7 3" xfId="25975"/>
    <cellStyle name="20% - Accent2 5 7 8" xfId="11121"/>
    <cellStyle name="20% - Accent2 5 7 8 2" xfId="28835"/>
    <cellStyle name="20% - Accent2 5 7 9" xfId="23114"/>
    <cellStyle name="20% - Accent2 5 8" xfId="3526"/>
    <cellStyle name="20% - Accent2 5 8 2" xfId="8143"/>
    <cellStyle name="20% - Accent2 5 8 2 2" xfId="15933"/>
    <cellStyle name="20% - Accent2 5 8 2 2 2" xfId="33554"/>
    <cellStyle name="20% - Accent2 5 8 2 3" xfId="26543"/>
    <cellStyle name="20% - Accent2 5 8 3" xfId="12251"/>
    <cellStyle name="20% - Accent2 5 8 3 2" xfId="29908"/>
    <cellStyle name="20% - Accent2 5 8 4" xfId="23682"/>
    <cellStyle name="20% - Accent2 5 9" xfId="3527"/>
    <cellStyle name="20% - Accent2 6" xfId="299"/>
    <cellStyle name="20% - Accent2 6 10" xfId="3528"/>
    <cellStyle name="20% - Accent2 6 10 2" xfId="8144"/>
    <cellStyle name="20% - Accent2 6 10 2 2" xfId="15934"/>
    <cellStyle name="20% - Accent2 6 10 2 2 2" xfId="33555"/>
    <cellStyle name="20% - Accent2 6 10 2 3" xfId="26544"/>
    <cellStyle name="20% - Accent2 6 10 3" xfId="12252"/>
    <cellStyle name="20% - Accent2 6 10 3 2" xfId="29909"/>
    <cellStyle name="20% - Accent2 6 10 4" xfId="23683"/>
    <cellStyle name="20% - Accent2 6 11" xfId="5556"/>
    <cellStyle name="20% - Accent2 6 11 2" xfId="8853"/>
    <cellStyle name="20% - Accent2 6 11 2 2" xfId="16642"/>
    <cellStyle name="20% - Accent2 6 11 2 2 2" xfId="34264"/>
    <cellStyle name="20% - Accent2 6 11 2 3" xfId="27227"/>
    <cellStyle name="20% - Accent2 6 11 3" xfId="13406"/>
    <cellStyle name="20% - Accent2 6 11 3 2" xfId="31032"/>
    <cellStyle name="20% - Accent2 6 11 4" xfId="24366"/>
    <cellStyle name="20% - Accent2 6 12" xfId="6186"/>
    <cellStyle name="20% - Accent2 6 12 2" xfId="9393"/>
    <cellStyle name="20% - Accent2 6 12 2 2" xfId="17181"/>
    <cellStyle name="20% - Accent2 6 12 2 2 2" xfId="34804"/>
    <cellStyle name="20% - Accent2 6 12 2 3" xfId="27763"/>
    <cellStyle name="20% - Accent2 6 12 3" xfId="13969"/>
    <cellStyle name="20% - Accent2 6 12 3 2" xfId="31590"/>
    <cellStyle name="20% - Accent2 6 12 4" xfId="24902"/>
    <cellStyle name="20% - Accent2 6 13" xfId="6723"/>
    <cellStyle name="20% - Accent2 6 13 2" xfId="9930"/>
    <cellStyle name="20% - Accent2 6 13 2 2" xfId="17717"/>
    <cellStyle name="20% - Accent2 6 13 2 2 2" xfId="35340"/>
    <cellStyle name="20% - Accent2 6 13 2 3" xfId="28299"/>
    <cellStyle name="20% - Accent2 6 13 3" xfId="14505"/>
    <cellStyle name="20% - Accent2 6 13 3 2" xfId="32126"/>
    <cellStyle name="20% - Accent2 6 13 4" xfId="25439"/>
    <cellStyle name="20% - Accent2 6 14" xfId="7557"/>
    <cellStyle name="20% - Accent2 6 14 2" xfId="15348"/>
    <cellStyle name="20% - Accent2 6 14 2 2" xfId="32969"/>
    <cellStyle name="20% - Accent2 6 14 3" xfId="25976"/>
    <cellStyle name="20% - Accent2 6 15" xfId="11122"/>
    <cellStyle name="20% - Accent2 6 15 2" xfId="28836"/>
    <cellStyle name="20% - Accent2 6 16" xfId="21926"/>
    <cellStyle name="20% - Accent2 6 16 2" xfId="38665"/>
    <cellStyle name="20% - Accent2 6 17" xfId="23115"/>
    <cellStyle name="20% - Accent2 6 18" xfId="51654"/>
    <cellStyle name="20% - Accent2 6 2" xfId="300"/>
    <cellStyle name="20% - Accent2 6 2 10" xfId="51655"/>
    <cellStyle name="20% - Accent2 6 2 2" xfId="3529"/>
    <cellStyle name="20% - Accent2 6 2 2 2" xfId="8145"/>
    <cellStyle name="20% - Accent2 6 2 2 2 2" xfId="15935"/>
    <cellStyle name="20% - Accent2 6 2 2 2 2 2" xfId="33556"/>
    <cellStyle name="20% - Accent2 6 2 2 2 3" xfId="26545"/>
    <cellStyle name="20% - Accent2 6 2 2 3" xfId="12253"/>
    <cellStyle name="20% - Accent2 6 2 2 3 2" xfId="29910"/>
    <cellStyle name="20% - Accent2 6 2 2 4" xfId="23684"/>
    <cellStyle name="20% - Accent2 6 2 3" xfId="5557"/>
    <cellStyle name="20% - Accent2 6 2 3 2" xfId="8854"/>
    <cellStyle name="20% - Accent2 6 2 3 2 2" xfId="16643"/>
    <cellStyle name="20% - Accent2 6 2 3 2 2 2" xfId="34265"/>
    <cellStyle name="20% - Accent2 6 2 3 2 3" xfId="27228"/>
    <cellStyle name="20% - Accent2 6 2 3 3" xfId="13407"/>
    <cellStyle name="20% - Accent2 6 2 3 3 2" xfId="31033"/>
    <cellStyle name="20% - Accent2 6 2 3 4" xfId="24367"/>
    <cellStyle name="20% - Accent2 6 2 4" xfId="6187"/>
    <cellStyle name="20% - Accent2 6 2 4 2" xfId="9394"/>
    <cellStyle name="20% - Accent2 6 2 4 2 2" xfId="17182"/>
    <cellStyle name="20% - Accent2 6 2 4 2 2 2" xfId="34805"/>
    <cellStyle name="20% - Accent2 6 2 4 2 3" xfId="27764"/>
    <cellStyle name="20% - Accent2 6 2 4 3" xfId="13970"/>
    <cellStyle name="20% - Accent2 6 2 4 3 2" xfId="31591"/>
    <cellStyle name="20% - Accent2 6 2 4 4" xfId="24903"/>
    <cellStyle name="20% - Accent2 6 2 5" xfId="6724"/>
    <cellStyle name="20% - Accent2 6 2 5 2" xfId="9931"/>
    <cellStyle name="20% - Accent2 6 2 5 2 2" xfId="17718"/>
    <cellStyle name="20% - Accent2 6 2 5 2 2 2" xfId="35341"/>
    <cellStyle name="20% - Accent2 6 2 5 2 3" xfId="28300"/>
    <cellStyle name="20% - Accent2 6 2 5 3" xfId="14506"/>
    <cellStyle name="20% - Accent2 6 2 5 3 2" xfId="32127"/>
    <cellStyle name="20% - Accent2 6 2 5 4" xfId="25440"/>
    <cellStyle name="20% - Accent2 6 2 6" xfId="7558"/>
    <cellStyle name="20% - Accent2 6 2 6 2" xfId="15349"/>
    <cellStyle name="20% - Accent2 6 2 6 2 2" xfId="32970"/>
    <cellStyle name="20% - Accent2 6 2 6 3" xfId="25977"/>
    <cellStyle name="20% - Accent2 6 2 7" xfId="11123"/>
    <cellStyle name="20% - Accent2 6 2 7 2" xfId="28837"/>
    <cellStyle name="20% - Accent2 6 2 8" xfId="22821"/>
    <cellStyle name="20% - Accent2 6 2 8 2" xfId="38986"/>
    <cellStyle name="20% - Accent2 6 2 9" xfId="23116"/>
    <cellStyle name="20% - Accent2 6 3" xfId="301"/>
    <cellStyle name="20% - Accent2 6 3 10" xfId="22031"/>
    <cellStyle name="20% - Accent2 6 3 11" xfId="23117"/>
    <cellStyle name="20% - Accent2 6 3 12" xfId="51656"/>
    <cellStyle name="20% - Accent2 6 3 2" xfId="302"/>
    <cellStyle name="20% - Accent2 6 3 2 2" xfId="3531"/>
    <cellStyle name="20% - Accent2 6 3 2 2 2" xfId="8147"/>
    <cellStyle name="20% - Accent2 6 3 2 2 2 2" xfId="15937"/>
    <cellStyle name="20% - Accent2 6 3 2 2 2 2 2" xfId="33558"/>
    <cellStyle name="20% - Accent2 6 3 2 2 2 3" xfId="26547"/>
    <cellStyle name="20% - Accent2 6 3 2 2 3" xfId="12255"/>
    <cellStyle name="20% - Accent2 6 3 2 2 3 2" xfId="29912"/>
    <cellStyle name="20% - Accent2 6 3 2 2 4" xfId="23686"/>
    <cellStyle name="20% - Accent2 6 3 2 3" xfId="5559"/>
    <cellStyle name="20% - Accent2 6 3 2 3 2" xfId="8856"/>
    <cellStyle name="20% - Accent2 6 3 2 3 2 2" xfId="16645"/>
    <cellStyle name="20% - Accent2 6 3 2 3 2 2 2" xfId="34267"/>
    <cellStyle name="20% - Accent2 6 3 2 3 2 3" xfId="27230"/>
    <cellStyle name="20% - Accent2 6 3 2 3 3" xfId="13409"/>
    <cellStyle name="20% - Accent2 6 3 2 3 3 2" xfId="31035"/>
    <cellStyle name="20% - Accent2 6 3 2 3 4" xfId="24369"/>
    <cellStyle name="20% - Accent2 6 3 2 4" xfId="6189"/>
    <cellStyle name="20% - Accent2 6 3 2 4 2" xfId="9396"/>
    <cellStyle name="20% - Accent2 6 3 2 4 2 2" xfId="17184"/>
    <cellStyle name="20% - Accent2 6 3 2 4 2 2 2" xfId="34807"/>
    <cellStyle name="20% - Accent2 6 3 2 4 2 3" xfId="27766"/>
    <cellStyle name="20% - Accent2 6 3 2 4 3" xfId="13972"/>
    <cellStyle name="20% - Accent2 6 3 2 4 3 2" xfId="31593"/>
    <cellStyle name="20% - Accent2 6 3 2 4 4" xfId="24905"/>
    <cellStyle name="20% - Accent2 6 3 2 5" xfId="6726"/>
    <cellStyle name="20% - Accent2 6 3 2 5 2" xfId="9933"/>
    <cellStyle name="20% - Accent2 6 3 2 5 2 2" xfId="17720"/>
    <cellStyle name="20% - Accent2 6 3 2 5 2 2 2" xfId="35343"/>
    <cellStyle name="20% - Accent2 6 3 2 5 2 3" xfId="28302"/>
    <cellStyle name="20% - Accent2 6 3 2 5 3" xfId="14508"/>
    <cellStyle name="20% - Accent2 6 3 2 5 3 2" xfId="32129"/>
    <cellStyle name="20% - Accent2 6 3 2 5 4" xfId="25442"/>
    <cellStyle name="20% - Accent2 6 3 2 6" xfId="7560"/>
    <cellStyle name="20% - Accent2 6 3 2 6 2" xfId="15351"/>
    <cellStyle name="20% - Accent2 6 3 2 6 2 2" xfId="32972"/>
    <cellStyle name="20% - Accent2 6 3 2 6 3" xfId="25979"/>
    <cellStyle name="20% - Accent2 6 3 2 7" xfId="11125"/>
    <cellStyle name="20% - Accent2 6 3 2 7 2" xfId="28839"/>
    <cellStyle name="20% - Accent2 6 3 2 8" xfId="23118"/>
    <cellStyle name="20% - Accent2 6 3 2 9" xfId="51657"/>
    <cellStyle name="20% - Accent2 6 3 3" xfId="3532"/>
    <cellStyle name="20% - Accent2 6 3 3 2" xfId="5560"/>
    <cellStyle name="20% - Accent2 6 3 3 2 2" xfId="8857"/>
    <cellStyle name="20% - Accent2 6 3 3 2 2 2" xfId="16646"/>
    <cellStyle name="20% - Accent2 6 3 3 2 2 2 2" xfId="34268"/>
    <cellStyle name="20% - Accent2 6 3 3 2 2 3" xfId="27231"/>
    <cellStyle name="20% - Accent2 6 3 3 2 3" xfId="13410"/>
    <cellStyle name="20% - Accent2 6 3 3 2 3 2" xfId="31036"/>
    <cellStyle name="20% - Accent2 6 3 3 2 4" xfId="24370"/>
    <cellStyle name="20% - Accent2 6 3 3 3" xfId="6190"/>
    <cellStyle name="20% - Accent2 6 3 3 3 2" xfId="9397"/>
    <cellStyle name="20% - Accent2 6 3 3 3 2 2" xfId="17185"/>
    <cellStyle name="20% - Accent2 6 3 3 3 2 2 2" xfId="34808"/>
    <cellStyle name="20% - Accent2 6 3 3 3 2 3" xfId="27767"/>
    <cellStyle name="20% - Accent2 6 3 3 3 3" xfId="13973"/>
    <cellStyle name="20% - Accent2 6 3 3 3 3 2" xfId="31594"/>
    <cellStyle name="20% - Accent2 6 3 3 3 4" xfId="24906"/>
    <cellStyle name="20% - Accent2 6 3 3 4" xfId="6727"/>
    <cellStyle name="20% - Accent2 6 3 3 4 2" xfId="9934"/>
    <cellStyle name="20% - Accent2 6 3 3 4 2 2" xfId="17721"/>
    <cellStyle name="20% - Accent2 6 3 3 4 2 2 2" xfId="35344"/>
    <cellStyle name="20% - Accent2 6 3 3 4 2 3" xfId="28303"/>
    <cellStyle name="20% - Accent2 6 3 3 4 3" xfId="14509"/>
    <cellStyle name="20% - Accent2 6 3 3 4 3 2" xfId="32130"/>
    <cellStyle name="20% - Accent2 6 3 3 4 4" xfId="25443"/>
    <cellStyle name="20% - Accent2 6 3 3 5" xfId="8148"/>
    <cellStyle name="20% - Accent2 6 3 3 5 2" xfId="15938"/>
    <cellStyle name="20% - Accent2 6 3 3 5 2 2" xfId="33559"/>
    <cellStyle name="20% - Accent2 6 3 3 5 3" xfId="26548"/>
    <cellStyle name="20% - Accent2 6 3 3 6" xfId="12256"/>
    <cellStyle name="20% - Accent2 6 3 3 6 2" xfId="29913"/>
    <cellStyle name="20% - Accent2 6 3 3 7" xfId="23687"/>
    <cellStyle name="20% - Accent2 6 3 4" xfId="3530"/>
    <cellStyle name="20% - Accent2 6 3 4 2" xfId="8146"/>
    <cellStyle name="20% - Accent2 6 3 4 2 2" xfId="15936"/>
    <cellStyle name="20% - Accent2 6 3 4 2 2 2" xfId="33557"/>
    <cellStyle name="20% - Accent2 6 3 4 2 3" xfId="26546"/>
    <cellStyle name="20% - Accent2 6 3 4 3" xfId="12254"/>
    <cellStyle name="20% - Accent2 6 3 4 3 2" xfId="29911"/>
    <cellStyle name="20% - Accent2 6 3 4 4" xfId="23685"/>
    <cellStyle name="20% - Accent2 6 3 5" xfId="5558"/>
    <cellStyle name="20% - Accent2 6 3 5 2" xfId="8855"/>
    <cellStyle name="20% - Accent2 6 3 5 2 2" xfId="16644"/>
    <cellStyle name="20% - Accent2 6 3 5 2 2 2" xfId="34266"/>
    <cellStyle name="20% - Accent2 6 3 5 2 3" xfId="27229"/>
    <cellStyle name="20% - Accent2 6 3 5 3" xfId="13408"/>
    <cellStyle name="20% - Accent2 6 3 5 3 2" xfId="31034"/>
    <cellStyle name="20% - Accent2 6 3 5 4" xfId="24368"/>
    <cellStyle name="20% - Accent2 6 3 6" xfId="6188"/>
    <cellStyle name="20% - Accent2 6 3 6 2" xfId="9395"/>
    <cellStyle name="20% - Accent2 6 3 6 2 2" xfId="17183"/>
    <cellStyle name="20% - Accent2 6 3 6 2 2 2" xfId="34806"/>
    <cellStyle name="20% - Accent2 6 3 6 2 3" xfId="27765"/>
    <cellStyle name="20% - Accent2 6 3 6 3" xfId="13971"/>
    <cellStyle name="20% - Accent2 6 3 6 3 2" xfId="31592"/>
    <cellStyle name="20% - Accent2 6 3 6 4" xfId="24904"/>
    <cellStyle name="20% - Accent2 6 3 7" xfId="6725"/>
    <cellStyle name="20% - Accent2 6 3 7 2" xfId="9932"/>
    <cellStyle name="20% - Accent2 6 3 7 2 2" xfId="17719"/>
    <cellStyle name="20% - Accent2 6 3 7 2 2 2" xfId="35342"/>
    <cellStyle name="20% - Accent2 6 3 7 2 3" xfId="28301"/>
    <cellStyle name="20% - Accent2 6 3 7 3" xfId="14507"/>
    <cellStyle name="20% - Accent2 6 3 7 3 2" xfId="32128"/>
    <cellStyle name="20% - Accent2 6 3 7 4" xfId="25441"/>
    <cellStyle name="20% - Accent2 6 3 8" xfId="7559"/>
    <cellStyle name="20% - Accent2 6 3 8 2" xfId="15350"/>
    <cellStyle name="20% - Accent2 6 3 8 2 2" xfId="32971"/>
    <cellStyle name="20% - Accent2 6 3 8 3" xfId="25978"/>
    <cellStyle name="20% - Accent2 6 3 9" xfId="11124"/>
    <cellStyle name="20% - Accent2 6 3 9 2" xfId="28838"/>
    <cellStyle name="20% - Accent2 6 4" xfId="303"/>
    <cellStyle name="20% - Accent2 6 4 10" xfId="52879"/>
    <cellStyle name="20% - Accent2 6 4 2" xfId="3533"/>
    <cellStyle name="20% - Accent2 6 4 2 2" xfId="8149"/>
    <cellStyle name="20% - Accent2 6 4 2 2 2" xfId="15939"/>
    <cellStyle name="20% - Accent2 6 4 2 2 2 2" xfId="33560"/>
    <cellStyle name="20% - Accent2 6 4 2 2 3" xfId="26549"/>
    <cellStyle name="20% - Accent2 6 4 2 3" xfId="12257"/>
    <cellStyle name="20% - Accent2 6 4 2 3 2" xfId="29914"/>
    <cellStyle name="20% - Accent2 6 4 2 4" xfId="23688"/>
    <cellStyle name="20% - Accent2 6 4 3" xfId="5561"/>
    <cellStyle name="20% - Accent2 6 4 3 2" xfId="8858"/>
    <cellStyle name="20% - Accent2 6 4 3 2 2" xfId="16647"/>
    <cellStyle name="20% - Accent2 6 4 3 2 2 2" xfId="34269"/>
    <cellStyle name="20% - Accent2 6 4 3 2 3" xfId="27232"/>
    <cellStyle name="20% - Accent2 6 4 3 3" xfId="13411"/>
    <cellStyle name="20% - Accent2 6 4 3 3 2" xfId="31037"/>
    <cellStyle name="20% - Accent2 6 4 3 4" xfId="24371"/>
    <cellStyle name="20% - Accent2 6 4 4" xfId="6191"/>
    <cellStyle name="20% - Accent2 6 4 4 2" xfId="9398"/>
    <cellStyle name="20% - Accent2 6 4 4 2 2" xfId="17186"/>
    <cellStyle name="20% - Accent2 6 4 4 2 2 2" xfId="34809"/>
    <cellStyle name="20% - Accent2 6 4 4 2 3" xfId="27768"/>
    <cellStyle name="20% - Accent2 6 4 4 3" xfId="13974"/>
    <cellStyle name="20% - Accent2 6 4 4 3 2" xfId="31595"/>
    <cellStyle name="20% - Accent2 6 4 4 4" xfId="24907"/>
    <cellStyle name="20% - Accent2 6 4 5" xfId="6728"/>
    <cellStyle name="20% - Accent2 6 4 5 2" xfId="9935"/>
    <cellStyle name="20% - Accent2 6 4 5 2 2" xfId="17722"/>
    <cellStyle name="20% - Accent2 6 4 5 2 2 2" xfId="35345"/>
    <cellStyle name="20% - Accent2 6 4 5 2 3" xfId="28304"/>
    <cellStyle name="20% - Accent2 6 4 5 3" xfId="14510"/>
    <cellStyle name="20% - Accent2 6 4 5 3 2" xfId="32131"/>
    <cellStyle name="20% - Accent2 6 4 5 4" xfId="25444"/>
    <cellStyle name="20% - Accent2 6 4 6" xfId="7561"/>
    <cellStyle name="20% - Accent2 6 4 6 2" xfId="15352"/>
    <cellStyle name="20% - Accent2 6 4 6 2 2" xfId="32973"/>
    <cellStyle name="20% - Accent2 6 4 6 3" xfId="25980"/>
    <cellStyle name="20% - Accent2 6 4 7" xfId="11126"/>
    <cellStyle name="20% - Accent2 6 4 7 2" xfId="28840"/>
    <cellStyle name="20% - Accent2 6 4 8" xfId="23119"/>
    <cellStyle name="20% - Accent2 6 4 9" xfId="51658"/>
    <cellStyle name="20% - Accent2 6 5" xfId="304"/>
    <cellStyle name="20% - Accent2 6 5 2" xfId="3534"/>
    <cellStyle name="20% - Accent2 6 5 2 2" xfId="8150"/>
    <cellStyle name="20% - Accent2 6 5 2 2 2" xfId="15940"/>
    <cellStyle name="20% - Accent2 6 5 2 2 2 2" xfId="33561"/>
    <cellStyle name="20% - Accent2 6 5 2 2 3" xfId="26550"/>
    <cellStyle name="20% - Accent2 6 5 2 3" xfId="12258"/>
    <cellStyle name="20% - Accent2 6 5 2 3 2" xfId="29915"/>
    <cellStyle name="20% - Accent2 6 5 2 4" xfId="23689"/>
    <cellStyle name="20% - Accent2 6 5 3" xfId="5562"/>
    <cellStyle name="20% - Accent2 6 5 3 2" xfId="8859"/>
    <cellStyle name="20% - Accent2 6 5 3 2 2" xfId="16648"/>
    <cellStyle name="20% - Accent2 6 5 3 2 2 2" xfId="34270"/>
    <cellStyle name="20% - Accent2 6 5 3 2 3" xfId="27233"/>
    <cellStyle name="20% - Accent2 6 5 3 3" xfId="13412"/>
    <cellStyle name="20% - Accent2 6 5 3 3 2" xfId="31038"/>
    <cellStyle name="20% - Accent2 6 5 3 4" xfId="24372"/>
    <cellStyle name="20% - Accent2 6 5 4" xfId="6192"/>
    <cellStyle name="20% - Accent2 6 5 4 2" xfId="9399"/>
    <cellStyle name="20% - Accent2 6 5 4 2 2" xfId="17187"/>
    <cellStyle name="20% - Accent2 6 5 4 2 2 2" xfId="34810"/>
    <cellStyle name="20% - Accent2 6 5 4 2 3" xfId="27769"/>
    <cellStyle name="20% - Accent2 6 5 4 3" xfId="13975"/>
    <cellStyle name="20% - Accent2 6 5 4 3 2" xfId="31596"/>
    <cellStyle name="20% - Accent2 6 5 4 4" xfId="24908"/>
    <cellStyle name="20% - Accent2 6 5 5" xfId="6729"/>
    <cellStyle name="20% - Accent2 6 5 5 2" xfId="9936"/>
    <cellStyle name="20% - Accent2 6 5 5 2 2" xfId="17723"/>
    <cellStyle name="20% - Accent2 6 5 5 2 2 2" xfId="35346"/>
    <cellStyle name="20% - Accent2 6 5 5 2 3" xfId="28305"/>
    <cellStyle name="20% - Accent2 6 5 5 3" xfId="14511"/>
    <cellStyle name="20% - Accent2 6 5 5 3 2" xfId="32132"/>
    <cellStyle name="20% - Accent2 6 5 5 4" xfId="25445"/>
    <cellStyle name="20% - Accent2 6 5 6" xfId="7562"/>
    <cellStyle name="20% - Accent2 6 5 6 2" xfId="15353"/>
    <cellStyle name="20% - Accent2 6 5 6 2 2" xfId="32974"/>
    <cellStyle name="20% - Accent2 6 5 6 3" xfId="25981"/>
    <cellStyle name="20% - Accent2 6 5 7" xfId="11127"/>
    <cellStyle name="20% - Accent2 6 5 7 2" xfId="28841"/>
    <cellStyle name="20% - Accent2 6 5 8" xfId="23120"/>
    <cellStyle name="20% - Accent2 6 5 9" xfId="51659"/>
    <cellStyle name="20% - Accent2 6 6" xfId="305"/>
    <cellStyle name="20% - Accent2 6 6 2" xfId="3535"/>
    <cellStyle name="20% - Accent2 6 6 2 2" xfId="8151"/>
    <cellStyle name="20% - Accent2 6 6 2 2 2" xfId="15941"/>
    <cellStyle name="20% - Accent2 6 6 2 2 2 2" xfId="33562"/>
    <cellStyle name="20% - Accent2 6 6 2 2 3" xfId="26551"/>
    <cellStyle name="20% - Accent2 6 6 2 3" xfId="12259"/>
    <cellStyle name="20% - Accent2 6 6 2 3 2" xfId="29916"/>
    <cellStyle name="20% - Accent2 6 6 2 4" xfId="23690"/>
    <cellStyle name="20% - Accent2 6 6 3" xfId="5563"/>
    <cellStyle name="20% - Accent2 6 6 3 2" xfId="8860"/>
    <cellStyle name="20% - Accent2 6 6 3 2 2" xfId="16649"/>
    <cellStyle name="20% - Accent2 6 6 3 2 2 2" xfId="34271"/>
    <cellStyle name="20% - Accent2 6 6 3 2 3" xfId="27234"/>
    <cellStyle name="20% - Accent2 6 6 3 3" xfId="13413"/>
    <cellStyle name="20% - Accent2 6 6 3 3 2" xfId="31039"/>
    <cellStyle name="20% - Accent2 6 6 3 4" xfId="24373"/>
    <cellStyle name="20% - Accent2 6 6 4" xfId="6193"/>
    <cellStyle name="20% - Accent2 6 6 4 2" xfId="9400"/>
    <cellStyle name="20% - Accent2 6 6 4 2 2" xfId="17188"/>
    <cellStyle name="20% - Accent2 6 6 4 2 2 2" xfId="34811"/>
    <cellStyle name="20% - Accent2 6 6 4 2 3" xfId="27770"/>
    <cellStyle name="20% - Accent2 6 6 4 3" xfId="13976"/>
    <cellStyle name="20% - Accent2 6 6 4 3 2" xfId="31597"/>
    <cellStyle name="20% - Accent2 6 6 4 4" xfId="24909"/>
    <cellStyle name="20% - Accent2 6 6 5" xfId="6730"/>
    <cellStyle name="20% - Accent2 6 6 5 2" xfId="9937"/>
    <cellStyle name="20% - Accent2 6 6 5 2 2" xfId="17724"/>
    <cellStyle name="20% - Accent2 6 6 5 2 2 2" xfId="35347"/>
    <cellStyle name="20% - Accent2 6 6 5 2 3" xfId="28306"/>
    <cellStyle name="20% - Accent2 6 6 5 3" xfId="14512"/>
    <cellStyle name="20% - Accent2 6 6 5 3 2" xfId="32133"/>
    <cellStyle name="20% - Accent2 6 6 5 4" xfId="25446"/>
    <cellStyle name="20% - Accent2 6 6 6" xfId="7563"/>
    <cellStyle name="20% - Accent2 6 6 6 2" xfId="15354"/>
    <cellStyle name="20% - Accent2 6 6 6 2 2" xfId="32975"/>
    <cellStyle name="20% - Accent2 6 6 6 3" xfId="25982"/>
    <cellStyle name="20% - Accent2 6 6 7" xfId="11128"/>
    <cellStyle name="20% - Accent2 6 6 7 2" xfId="28842"/>
    <cellStyle name="20% - Accent2 6 6 8" xfId="23121"/>
    <cellStyle name="20% - Accent2 6 6 9" xfId="51660"/>
    <cellStyle name="20% - Accent2 6 7" xfId="306"/>
    <cellStyle name="20% - Accent2 6 7 10" xfId="51661"/>
    <cellStyle name="20% - Accent2 6 7 2" xfId="307"/>
    <cellStyle name="20% - Accent2 6 7 2 2" xfId="8153"/>
    <cellStyle name="20% - Accent2 6 7 2 2 2" xfId="15943"/>
    <cellStyle name="20% - Accent2 6 7 2 2 2 2" xfId="33564"/>
    <cellStyle name="20% - Accent2 6 7 2 2 3" xfId="26553"/>
    <cellStyle name="20% - Accent2 6 7 2 3" xfId="12261"/>
    <cellStyle name="20% - Accent2 6 7 2 3 2" xfId="29918"/>
    <cellStyle name="20% - Accent2 6 7 2 4" xfId="23692"/>
    <cellStyle name="20% - Accent2 6 7 3" xfId="3536"/>
    <cellStyle name="20% - Accent2 6 7 3 2" xfId="8152"/>
    <cellStyle name="20% - Accent2 6 7 3 2 2" xfId="15942"/>
    <cellStyle name="20% - Accent2 6 7 3 2 2 2" xfId="33563"/>
    <cellStyle name="20% - Accent2 6 7 3 2 3" xfId="26552"/>
    <cellStyle name="20% - Accent2 6 7 3 3" xfId="12260"/>
    <cellStyle name="20% - Accent2 6 7 3 3 2" xfId="29917"/>
    <cellStyle name="20% - Accent2 6 7 3 4" xfId="23691"/>
    <cellStyle name="20% - Accent2 6 7 4" xfId="5564"/>
    <cellStyle name="20% - Accent2 6 7 4 2" xfId="8861"/>
    <cellStyle name="20% - Accent2 6 7 4 2 2" xfId="16650"/>
    <cellStyle name="20% - Accent2 6 7 4 2 2 2" xfId="34272"/>
    <cellStyle name="20% - Accent2 6 7 4 2 3" xfId="27235"/>
    <cellStyle name="20% - Accent2 6 7 4 3" xfId="13414"/>
    <cellStyle name="20% - Accent2 6 7 4 3 2" xfId="31040"/>
    <cellStyle name="20% - Accent2 6 7 4 4" xfId="24374"/>
    <cellStyle name="20% - Accent2 6 7 5" xfId="6194"/>
    <cellStyle name="20% - Accent2 6 7 5 2" xfId="9401"/>
    <cellStyle name="20% - Accent2 6 7 5 2 2" xfId="17189"/>
    <cellStyle name="20% - Accent2 6 7 5 2 2 2" xfId="34812"/>
    <cellStyle name="20% - Accent2 6 7 5 2 3" xfId="27771"/>
    <cellStyle name="20% - Accent2 6 7 5 3" xfId="13977"/>
    <cellStyle name="20% - Accent2 6 7 5 3 2" xfId="31598"/>
    <cellStyle name="20% - Accent2 6 7 5 4" xfId="24910"/>
    <cellStyle name="20% - Accent2 6 7 6" xfId="6731"/>
    <cellStyle name="20% - Accent2 6 7 6 2" xfId="9938"/>
    <cellStyle name="20% - Accent2 6 7 6 2 2" xfId="17725"/>
    <cellStyle name="20% - Accent2 6 7 6 2 2 2" xfId="35348"/>
    <cellStyle name="20% - Accent2 6 7 6 2 3" xfId="28307"/>
    <cellStyle name="20% - Accent2 6 7 6 3" xfId="14513"/>
    <cellStyle name="20% - Accent2 6 7 6 3 2" xfId="32134"/>
    <cellStyle name="20% - Accent2 6 7 6 4" xfId="25447"/>
    <cellStyle name="20% - Accent2 6 7 7" xfId="7564"/>
    <cellStyle name="20% - Accent2 6 7 7 2" xfId="15355"/>
    <cellStyle name="20% - Accent2 6 7 7 2 2" xfId="32976"/>
    <cellStyle name="20% - Accent2 6 7 7 3" xfId="25983"/>
    <cellStyle name="20% - Accent2 6 7 8" xfId="11129"/>
    <cellStyle name="20% - Accent2 6 7 8 2" xfId="28843"/>
    <cellStyle name="20% - Accent2 6 7 9" xfId="23122"/>
    <cellStyle name="20% - Accent2 6 8" xfId="3537"/>
    <cellStyle name="20% - Accent2 6 8 2" xfId="8154"/>
    <cellStyle name="20% - Accent2 6 8 2 2" xfId="15944"/>
    <cellStyle name="20% - Accent2 6 8 2 2 2" xfId="33565"/>
    <cellStyle name="20% - Accent2 6 8 2 3" xfId="26554"/>
    <cellStyle name="20% - Accent2 6 8 3" xfId="12262"/>
    <cellStyle name="20% - Accent2 6 8 3 2" xfId="29919"/>
    <cellStyle name="20% - Accent2 6 8 4" xfId="23693"/>
    <cellStyle name="20% - Accent2 6 9" xfId="3538"/>
    <cellStyle name="20% - Accent2 6 9 2" xfId="8155"/>
    <cellStyle name="20% - Accent2 6 9 2 2" xfId="15945"/>
    <cellStyle name="20% - Accent2 6 9 2 2 2" xfId="33566"/>
    <cellStyle name="20% - Accent2 6 9 2 3" xfId="26555"/>
    <cellStyle name="20% - Accent2 6 9 3" xfId="12263"/>
    <cellStyle name="20% - Accent2 6 9 3 2" xfId="29920"/>
    <cellStyle name="20% - Accent2 6 9 4" xfId="23694"/>
    <cellStyle name="20% - Accent2 7" xfId="308"/>
    <cellStyle name="20% - Accent2 7 10" xfId="3539"/>
    <cellStyle name="20% - Accent2 7 10 2" xfId="8156"/>
    <cellStyle name="20% - Accent2 7 10 2 2" xfId="15946"/>
    <cellStyle name="20% - Accent2 7 10 2 2 2" xfId="33567"/>
    <cellStyle name="20% - Accent2 7 10 2 3" xfId="26556"/>
    <cellStyle name="20% - Accent2 7 10 3" xfId="12264"/>
    <cellStyle name="20% - Accent2 7 10 3 2" xfId="29921"/>
    <cellStyle name="20% - Accent2 7 10 4" xfId="23695"/>
    <cellStyle name="20% - Accent2 7 11" xfId="5565"/>
    <cellStyle name="20% - Accent2 7 11 2" xfId="8862"/>
    <cellStyle name="20% - Accent2 7 11 2 2" xfId="16651"/>
    <cellStyle name="20% - Accent2 7 11 2 2 2" xfId="34273"/>
    <cellStyle name="20% - Accent2 7 11 2 3" xfId="27236"/>
    <cellStyle name="20% - Accent2 7 11 3" xfId="13415"/>
    <cellStyle name="20% - Accent2 7 11 3 2" xfId="31041"/>
    <cellStyle name="20% - Accent2 7 11 4" xfId="24375"/>
    <cellStyle name="20% - Accent2 7 12" xfId="6195"/>
    <cellStyle name="20% - Accent2 7 12 2" xfId="9402"/>
    <cellStyle name="20% - Accent2 7 12 2 2" xfId="17190"/>
    <cellStyle name="20% - Accent2 7 12 2 2 2" xfId="34813"/>
    <cellStyle name="20% - Accent2 7 12 2 3" xfId="27772"/>
    <cellStyle name="20% - Accent2 7 12 3" xfId="13978"/>
    <cellStyle name="20% - Accent2 7 12 3 2" xfId="31599"/>
    <cellStyle name="20% - Accent2 7 12 4" xfId="24911"/>
    <cellStyle name="20% - Accent2 7 13" xfId="6732"/>
    <cellStyle name="20% - Accent2 7 13 2" xfId="9939"/>
    <cellStyle name="20% - Accent2 7 13 2 2" xfId="17726"/>
    <cellStyle name="20% - Accent2 7 13 2 2 2" xfId="35349"/>
    <cellStyle name="20% - Accent2 7 13 2 3" xfId="28308"/>
    <cellStyle name="20% - Accent2 7 13 3" xfId="14514"/>
    <cellStyle name="20% - Accent2 7 13 3 2" xfId="32135"/>
    <cellStyle name="20% - Accent2 7 13 4" xfId="25448"/>
    <cellStyle name="20% - Accent2 7 14" xfId="7565"/>
    <cellStyle name="20% - Accent2 7 14 2" xfId="15356"/>
    <cellStyle name="20% - Accent2 7 14 2 2" xfId="32977"/>
    <cellStyle name="20% - Accent2 7 14 3" xfId="25984"/>
    <cellStyle name="20% - Accent2 7 15" xfId="11130"/>
    <cellStyle name="20% - Accent2 7 15 2" xfId="28844"/>
    <cellStyle name="20% - Accent2 7 16" xfId="22032"/>
    <cellStyle name="20% - Accent2 7 16 2" xfId="38732"/>
    <cellStyle name="20% - Accent2 7 17" xfId="23123"/>
    <cellStyle name="20% - Accent2 7 18" xfId="51662"/>
    <cellStyle name="20% - Accent2 7 2" xfId="309"/>
    <cellStyle name="20% - Accent2 7 2 10" xfId="51663"/>
    <cellStyle name="20% - Accent2 7 2 2" xfId="3540"/>
    <cellStyle name="20% - Accent2 7 2 2 2" xfId="8157"/>
    <cellStyle name="20% - Accent2 7 2 2 2 2" xfId="15947"/>
    <cellStyle name="20% - Accent2 7 2 2 2 2 2" xfId="33568"/>
    <cellStyle name="20% - Accent2 7 2 2 2 3" xfId="26557"/>
    <cellStyle name="20% - Accent2 7 2 2 3" xfId="12265"/>
    <cellStyle name="20% - Accent2 7 2 2 3 2" xfId="29922"/>
    <cellStyle name="20% - Accent2 7 2 2 4" xfId="23696"/>
    <cellStyle name="20% - Accent2 7 2 3" xfId="5566"/>
    <cellStyle name="20% - Accent2 7 2 3 2" xfId="8863"/>
    <cellStyle name="20% - Accent2 7 2 3 2 2" xfId="16652"/>
    <cellStyle name="20% - Accent2 7 2 3 2 2 2" xfId="34274"/>
    <cellStyle name="20% - Accent2 7 2 3 2 3" xfId="27237"/>
    <cellStyle name="20% - Accent2 7 2 3 3" xfId="13416"/>
    <cellStyle name="20% - Accent2 7 2 3 3 2" xfId="31042"/>
    <cellStyle name="20% - Accent2 7 2 3 4" xfId="24376"/>
    <cellStyle name="20% - Accent2 7 2 4" xfId="6196"/>
    <cellStyle name="20% - Accent2 7 2 4 2" xfId="9403"/>
    <cellStyle name="20% - Accent2 7 2 4 2 2" xfId="17191"/>
    <cellStyle name="20% - Accent2 7 2 4 2 2 2" xfId="34814"/>
    <cellStyle name="20% - Accent2 7 2 4 2 3" xfId="27773"/>
    <cellStyle name="20% - Accent2 7 2 4 3" xfId="13979"/>
    <cellStyle name="20% - Accent2 7 2 4 3 2" xfId="31600"/>
    <cellStyle name="20% - Accent2 7 2 4 4" xfId="24912"/>
    <cellStyle name="20% - Accent2 7 2 5" xfId="6733"/>
    <cellStyle name="20% - Accent2 7 2 5 2" xfId="9940"/>
    <cellStyle name="20% - Accent2 7 2 5 2 2" xfId="17727"/>
    <cellStyle name="20% - Accent2 7 2 5 2 2 2" xfId="35350"/>
    <cellStyle name="20% - Accent2 7 2 5 2 3" xfId="28309"/>
    <cellStyle name="20% - Accent2 7 2 5 3" xfId="14515"/>
    <cellStyle name="20% - Accent2 7 2 5 3 2" xfId="32136"/>
    <cellStyle name="20% - Accent2 7 2 5 4" xfId="25449"/>
    <cellStyle name="20% - Accent2 7 2 6" xfId="7566"/>
    <cellStyle name="20% - Accent2 7 2 6 2" xfId="15357"/>
    <cellStyle name="20% - Accent2 7 2 6 2 2" xfId="32978"/>
    <cellStyle name="20% - Accent2 7 2 6 3" xfId="25985"/>
    <cellStyle name="20% - Accent2 7 2 7" xfId="11131"/>
    <cellStyle name="20% - Accent2 7 2 7 2" xfId="28845"/>
    <cellStyle name="20% - Accent2 7 2 8" xfId="22700"/>
    <cellStyle name="20% - Accent2 7 2 8 2" xfId="38896"/>
    <cellStyle name="20% - Accent2 7 2 9" xfId="23124"/>
    <cellStyle name="20% - Accent2 7 3" xfId="310"/>
    <cellStyle name="20% - Accent2 7 3 10" xfId="23125"/>
    <cellStyle name="20% - Accent2 7 3 11" xfId="51664"/>
    <cellStyle name="20% - Accent2 7 3 2" xfId="311"/>
    <cellStyle name="20% - Accent2 7 3 2 2" xfId="3542"/>
    <cellStyle name="20% - Accent2 7 3 2 2 2" xfId="8159"/>
    <cellStyle name="20% - Accent2 7 3 2 2 2 2" xfId="15949"/>
    <cellStyle name="20% - Accent2 7 3 2 2 2 2 2" xfId="33570"/>
    <cellStyle name="20% - Accent2 7 3 2 2 2 3" xfId="26559"/>
    <cellStyle name="20% - Accent2 7 3 2 2 3" xfId="12267"/>
    <cellStyle name="20% - Accent2 7 3 2 2 3 2" xfId="29924"/>
    <cellStyle name="20% - Accent2 7 3 2 2 4" xfId="23698"/>
    <cellStyle name="20% - Accent2 7 3 2 3" xfId="5568"/>
    <cellStyle name="20% - Accent2 7 3 2 3 2" xfId="8865"/>
    <cellStyle name="20% - Accent2 7 3 2 3 2 2" xfId="16654"/>
    <cellStyle name="20% - Accent2 7 3 2 3 2 2 2" xfId="34276"/>
    <cellStyle name="20% - Accent2 7 3 2 3 2 3" xfId="27239"/>
    <cellStyle name="20% - Accent2 7 3 2 3 3" xfId="13418"/>
    <cellStyle name="20% - Accent2 7 3 2 3 3 2" xfId="31044"/>
    <cellStyle name="20% - Accent2 7 3 2 3 4" xfId="24378"/>
    <cellStyle name="20% - Accent2 7 3 2 4" xfId="6198"/>
    <cellStyle name="20% - Accent2 7 3 2 4 2" xfId="9405"/>
    <cellStyle name="20% - Accent2 7 3 2 4 2 2" xfId="17193"/>
    <cellStyle name="20% - Accent2 7 3 2 4 2 2 2" xfId="34816"/>
    <cellStyle name="20% - Accent2 7 3 2 4 2 3" xfId="27775"/>
    <cellStyle name="20% - Accent2 7 3 2 4 3" xfId="13981"/>
    <cellStyle name="20% - Accent2 7 3 2 4 3 2" xfId="31602"/>
    <cellStyle name="20% - Accent2 7 3 2 4 4" xfId="24914"/>
    <cellStyle name="20% - Accent2 7 3 2 5" xfId="6735"/>
    <cellStyle name="20% - Accent2 7 3 2 5 2" xfId="9942"/>
    <cellStyle name="20% - Accent2 7 3 2 5 2 2" xfId="17729"/>
    <cellStyle name="20% - Accent2 7 3 2 5 2 2 2" xfId="35352"/>
    <cellStyle name="20% - Accent2 7 3 2 5 2 3" xfId="28311"/>
    <cellStyle name="20% - Accent2 7 3 2 5 3" xfId="14517"/>
    <cellStyle name="20% - Accent2 7 3 2 5 3 2" xfId="32138"/>
    <cellStyle name="20% - Accent2 7 3 2 5 4" xfId="25451"/>
    <cellStyle name="20% - Accent2 7 3 2 6" xfId="7568"/>
    <cellStyle name="20% - Accent2 7 3 2 6 2" xfId="15359"/>
    <cellStyle name="20% - Accent2 7 3 2 6 2 2" xfId="32980"/>
    <cellStyle name="20% - Accent2 7 3 2 6 3" xfId="25987"/>
    <cellStyle name="20% - Accent2 7 3 2 7" xfId="11133"/>
    <cellStyle name="20% - Accent2 7 3 2 7 2" xfId="28847"/>
    <cellStyle name="20% - Accent2 7 3 2 8" xfId="23126"/>
    <cellStyle name="20% - Accent2 7 3 2 9" xfId="51665"/>
    <cellStyle name="20% - Accent2 7 3 3" xfId="3543"/>
    <cellStyle name="20% - Accent2 7 3 3 2" xfId="5569"/>
    <cellStyle name="20% - Accent2 7 3 3 2 2" xfId="8866"/>
    <cellStyle name="20% - Accent2 7 3 3 2 2 2" xfId="16655"/>
    <cellStyle name="20% - Accent2 7 3 3 2 2 2 2" xfId="34277"/>
    <cellStyle name="20% - Accent2 7 3 3 2 2 3" xfId="27240"/>
    <cellStyle name="20% - Accent2 7 3 3 2 3" xfId="13419"/>
    <cellStyle name="20% - Accent2 7 3 3 2 3 2" xfId="31045"/>
    <cellStyle name="20% - Accent2 7 3 3 2 4" xfId="24379"/>
    <cellStyle name="20% - Accent2 7 3 3 3" xfId="6199"/>
    <cellStyle name="20% - Accent2 7 3 3 3 2" xfId="9406"/>
    <cellStyle name="20% - Accent2 7 3 3 3 2 2" xfId="17194"/>
    <cellStyle name="20% - Accent2 7 3 3 3 2 2 2" xfId="34817"/>
    <cellStyle name="20% - Accent2 7 3 3 3 2 3" xfId="27776"/>
    <cellStyle name="20% - Accent2 7 3 3 3 3" xfId="13982"/>
    <cellStyle name="20% - Accent2 7 3 3 3 3 2" xfId="31603"/>
    <cellStyle name="20% - Accent2 7 3 3 3 4" xfId="24915"/>
    <cellStyle name="20% - Accent2 7 3 3 4" xfId="6736"/>
    <cellStyle name="20% - Accent2 7 3 3 4 2" xfId="9943"/>
    <cellStyle name="20% - Accent2 7 3 3 4 2 2" xfId="17730"/>
    <cellStyle name="20% - Accent2 7 3 3 4 2 2 2" xfId="35353"/>
    <cellStyle name="20% - Accent2 7 3 3 4 2 3" xfId="28312"/>
    <cellStyle name="20% - Accent2 7 3 3 4 3" xfId="14518"/>
    <cellStyle name="20% - Accent2 7 3 3 4 3 2" xfId="32139"/>
    <cellStyle name="20% - Accent2 7 3 3 4 4" xfId="25452"/>
    <cellStyle name="20% - Accent2 7 3 3 5" xfId="8160"/>
    <cellStyle name="20% - Accent2 7 3 3 5 2" xfId="15950"/>
    <cellStyle name="20% - Accent2 7 3 3 5 2 2" xfId="33571"/>
    <cellStyle name="20% - Accent2 7 3 3 5 3" xfId="26560"/>
    <cellStyle name="20% - Accent2 7 3 3 6" xfId="12268"/>
    <cellStyle name="20% - Accent2 7 3 3 6 2" xfId="29925"/>
    <cellStyle name="20% - Accent2 7 3 3 7" xfId="23699"/>
    <cellStyle name="20% - Accent2 7 3 4" xfId="3541"/>
    <cellStyle name="20% - Accent2 7 3 4 2" xfId="8158"/>
    <cellStyle name="20% - Accent2 7 3 4 2 2" xfId="15948"/>
    <cellStyle name="20% - Accent2 7 3 4 2 2 2" xfId="33569"/>
    <cellStyle name="20% - Accent2 7 3 4 2 3" xfId="26558"/>
    <cellStyle name="20% - Accent2 7 3 4 3" xfId="12266"/>
    <cellStyle name="20% - Accent2 7 3 4 3 2" xfId="29923"/>
    <cellStyle name="20% - Accent2 7 3 4 4" xfId="23697"/>
    <cellStyle name="20% - Accent2 7 3 5" xfId="5567"/>
    <cellStyle name="20% - Accent2 7 3 5 2" xfId="8864"/>
    <cellStyle name="20% - Accent2 7 3 5 2 2" xfId="16653"/>
    <cellStyle name="20% - Accent2 7 3 5 2 2 2" xfId="34275"/>
    <cellStyle name="20% - Accent2 7 3 5 2 3" xfId="27238"/>
    <cellStyle name="20% - Accent2 7 3 5 3" xfId="13417"/>
    <cellStyle name="20% - Accent2 7 3 5 3 2" xfId="31043"/>
    <cellStyle name="20% - Accent2 7 3 5 4" xfId="24377"/>
    <cellStyle name="20% - Accent2 7 3 6" xfId="6197"/>
    <cellStyle name="20% - Accent2 7 3 6 2" xfId="9404"/>
    <cellStyle name="20% - Accent2 7 3 6 2 2" xfId="17192"/>
    <cellStyle name="20% - Accent2 7 3 6 2 2 2" xfId="34815"/>
    <cellStyle name="20% - Accent2 7 3 6 2 3" xfId="27774"/>
    <cellStyle name="20% - Accent2 7 3 6 3" xfId="13980"/>
    <cellStyle name="20% - Accent2 7 3 6 3 2" xfId="31601"/>
    <cellStyle name="20% - Accent2 7 3 6 4" xfId="24913"/>
    <cellStyle name="20% - Accent2 7 3 7" xfId="6734"/>
    <cellStyle name="20% - Accent2 7 3 7 2" xfId="9941"/>
    <cellStyle name="20% - Accent2 7 3 7 2 2" xfId="17728"/>
    <cellStyle name="20% - Accent2 7 3 7 2 2 2" xfId="35351"/>
    <cellStyle name="20% - Accent2 7 3 7 2 3" xfId="28310"/>
    <cellStyle name="20% - Accent2 7 3 7 3" xfId="14516"/>
    <cellStyle name="20% - Accent2 7 3 7 3 2" xfId="32137"/>
    <cellStyle name="20% - Accent2 7 3 7 4" xfId="25450"/>
    <cellStyle name="20% - Accent2 7 3 8" xfId="7567"/>
    <cellStyle name="20% - Accent2 7 3 8 2" xfId="15358"/>
    <cellStyle name="20% - Accent2 7 3 8 2 2" xfId="32979"/>
    <cellStyle name="20% - Accent2 7 3 8 3" xfId="25986"/>
    <cellStyle name="20% - Accent2 7 3 9" xfId="11132"/>
    <cellStyle name="20% - Accent2 7 3 9 2" xfId="28846"/>
    <cellStyle name="20% - Accent2 7 4" xfId="312"/>
    <cellStyle name="20% - Accent2 7 4 2" xfId="3544"/>
    <cellStyle name="20% - Accent2 7 4 2 2" xfId="8161"/>
    <cellStyle name="20% - Accent2 7 4 2 2 2" xfId="15951"/>
    <cellStyle name="20% - Accent2 7 4 2 2 2 2" xfId="33572"/>
    <cellStyle name="20% - Accent2 7 4 2 2 3" xfId="26561"/>
    <cellStyle name="20% - Accent2 7 4 2 3" xfId="12269"/>
    <cellStyle name="20% - Accent2 7 4 2 3 2" xfId="29926"/>
    <cellStyle name="20% - Accent2 7 4 2 4" xfId="23700"/>
    <cellStyle name="20% - Accent2 7 4 3" xfId="5570"/>
    <cellStyle name="20% - Accent2 7 4 3 2" xfId="8867"/>
    <cellStyle name="20% - Accent2 7 4 3 2 2" xfId="16656"/>
    <cellStyle name="20% - Accent2 7 4 3 2 2 2" xfId="34278"/>
    <cellStyle name="20% - Accent2 7 4 3 2 3" xfId="27241"/>
    <cellStyle name="20% - Accent2 7 4 3 3" xfId="13420"/>
    <cellStyle name="20% - Accent2 7 4 3 3 2" xfId="31046"/>
    <cellStyle name="20% - Accent2 7 4 3 4" xfId="24380"/>
    <cellStyle name="20% - Accent2 7 4 4" xfId="6200"/>
    <cellStyle name="20% - Accent2 7 4 4 2" xfId="9407"/>
    <cellStyle name="20% - Accent2 7 4 4 2 2" xfId="17195"/>
    <cellStyle name="20% - Accent2 7 4 4 2 2 2" xfId="34818"/>
    <cellStyle name="20% - Accent2 7 4 4 2 3" xfId="27777"/>
    <cellStyle name="20% - Accent2 7 4 4 3" xfId="13983"/>
    <cellStyle name="20% - Accent2 7 4 4 3 2" xfId="31604"/>
    <cellStyle name="20% - Accent2 7 4 4 4" xfId="24916"/>
    <cellStyle name="20% - Accent2 7 4 5" xfId="6737"/>
    <cellStyle name="20% - Accent2 7 4 5 2" xfId="9944"/>
    <cellStyle name="20% - Accent2 7 4 5 2 2" xfId="17731"/>
    <cellStyle name="20% - Accent2 7 4 5 2 2 2" xfId="35354"/>
    <cellStyle name="20% - Accent2 7 4 5 2 3" xfId="28313"/>
    <cellStyle name="20% - Accent2 7 4 5 3" xfId="14519"/>
    <cellStyle name="20% - Accent2 7 4 5 3 2" xfId="32140"/>
    <cellStyle name="20% - Accent2 7 4 5 4" xfId="25453"/>
    <cellStyle name="20% - Accent2 7 4 6" xfId="7569"/>
    <cellStyle name="20% - Accent2 7 4 6 2" xfId="15360"/>
    <cellStyle name="20% - Accent2 7 4 6 2 2" xfId="32981"/>
    <cellStyle name="20% - Accent2 7 4 6 3" xfId="25988"/>
    <cellStyle name="20% - Accent2 7 4 7" xfId="11134"/>
    <cellStyle name="20% - Accent2 7 4 7 2" xfId="28848"/>
    <cellStyle name="20% - Accent2 7 4 8" xfId="23127"/>
    <cellStyle name="20% - Accent2 7 4 9" xfId="51666"/>
    <cellStyle name="20% - Accent2 7 5" xfId="313"/>
    <cellStyle name="20% - Accent2 7 5 2" xfId="3545"/>
    <cellStyle name="20% - Accent2 7 5 2 2" xfId="8162"/>
    <cellStyle name="20% - Accent2 7 5 2 2 2" xfId="15952"/>
    <cellStyle name="20% - Accent2 7 5 2 2 2 2" xfId="33573"/>
    <cellStyle name="20% - Accent2 7 5 2 2 3" xfId="26562"/>
    <cellStyle name="20% - Accent2 7 5 2 3" xfId="12270"/>
    <cellStyle name="20% - Accent2 7 5 2 3 2" xfId="29927"/>
    <cellStyle name="20% - Accent2 7 5 2 4" xfId="23701"/>
    <cellStyle name="20% - Accent2 7 5 3" xfId="5571"/>
    <cellStyle name="20% - Accent2 7 5 3 2" xfId="8868"/>
    <cellStyle name="20% - Accent2 7 5 3 2 2" xfId="16657"/>
    <cellStyle name="20% - Accent2 7 5 3 2 2 2" xfId="34279"/>
    <cellStyle name="20% - Accent2 7 5 3 2 3" xfId="27242"/>
    <cellStyle name="20% - Accent2 7 5 3 3" xfId="13421"/>
    <cellStyle name="20% - Accent2 7 5 3 3 2" xfId="31047"/>
    <cellStyle name="20% - Accent2 7 5 3 4" xfId="24381"/>
    <cellStyle name="20% - Accent2 7 5 4" xfId="6201"/>
    <cellStyle name="20% - Accent2 7 5 4 2" xfId="9408"/>
    <cellStyle name="20% - Accent2 7 5 4 2 2" xfId="17196"/>
    <cellStyle name="20% - Accent2 7 5 4 2 2 2" xfId="34819"/>
    <cellStyle name="20% - Accent2 7 5 4 2 3" xfId="27778"/>
    <cellStyle name="20% - Accent2 7 5 4 3" xfId="13984"/>
    <cellStyle name="20% - Accent2 7 5 4 3 2" xfId="31605"/>
    <cellStyle name="20% - Accent2 7 5 4 4" xfId="24917"/>
    <cellStyle name="20% - Accent2 7 5 5" xfId="6738"/>
    <cellStyle name="20% - Accent2 7 5 5 2" xfId="9945"/>
    <cellStyle name="20% - Accent2 7 5 5 2 2" xfId="17732"/>
    <cellStyle name="20% - Accent2 7 5 5 2 2 2" xfId="35355"/>
    <cellStyle name="20% - Accent2 7 5 5 2 3" xfId="28314"/>
    <cellStyle name="20% - Accent2 7 5 5 3" xfId="14520"/>
    <cellStyle name="20% - Accent2 7 5 5 3 2" xfId="32141"/>
    <cellStyle name="20% - Accent2 7 5 5 4" xfId="25454"/>
    <cellStyle name="20% - Accent2 7 5 6" xfId="7570"/>
    <cellStyle name="20% - Accent2 7 5 6 2" xfId="15361"/>
    <cellStyle name="20% - Accent2 7 5 6 2 2" xfId="32982"/>
    <cellStyle name="20% - Accent2 7 5 6 3" xfId="25989"/>
    <cellStyle name="20% - Accent2 7 5 7" xfId="11135"/>
    <cellStyle name="20% - Accent2 7 5 7 2" xfId="28849"/>
    <cellStyle name="20% - Accent2 7 5 8" xfId="23128"/>
    <cellStyle name="20% - Accent2 7 5 9" xfId="51667"/>
    <cellStyle name="20% - Accent2 7 6" xfId="314"/>
    <cellStyle name="20% - Accent2 7 6 2" xfId="3546"/>
    <cellStyle name="20% - Accent2 7 6 2 2" xfId="8163"/>
    <cellStyle name="20% - Accent2 7 6 2 2 2" xfId="15953"/>
    <cellStyle name="20% - Accent2 7 6 2 2 2 2" xfId="33574"/>
    <cellStyle name="20% - Accent2 7 6 2 2 3" xfId="26563"/>
    <cellStyle name="20% - Accent2 7 6 2 3" xfId="12271"/>
    <cellStyle name="20% - Accent2 7 6 2 3 2" xfId="29928"/>
    <cellStyle name="20% - Accent2 7 6 2 4" xfId="23702"/>
    <cellStyle name="20% - Accent2 7 6 3" xfId="5572"/>
    <cellStyle name="20% - Accent2 7 6 3 2" xfId="8869"/>
    <cellStyle name="20% - Accent2 7 6 3 2 2" xfId="16658"/>
    <cellStyle name="20% - Accent2 7 6 3 2 2 2" xfId="34280"/>
    <cellStyle name="20% - Accent2 7 6 3 2 3" xfId="27243"/>
    <cellStyle name="20% - Accent2 7 6 3 3" xfId="13422"/>
    <cellStyle name="20% - Accent2 7 6 3 3 2" xfId="31048"/>
    <cellStyle name="20% - Accent2 7 6 3 4" xfId="24382"/>
    <cellStyle name="20% - Accent2 7 6 4" xfId="6202"/>
    <cellStyle name="20% - Accent2 7 6 4 2" xfId="9409"/>
    <cellStyle name="20% - Accent2 7 6 4 2 2" xfId="17197"/>
    <cellStyle name="20% - Accent2 7 6 4 2 2 2" xfId="34820"/>
    <cellStyle name="20% - Accent2 7 6 4 2 3" xfId="27779"/>
    <cellStyle name="20% - Accent2 7 6 4 3" xfId="13985"/>
    <cellStyle name="20% - Accent2 7 6 4 3 2" xfId="31606"/>
    <cellStyle name="20% - Accent2 7 6 4 4" xfId="24918"/>
    <cellStyle name="20% - Accent2 7 6 5" xfId="6739"/>
    <cellStyle name="20% - Accent2 7 6 5 2" xfId="9946"/>
    <cellStyle name="20% - Accent2 7 6 5 2 2" xfId="17733"/>
    <cellStyle name="20% - Accent2 7 6 5 2 2 2" xfId="35356"/>
    <cellStyle name="20% - Accent2 7 6 5 2 3" xfId="28315"/>
    <cellStyle name="20% - Accent2 7 6 5 3" xfId="14521"/>
    <cellStyle name="20% - Accent2 7 6 5 3 2" xfId="32142"/>
    <cellStyle name="20% - Accent2 7 6 5 4" xfId="25455"/>
    <cellStyle name="20% - Accent2 7 6 6" xfId="7571"/>
    <cellStyle name="20% - Accent2 7 6 6 2" xfId="15362"/>
    <cellStyle name="20% - Accent2 7 6 6 2 2" xfId="32983"/>
    <cellStyle name="20% - Accent2 7 6 6 3" xfId="25990"/>
    <cellStyle name="20% - Accent2 7 6 7" xfId="11136"/>
    <cellStyle name="20% - Accent2 7 6 7 2" xfId="28850"/>
    <cellStyle name="20% - Accent2 7 6 8" xfId="23129"/>
    <cellStyle name="20% - Accent2 7 6 9" xfId="51668"/>
    <cellStyle name="20% - Accent2 7 7" xfId="315"/>
    <cellStyle name="20% - Accent2 7 7 10" xfId="51669"/>
    <cellStyle name="20% - Accent2 7 7 2" xfId="316"/>
    <cellStyle name="20% - Accent2 7 7 2 2" xfId="8165"/>
    <cellStyle name="20% - Accent2 7 7 2 2 2" xfId="15955"/>
    <cellStyle name="20% - Accent2 7 7 2 2 2 2" xfId="33576"/>
    <cellStyle name="20% - Accent2 7 7 2 2 3" xfId="26565"/>
    <cellStyle name="20% - Accent2 7 7 2 3" xfId="12273"/>
    <cellStyle name="20% - Accent2 7 7 2 3 2" xfId="29930"/>
    <cellStyle name="20% - Accent2 7 7 2 4" xfId="23704"/>
    <cellStyle name="20% - Accent2 7 7 3" xfId="3547"/>
    <cellStyle name="20% - Accent2 7 7 3 2" xfId="8164"/>
    <cellStyle name="20% - Accent2 7 7 3 2 2" xfId="15954"/>
    <cellStyle name="20% - Accent2 7 7 3 2 2 2" xfId="33575"/>
    <cellStyle name="20% - Accent2 7 7 3 2 3" xfId="26564"/>
    <cellStyle name="20% - Accent2 7 7 3 3" xfId="12272"/>
    <cellStyle name="20% - Accent2 7 7 3 3 2" xfId="29929"/>
    <cellStyle name="20% - Accent2 7 7 3 4" xfId="23703"/>
    <cellStyle name="20% - Accent2 7 7 4" xfId="5573"/>
    <cellStyle name="20% - Accent2 7 7 4 2" xfId="8870"/>
    <cellStyle name="20% - Accent2 7 7 4 2 2" xfId="16659"/>
    <cellStyle name="20% - Accent2 7 7 4 2 2 2" xfId="34281"/>
    <cellStyle name="20% - Accent2 7 7 4 2 3" xfId="27244"/>
    <cellStyle name="20% - Accent2 7 7 4 3" xfId="13423"/>
    <cellStyle name="20% - Accent2 7 7 4 3 2" xfId="31049"/>
    <cellStyle name="20% - Accent2 7 7 4 4" xfId="24383"/>
    <cellStyle name="20% - Accent2 7 7 5" xfId="6203"/>
    <cellStyle name="20% - Accent2 7 7 5 2" xfId="9410"/>
    <cellStyle name="20% - Accent2 7 7 5 2 2" xfId="17198"/>
    <cellStyle name="20% - Accent2 7 7 5 2 2 2" xfId="34821"/>
    <cellStyle name="20% - Accent2 7 7 5 2 3" xfId="27780"/>
    <cellStyle name="20% - Accent2 7 7 5 3" xfId="13986"/>
    <cellStyle name="20% - Accent2 7 7 5 3 2" xfId="31607"/>
    <cellStyle name="20% - Accent2 7 7 5 4" xfId="24919"/>
    <cellStyle name="20% - Accent2 7 7 6" xfId="6740"/>
    <cellStyle name="20% - Accent2 7 7 6 2" xfId="9947"/>
    <cellStyle name="20% - Accent2 7 7 6 2 2" xfId="17734"/>
    <cellStyle name="20% - Accent2 7 7 6 2 2 2" xfId="35357"/>
    <cellStyle name="20% - Accent2 7 7 6 2 3" xfId="28316"/>
    <cellStyle name="20% - Accent2 7 7 6 3" xfId="14522"/>
    <cellStyle name="20% - Accent2 7 7 6 3 2" xfId="32143"/>
    <cellStyle name="20% - Accent2 7 7 6 4" xfId="25456"/>
    <cellStyle name="20% - Accent2 7 7 7" xfId="7572"/>
    <cellStyle name="20% - Accent2 7 7 7 2" xfId="15363"/>
    <cellStyle name="20% - Accent2 7 7 7 2 2" xfId="32984"/>
    <cellStyle name="20% - Accent2 7 7 7 3" xfId="25991"/>
    <cellStyle name="20% - Accent2 7 7 8" xfId="11137"/>
    <cellStyle name="20% - Accent2 7 7 8 2" xfId="28851"/>
    <cellStyle name="20% - Accent2 7 7 9" xfId="23130"/>
    <cellStyle name="20% - Accent2 7 8" xfId="3548"/>
    <cellStyle name="20% - Accent2 7 8 2" xfId="8166"/>
    <cellStyle name="20% - Accent2 7 8 2 2" xfId="15956"/>
    <cellStyle name="20% - Accent2 7 8 2 2 2" xfId="33577"/>
    <cellStyle name="20% - Accent2 7 8 2 3" xfId="26566"/>
    <cellStyle name="20% - Accent2 7 8 3" xfId="12274"/>
    <cellStyle name="20% - Accent2 7 8 3 2" xfId="29931"/>
    <cellStyle name="20% - Accent2 7 8 4" xfId="23705"/>
    <cellStyle name="20% - Accent2 7 9" xfId="3549"/>
    <cellStyle name="20% - Accent2 7 9 2" xfId="8167"/>
    <cellStyle name="20% - Accent2 7 9 2 2" xfId="15957"/>
    <cellStyle name="20% - Accent2 7 9 2 2 2" xfId="33578"/>
    <cellStyle name="20% - Accent2 7 9 2 3" xfId="26567"/>
    <cellStyle name="20% - Accent2 7 9 3" xfId="12275"/>
    <cellStyle name="20% - Accent2 7 9 3 2" xfId="29932"/>
    <cellStyle name="20% - Accent2 7 9 4" xfId="23706"/>
    <cellStyle name="20% - Accent2 8" xfId="317"/>
    <cellStyle name="20% - Accent2 8 10" xfId="3550"/>
    <cellStyle name="20% - Accent2 8 10 2" xfId="8168"/>
    <cellStyle name="20% - Accent2 8 10 2 2" xfId="15958"/>
    <cellStyle name="20% - Accent2 8 10 2 2 2" xfId="33579"/>
    <cellStyle name="20% - Accent2 8 10 2 3" xfId="26568"/>
    <cellStyle name="20% - Accent2 8 10 3" xfId="12276"/>
    <cellStyle name="20% - Accent2 8 10 3 2" xfId="29933"/>
    <cellStyle name="20% - Accent2 8 10 4" xfId="23707"/>
    <cellStyle name="20% - Accent2 8 11" xfId="5574"/>
    <cellStyle name="20% - Accent2 8 11 2" xfId="8871"/>
    <cellStyle name="20% - Accent2 8 11 2 2" xfId="16660"/>
    <cellStyle name="20% - Accent2 8 11 2 2 2" xfId="34282"/>
    <cellStyle name="20% - Accent2 8 11 2 3" xfId="27245"/>
    <cellStyle name="20% - Accent2 8 11 3" xfId="13424"/>
    <cellStyle name="20% - Accent2 8 11 3 2" xfId="31050"/>
    <cellStyle name="20% - Accent2 8 11 4" xfId="24384"/>
    <cellStyle name="20% - Accent2 8 12" xfId="6204"/>
    <cellStyle name="20% - Accent2 8 12 2" xfId="9411"/>
    <cellStyle name="20% - Accent2 8 12 2 2" xfId="17199"/>
    <cellStyle name="20% - Accent2 8 12 2 2 2" xfId="34822"/>
    <cellStyle name="20% - Accent2 8 12 2 3" xfId="27781"/>
    <cellStyle name="20% - Accent2 8 12 3" xfId="13987"/>
    <cellStyle name="20% - Accent2 8 12 3 2" xfId="31608"/>
    <cellStyle name="20% - Accent2 8 12 4" xfId="24920"/>
    <cellStyle name="20% - Accent2 8 13" xfId="6741"/>
    <cellStyle name="20% - Accent2 8 13 2" xfId="9948"/>
    <cellStyle name="20% - Accent2 8 13 2 2" xfId="17735"/>
    <cellStyle name="20% - Accent2 8 13 2 2 2" xfId="35358"/>
    <cellStyle name="20% - Accent2 8 13 2 3" xfId="28317"/>
    <cellStyle name="20% - Accent2 8 13 3" xfId="14523"/>
    <cellStyle name="20% - Accent2 8 13 3 2" xfId="32144"/>
    <cellStyle name="20% - Accent2 8 13 4" xfId="25457"/>
    <cellStyle name="20% - Accent2 8 14" xfId="7573"/>
    <cellStyle name="20% - Accent2 8 14 2" xfId="15364"/>
    <cellStyle name="20% - Accent2 8 14 2 2" xfId="32985"/>
    <cellStyle name="20% - Accent2 8 14 3" xfId="25992"/>
    <cellStyle name="20% - Accent2 8 15" xfId="11138"/>
    <cellStyle name="20% - Accent2 8 15 2" xfId="28852"/>
    <cellStyle name="20% - Accent2 8 16" xfId="22033"/>
    <cellStyle name="20% - Accent2 8 16 2" xfId="38733"/>
    <cellStyle name="20% - Accent2 8 17" xfId="23131"/>
    <cellStyle name="20% - Accent2 8 18" xfId="51670"/>
    <cellStyle name="20% - Accent2 8 2" xfId="318"/>
    <cellStyle name="20% - Accent2 8 2 10" xfId="51671"/>
    <cellStyle name="20% - Accent2 8 2 2" xfId="3551"/>
    <cellStyle name="20% - Accent2 8 2 2 2" xfId="8169"/>
    <cellStyle name="20% - Accent2 8 2 2 2 2" xfId="15959"/>
    <cellStyle name="20% - Accent2 8 2 2 2 2 2" xfId="33580"/>
    <cellStyle name="20% - Accent2 8 2 2 2 3" xfId="26569"/>
    <cellStyle name="20% - Accent2 8 2 2 3" xfId="12277"/>
    <cellStyle name="20% - Accent2 8 2 2 3 2" xfId="29934"/>
    <cellStyle name="20% - Accent2 8 2 2 4" xfId="22702"/>
    <cellStyle name="20% - Accent2 8 2 2 4 2" xfId="38898"/>
    <cellStyle name="20% - Accent2 8 2 2 5" xfId="23708"/>
    <cellStyle name="20% - Accent2 8 2 3" xfId="5575"/>
    <cellStyle name="20% - Accent2 8 2 3 2" xfId="8872"/>
    <cellStyle name="20% - Accent2 8 2 3 2 2" xfId="16661"/>
    <cellStyle name="20% - Accent2 8 2 3 2 2 2" xfId="34283"/>
    <cellStyle name="20% - Accent2 8 2 3 2 3" xfId="27246"/>
    <cellStyle name="20% - Accent2 8 2 3 3" xfId="13425"/>
    <cellStyle name="20% - Accent2 8 2 3 3 2" xfId="31051"/>
    <cellStyle name="20% - Accent2 8 2 3 4" xfId="24385"/>
    <cellStyle name="20% - Accent2 8 2 4" xfId="6205"/>
    <cellStyle name="20% - Accent2 8 2 4 2" xfId="9412"/>
    <cellStyle name="20% - Accent2 8 2 4 2 2" xfId="17200"/>
    <cellStyle name="20% - Accent2 8 2 4 2 2 2" xfId="34823"/>
    <cellStyle name="20% - Accent2 8 2 4 2 3" xfId="27782"/>
    <cellStyle name="20% - Accent2 8 2 4 3" xfId="13988"/>
    <cellStyle name="20% - Accent2 8 2 4 3 2" xfId="31609"/>
    <cellStyle name="20% - Accent2 8 2 4 4" xfId="24921"/>
    <cellStyle name="20% - Accent2 8 2 5" xfId="6742"/>
    <cellStyle name="20% - Accent2 8 2 5 2" xfId="9949"/>
    <cellStyle name="20% - Accent2 8 2 5 2 2" xfId="17736"/>
    <cellStyle name="20% - Accent2 8 2 5 2 2 2" xfId="35359"/>
    <cellStyle name="20% - Accent2 8 2 5 2 3" xfId="28318"/>
    <cellStyle name="20% - Accent2 8 2 5 3" xfId="14524"/>
    <cellStyle name="20% - Accent2 8 2 5 3 2" xfId="32145"/>
    <cellStyle name="20% - Accent2 8 2 5 4" xfId="25458"/>
    <cellStyle name="20% - Accent2 8 2 6" xfId="7574"/>
    <cellStyle name="20% - Accent2 8 2 6 2" xfId="15365"/>
    <cellStyle name="20% - Accent2 8 2 6 2 2" xfId="32986"/>
    <cellStyle name="20% - Accent2 8 2 6 3" xfId="25993"/>
    <cellStyle name="20% - Accent2 8 2 7" xfId="11139"/>
    <cellStyle name="20% - Accent2 8 2 7 2" xfId="28853"/>
    <cellStyle name="20% - Accent2 8 2 8" xfId="22034"/>
    <cellStyle name="20% - Accent2 8 2 8 2" xfId="38734"/>
    <cellStyle name="20% - Accent2 8 2 9" xfId="23132"/>
    <cellStyle name="20% - Accent2 8 3" xfId="319"/>
    <cellStyle name="20% - Accent2 8 3 10" xfId="22701"/>
    <cellStyle name="20% - Accent2 8 3 10 2" xfId="38897"/>
    <cellStyle name="20% - Accent2 8 3 11" xfId="23133"/>
    <cellStyle name="20% - Accent2 8 3 12" xfId="51672"/>
    <cellStyle name="20% - Accent2 8 3 2" xfId="320"/>
    <cellStyle name="20% - Accent2 8 3 2 2" xfId="3553"/>
    <cellStyle name="20% - Accent2 8 3 2 2 2" xfId="8171"/>
    <cellStyle name="20% - Accent2 8 3 2 2 2 2" xfId="15961"/>
    <cellStyle name="20% - Accent2 8 3 2 2 2 2 2" xfId="33582"/>
    <cellStyle name="20% - Accent2 8 3 2 2 2 3" xfId="26571"/>
    <cellStyle name="20% - Accent2 8 3 2 2 3" xfId="12279"/>
    <cellStyle name="20% - Accent2 8 3 2 2 3 2" xfId="29936"/>
    <cellStyle name="20% - Accent2 8 3 2 2 4" xfId="23710"/>
    <cellStyle name="20% - Accent2 8 3 2 3" xfId="5577"/>
    <cellStyle name="20% - Accent2 8 3 2 3 2" xfId="8874"/>
    <cellStyle name="20% - Accent2 8 3 2 3 2 2" xfId="16663"/>
    <cellStyle name="20% - Accent2 8 3 2 3 2 2 2" xfId="34285"/>
    <cellStyle name="20% - Accent2 8 3 2 3 2 3" xfId="27248"/>
    <cellStyle name="20% - Accent2 8 3 2 3 3" xfId="13427"/>
    <cellStyle name="20% - Accent2 8 3 2 3 3 2" xfId="31053"/>
    <cellStyle name="20% - Accent2 8 3 2 3 4" xfId="24387"/>
    <cellStyle name="20% - Accent2 8 3 2 4" xfId="6207"/>
    <cellStyle name="20% - Accent2 8 3 2 4 2" xfId="9414"/>
    <cellStyle name="20% - Accent2 8 3 2 4 2 2" xfId="17202"/>
    <cellStyle name="20% - Accent2 8 3 2 4 2 2 2" xfId="34825"/>
    <cellStyle name="20% - Accent2 8 3 2 4 2 3" xfId="27784"/>
    <cellStyle name="20% - Accent2 8 3 2 4 3" xfId="13990"/>
    <cellStyle name="20% - Accent2 8 3 2 4 3 2" xfId="31611"/>
    <cellStyle name="20% - Accent2 8 3 2 4 4" xfId="24923"/>
    <cellStyle name="20% - Accent2 8 3 2 5" xfId="6744"/>
    <cellStyle name="20% - Accent2 8 3 2 5 2" xfId="9951"/>
    <cellStyle name="20% - Accent2 8 3 2 5 2 2" xfId="17738"/>
    <cellStyle name="20% - Accent2 8 3 2 5 2 2 2" xfId="35361"/>
    <cellStyle name="20% - Accent2 8 3 2 5 2 3" xfId="28320"/>
    <cellStyle name="20% - Accent2 8 3 2 5 3" xfId="14526"/>
    <cellStyle name="20% - Accent2 8 3 2 5 3 2" xfId="32147"/>
    <cellStyle name="20% - Accent2 8 3 2 5 4" xfId="25460"/>
    <cellStyle name="20% - Accent2 8 3 2 6" xfId="7576"/>
    <cellStyle name="20% - Accent2 8 3 2 6 2" xfId="15367"/>
    <cellStyle name="20% - Accent2 8 3 2 6 2 2" xfId="32988"/>
    <cellStyle name="20% - Accent2 8 3 2 6 3" xfId="25995"/>
    <cellStyle name="20% - Accent2 8 3 2 7" xfId="11141"/>
    <cellStyle name="20% - Accent2 8 3 2 7 2" xfId="28855"/>
    <cellStyle name="20% - Accent2 8 3 2 8" xfId="23134"/>
    <cellStyle name="20% - Accent2 8 3 2 9" xfId="51673"/>
    <cellStyle name="20% - Accent2 8 3 3" xfId="3554"/>
    <cellStyle name="20% - Accent2 8 3 3 2" xfId="5578"/>
    <cellStyle name="20% - Accent2 8 3 3 2 2" xfId="8875"/>
    <cellStyle name="20% - Accent2 8 3 3 2 2 2" xfId="16664"/>
    <cellStyle name="20% - Accent2 8 3 3 2 2 2 2" xfId="34286"/>
    <cellStyle name="20% - Accent2 8 3 3 2 2 3" xfId="27249"/>
    <cellStyle name="20% - Accent2 8 3 3 2 3" xfId="13428"/>
    <cellStyle name="20% - Accent2 8 3 3 2 3 2" xfId="31054"/>
    <cellStyle name="20% - Accent2 8 3 3 2 4" xfId="24388"/>
    <cellStyle name="20% - Accent2 8 3 3 3" xfId="6208"/>
    <cellStyle name="20% - Accent2 8 3 3 3 2" xfId="9415"/>
    <cellStyle name="20% - Accent2 8 3 3 3 2 2" xfId="17203"/>
    <cellStyle name="20% - Accent2 8 3 3 3 2 2 2" xfId="34826"/>
    <cellStyle name="20% - Accent2 8 3 3 3 2 3" xfId="27785"/>
    <cellStyle name="20% - Accent2 8 3 3 3 3" xfId="13991"/>
    <cellStyle name="20% - Accent2 8 3 3 3 3 2" xfId="31612"/>
    <cellStyle name="20% - Accent2 8 3 3 3 4" xfId="24924"/>
    <cellStyle name="20% - Accent2 8 3 3 4" xfId="6745"/>
    <cellStyle name="20% - Accent2 8 3 3 4 2" xfId="9952"/>
    <cellStyle name="20% - Accent2 8 3 3 4 2 2" xfId="17739"/>
    <cellStyle name="20% - Accent2 8 3 3 4 2 2 2" xfId="35362"/>
    <cellStyle name="20% - Accent2 8 3 3 4 2 3" xfId="28321"/>
    <cellStyle name="20% - Accent2 8 3 3 4 3" xfId="14527"/>
    <cellStyle name="20% - Accent2 8 3 3 4 3 2" xfId="32148"/>
    <cellStyle name="20% - Accent2 8 3 3 4 4" xfId="25461"/>
    <cellStyle name="20% - Accent2 8 3 3 5" xfId="8172"/>
    <cellStyle name="20% - Accent2 8 3 3 5 2" xfId="15962"/>
    <cellStyle name="20% - Accent2 8 3 3 5 2 2" xfId="33583"/>
    <cellStyle name="20% - Accent2 8 3 3 5 3" xfId="26572"/>
    <cellStyle name="20% - Accent2 8 3 3 6" xfId="12280"/>
    <cellStyle name="20% - Accent2 8 3 3 6 2" xfId="29937"/>
    <cellStyle name="20% - Accent2 8 3 3 7" xfId="23711"/>
    <cellStyle name="20% - Accent2 8 3 4" xfId="3552"/>
    <cellStyle name="20% - Accent2 8 3 4 2" xfId="8170"/>
    <cellStyle name="20% - Accent2 8 3 4 2 2" xfId="15960"/>
    <cellStyle name="20% - Accent2 8 3 4 2 2 2" xfId="33581"/>
    <cellStyle name="20% - Accent2 8 3 4 2 3" xfId="26570"/>
    <cellStyle name="20% - Accent2 8 3 4 3" xfId="12278"/>
    <cellStyle name="20% - Accent2 8 3 4 3 2" xfId="29935"/>
    <cellStyle name="20% - Accent2 8 3 4 4" xfId="23709"/>
    <cellStyle name="20% - Accent2 8 3 5" xfId="5576"/>
    <cellStyle name="20% - Accent2 8 3 5 2" xfId="8873"/>
    <cellStyle name="20% - Accent2 8 3 5 2 2" xfId="16662"/>
    <cellStyle name="20% - Accent2 8 3 5 2 2 2" xfId="34284"/>
    <cellStyle name="20% - Accent2 8 3 5 2 3" xfId="27247"/>
    <cellStyle name="20% - Accent2 8 3 5 3" xfId="13426"/>
    <cellStyle name="20% - Accent2 8 3 5 3 2" xfId="31052"/>
    <cellStyle name="20% - Accent2 8 3 5 4" xfId="24386"/>
    <cellStyle name="20% - Accent2 8 3 6" xfId="6206"/>
    <cellStyle name="20% - Accent2 8 3 6 2" xfId="9413"/>
    <cellStyle name="20% - Accent2 8 3 6 2 2" xfId="17201"/>
    <cellStyle name="20% - Accent2 8 3 6 2 2 2" xfId="34824"/>
    <cellStyle name="20% - Accent2 8 3 6 2 3" xfId="27783"/>
    <cellStyle name="20% - Accent2 8 3 6 3" xfId="13989"/>
    <cellStyle name="20% - Accent2 8 3 6 3 2" xfId="31610"/>
    <cellStyle name="20% - Accent2 8 3 6 4" xfId="24922"/>
    <cellStyle name="20% - Accent2 8 3 7" xfId="6743"/>
    <cellStyle name="20% - Accent2 8 3 7 2" xfId="9950"/>
    <cellStyle name="20% - Accent2 8 3 7 2 2" xfId="17737"/>
    <cellStyle name="20% - Accent2 8 3 7 2 2 2" xfId="35360"/>
    <cellStyle name="20% - Accent2 8 3 7 2 3" xfId="28319"/>
    <cellStyle name="20% - Accent2 8 3 7 3" xfId="14525"/>
    <cellStyle name="20% - Accent2 8 3 7 3 2" xfId="32146"/>
    <cellStyle name="20% - Accent2 8 3 7 4" xfId="25459"/>
    <cellStyle name="20% - Accent2 8 3 8" xfId="7575"/>
    <cellStyle name="20% - Accent2 8 3 8 2" xfId="15366"/>
    <cellStyle name="20% - Accent2 8 3 8 2 2" xfId="32987"/>
    <cellStyle name="20% - Accent2 8 3 8 3" xfId="25994"/>
    <cellStyle name="20% - Accent2 8 3 9" xfId="11140"/>
    <cellStyle name="20% - Accent2 8 3 9 2" xfId="28854"/>
    <cellStyle name="20% - Accent2 8 4" xfId="321"/>
    <cellStyle name="20% - Accent2 8 4 2" xfId="3555"/>
    <cellStyle name="20% - Accent2 8 4 2 2" xfId="8173"/>
    <cellStyle name="20% - Accent2 8 4 2 2 2" xfId="15963"/>
    <cellStyle name="20% - Accent2 8 4 2 2 2 2" xfId="33584"/>
    <cellStyle name="20% - Accent2 8 4 2 2 3" xfId="26573"/>
    <cellStyle name="20% - Accent2 8 4 2 3" xfId="12281"/>
    <cellStyle name="20% - Accent2 8 4 2 3 2" xfId="29938"/>
    <cellStyle name="20% - Accent2 8 4 2 4" xfId="23712"/>
    <cellStyle name="20% - Accent2 8 4 3" xfId="5579"/>
    <cellStyle name="20% - Accent2 8 4 3 2" xfId="8876"/>
    <cellStyle name="20% - Accent2 8 4 3 2 2" xfId="16665"/>
    <cellStyle name="20% - Accent2 8 4 3 2 2 2" xfId="34287"/>
    <cellStyle name="20% - Accent2 8 4 3 2 3" xfId="27250"/>
    <cellStyle name="20% - Accent2 8 4 3 3" xfId="13429"/>
    <cellStyle name="20% - Accent2 8 4 3 3 2" xfId="31055"/>
    <cellStyle name="20% - Accent2 8 4 3 4" xfId="24389"/>
    <cellStyle name="20% - Accent2 8 4 4" xfId="6209"/>
    <cellStyle name="20% - Accent2 8 4 4 2" xfId="9416"/>
    <cellStyle name="20% - Accent2 8 4 4 2 2" xfId="17204"/>
    <cellStyle name="20% - Accent2 8 4 4 2 2 2" xfId="34827"/>
    <cellStyle name="20% - Accent2 8 4 4 2 3" xfId="27786"/>
    <cellStyle name="20% - Accent2 8 4 4 3" xfId="13992"/>
    <cellStyle name="20% - Accent2 8 4 4 3 2" xfId="31613"/>
    <cellStyle name="20% - Accent2 8 4 4 4" xfId="24925"/>
    <cellStyle name="20% - Accent2 8 4 5" xfId="6746"/>
    <cellStyle name="20% - Accent2 8 4 5 2" xfId="9953"/>
    <cellStyle name="20% - Accent2 8 4 5 2 2" xfId="17740"/>
    <cellStyle name="20% - Accent2 8 4 5 2 2 2" xfId="35363"/>
    <cellStyle name="20% - Accent2 8 4 5 2 3" xfId="28322"/>
    <cellStyle name="20% - Accent2 8 4 5 3" xfId="14528"/>
    <cellStyle name="20% - Accent2 8 4 5 3 2" xfId="32149"/>
    <cellStyle name="20% - Accent2 8 4 5 4" xfId="25462"/>
    <cellStyle name="20% - Accent2 8 4 6" xfId="7577"/>
    <cellStyle name="20% - Accent2 8 4 6 2" xfId="15368"/>
    <cellStyle name="20% - Accent2 8 4 6 2 2" xfId="32989"/>
    <cellStyle name="20% - Accent2 8 4 6 3" xfId="25996"/>
    <cellStyle name="20% - Accent2 8 4 7" xfId="11142"/>
    <cellStyle name="20% - Accent2 8 4 7 2" xfId="28856"/>
    <cellStyle name="20% - Accent2 8 4 8" xfId="23135"/>
    <cellStyle name="20% - Accent2 8 4 9" xfId="51674"/>
    <cellStyle name="20% - Accent2 8 5" xfId="322"/>
    <cellStyle name="20% - Accent2 8 5 2" xfId="3556"/>
    <cellStyle name="20% - Accent2 8 5 2 2" xfId="8174"/>
    <cellStyle name="20% - Accent2 8 5 2 2 2" xfId="15964"/>
    <cellStyle name="20% - Accent2 8 5 2 2 2 2" xfId="33585"/>
    <cellStyle name="20% - Accent2 8 5 2 2 3" xfId="26574"/>
    <cellStyle name="20% - Accent2 8 5 2 3" xfId="12282"/>
    <cellStyle name="20% - Accent2 8 5 2 3 2" xfId="29939"/>
    <cellStyle name="20% - Accent2 8 5 2 4" xfId="23713"/>
    <cellStyle name="20% - Accent2 8 5 3" xfId="5580"/>
    <cellStyle name="20% - Accent2 8 5 3 2" xfId="8877"/>
    <cellStyle name="20% - Accent2 8 5 3 2 2" xfId="16666"/>
    <cellStyle name="20% - Accent2 8 5 3 2 2 2" xfId="34288"/>
    <cellStyle name="20% - Accent2 8 5 3 2 3" xfId="27251"/>
    <cellStyle name="20% - Accent2 8 5 3 3" xfId="13430"/>
    <cellStyle name="20% - Accent2 8 5 3 3 2" xfId="31056"/>
    <cellStyle name="20% - Accent2 8 5 3 4" xfId="24390"/>
    <cellStyle name="20% - Accent2 8 5 4" xfId="6210"/>
    <cellStyle name="20% - Accent2 8 5 4 2" xfId="9417"/>
    <cellStyle name="20% - Accent2 8 5 4 2 2" xfId="17205"/>
    <cellStyle name="20% - Accent2 8 5 4 2 2 2" xfId="34828"/>
    <cellStyle name="20% - Accent2 8 5 4 2 3" xfId="27787"/>
    <cellStyle name="20% - Accent2 8 5 4 3" xfId="13993"/>
    <cellStyle name="20% - Accent2 8 5 4 3 2" xfId="31614"/>
    <cellStyle name="20% - Accent2 8 5 4 4" xfId="24926"/>
    <cellStyle name="20% - Accent2 8 5 5" xfId="6747"/>
    <cellStyle name="20% - Accent2 8 5 5 2" xfId="9954"/>
    <cellStyle name="20% - Accent2 8 5 5 2 2" xfId="17741"/>
    <cellStyle name="20% - Accent2 8 5 5 2 2 2" xfId="35364"/>
    <cellStyle name="20% - Accent2 8 5 5 2 3" xfId="28323"/>
    <cellStyle name="20% - Accent2 8 5 5 3" xfId="14529"/>
    <cellStyle name="20% - Accent2 8 5 5 3 2" xfId="32150"/>
    <cellStyle name="20% - Accent2 8 5 5 4" xfId="25463"/>
    <cellStyle name="20% - Accent2 8 5 6" xfId="7578"/>
    <cellStyle name="20% - Accent2 8 5 6 2" xfId="15369"/>
    <cellStyle name="20% - Accent2 8 5 6 2 2" xfId="32990"/>
    <cellStyle name="20% - Accent2 8 5 6 3" xfId="25997"/>
    <cellStyle name="20% - Accent2 8 5 7" xfId="11143"/>
    <cellStyle name="20% - Accent2 8 5 7 2" xfId="28857"/>
    <cellStyle name="20% - Accent2 8 5 8" xfId="23136"/>
    <cellStyle name="20% - Accent2 8 5 9" xfId="51675"/>
    <cellStyle name="20% - Accent2 8 6" xfId="323"/>
    <cellStyle name="20% - Accent2 8 6 2" xfId="3557"/>
    <cellStyle name="20% - Accent2 8 6 2 2" xfId="8175"/>
    <cellStyle name="20% - Accent2 8 6 2 2 2" xfId="15965"/>
    <cellStyle name="20% - Accent2 8 6 2 2 2 2" xfId="33586"/>
    <cellStyle name="20% - Accent2 8 6 2 2 3" xfId="26575"/>
    <cellStyle name="20% - Accent2 8 6 2 3" xfId="12283"/>
    <cellStyle name="20% - Accent2 8 6 2 3 2" xfId="29940"/>
    <cellStyle name="20% - Accent2 8 6 2 4" xfId="23714"/>
    <cellStyle name="20% - Accent2 8 6 3" xfId="5581"/>
    <cellStyle name="20% - Accent2 8 6 3 2" xfId="8878"/>
    <cellStyle name="20% - Accent2 8 6 3 2 2" xfId="16667"/>
    <cellStyle name="20% - Accent2 8 6 3 2 2 2" xfId="34289"/>
    <cellStyle name="20% - Accent2 8 6 3 2 3" xfId="27252"/>
    <cellStyle name="20% - Accent2 8 6 3 3" xfId="13431"/>
    <cellStyle name="20% - Accent2 8 6 3 3 2" xfId="31057"/>
    <cellStyle name="20% - Accent2 8 6 3 4" xfId="24391"/>
    <cellStyle name="20% - Accent2 8 6 4" xfId="6211"/>
    <cellStyle name="20% - Accent2 8 6 4 2" xfId="9418"/>
    <cellStyle name="20% - Accent2 8 6 4 2 2" xfId="17206"/>
    <cellStyle name="20% - Accent2 8 6 4 2 2 2" xfId="34829"/>
    <cellStyle name="20% - Accent2 8 6 4 2 3" xfId="27788"/>
    <cellStyle name="20% - Accent2 8 6 4 3" xfId="13994"/>
    <cellStyle name="20% - Accent2 8 6 4 3 2" xfId="31615"/>
    <cellStyle name="20% - Accent2 8 6 4 4" xfId="24927"/>
    <cellStyle name="20% - Accent2 8 6 5" xfId="6748"/>
    <cellStyle name="20% - Accent2 8 6 5 2" xfId="9955"/>
    <cellStyle name="20% - Accent2 8 6 5 2 2" xfId="17742"/>
    <cellStyle name="20% - Accent2 8 6 5 2 2 2" xfId="35365"/>
    <cellStyle name="20% - Accent2 8 6 5 2 3" xfId="28324"/>
    <cellStyle name="20% - Accent2 8 6 5 3" xfId="14530"/>
    <cellStyle name="20% - Accent2 8 6 5 3 2" xfId="32151"/>
    <cellStyle name="20% - Accent2 8 6 5 4" xfId="25464"/>
    <cellStyle name="20% - Accent2 8 6 6" xfId="7579"/>
    <cellStyle name="20% - Accent2 8 6 6 2" xfId="15370"/>
    <cellStyle name="20% - Accent2 8 6 6 2 2" xfId="32991"/>
    <cellStyle name="20% - Accent2 8 6 6 3" xfId="25998"/>
    <cellStyle name="20% - Accent2 8 6 7" xfId="11144"/>
    <cellStyle name="20% - Accent2 8 6 7 2" xfId="28858"/>
    <cellStyle name="20% - Accent2 8 6 8" xfId="23137"/>
    <cellStyle name="20% - Accent2 8 6 9" xfId="51676"/>
    <cellStyle name="20% - Accent2 8 7" xfId="324"/>
    <cellStyle name="20% - Accent2 8 7 10" xfId="51677"/>
    <cellStyle name="20% - Accent2 8 7 2" xfId="325"/>
    <cellStyle name="20% - Accent2 8 7 2 2" xfId="8177"/>
    <cellStyle name="20% - Accent2 8 7 2 2 2" xfId="15967"/>
    <cellStyle name="20% - Accent2 8 7 2 2 2 2" xfId="33588"/>
    <cellStyle name="20% - Accent2 8 7 2 2 3" xfId="26577"/>
    <cellStyle name="20% - Accent2 8 7 2 3" xfId="12285"/>
    <cellStyle name="20% - Accent2 8 7 2 3 2" xfId="29942"/>
    <cellStyle name="20% - Accent2 8 7 2 4" xfId="23716"/>
    <cellStyle name="20% - Accent2 8 7 3" xfId="3558"/>
    <cellStyle name="20% - Accent2 8 7 3 2" xfId="8176"/>
    <cellStyle name="20% - Accent2 8 7 3 2 2" xfId="15966"/>
    <cellStyle name="20% - Accent2 8 7 3 2 2 2" xfId="33587"/>
    <cellStyle name="20% - Accent2 8 7 3 2 3" xfId="26576"/>
    <cellStyle name="20% - Accent2 8 7 3 3" xfId="12284"/>
    <cellStyle name="20% - Accent2 8 7 3 3 2" xfId="29941"/>
    <cellStyle name="20% - Accent2 8 7 3 4" xfId="23715"/>
    <cellStyle name="20% - Accent2 8 7 4" xfId="5582"/>
    <cellStyle name="20% - Accent2 8 7 4 2" xfId="8879"/>
    <cellStyle name="20% - Accent2 8 7 4 2 2" xfId="16668"/>
    <cellStyle name="20% - Accent2 8 7 4 2 2 2" xfId="34290"/>
    <cellStyle name="20% - Accent2 8 7 4 2 3" xfId="27253"/>
    <cellStyle name="20% - Accent2 8 7 4 3" xfId="13432"/>
    <cellStyle name="20% - Accent2 8 7 4 3 2" xfId="31058"/>
    <cellStyle name="20% - Accent2 8 7 4 4" xfId="24392"/>
    <cellStyle name="20% - Accent2 8 7 5" xfId="6212"/>
    <cellStyle name="20% - Accent2 8 7 5 2" xfId="9419"/>
    <cellStyle name="20% - Accent2 8 7 5 2 2" xfId="17207"/>
    <cellStyle name="20% - Accent2 8 7 5 2 2 2" xfId="34830"/>
    <cellStyle name="20% - Accent2 8 7 5 2 3" xfId="27789"/>
    <cellStyle name="20% - Accent2 8 7 5 3" xfId="13995"/>
    <cellStyle name="20% - Accent2 8 7 5 3 2" xfId="31616"/>
    <cellStyle name="20% - Accent2 8 7 5 4" xfId="24928"/>
    <cellStyle name="20% - Accent2 8 7 6" xfId="6749"/>
    <cellStyle name="20% - Accent2 8 7 6 2" xfId="9956"/>
    <cellStyle name="20% - Accent2 8 7 6 2 2" xfId="17743"/>
    <cellStyle name="20% - Accent2 8 7 6 2 2 2" xfId="35366"/>
    <cellStyle name="20% - Accent2 8 7 6 2 3" xfId="28325"/>
    <cellStyle name="20% - Accent2 8 7 6 3" xfId="14531"/>
    <cellStyle name="20% - Accent2 8 7 6 3 2" xfId="32152"/>
    <cellStyle name="20% - Accent2 8 7 6 4" xfId="25465"/>
    <cellStyle name="20% - Accent2 8 7 7" xfId="7580"/>
    <cellStyle name="20% - Accent2 8 7 7 2" xfId="15371"/>
    <cellStyle name="20% - Accent2 8 7 7 2 2" xfId="32992"/>
    <cellStyle name="20% - Accent2 8 7 7 3" xfId="25999"/>
    <cellStyle name="20% - Accent2 8 7 8" xfId="11145"/>
    <cellStyle name="20% - Accent2 8 7 8 2" xfId="28859"/>
    <cellStyle name="20% - Accent2 8 7 9" xfId="23138"/>
    <cellStyle name="20% - Accent2 8 8" xfId="3559"/>
    <cellStyle name="20% - Accent2 8 8 2" xfId="8178"/>
    <cellStyle name="20% - Accent2 8 8 2 2" xfId="15968"/>
    <cellStyle name="20% - Accent2 8 8 2 2 2" xfId="33589"/>
    <cellStyle name="20% - Accent2 8 8 2 3" xfId="26578"/>
    <cellStyle name="20% - Accent2 8 8 3" xfId="12286"/>
    <cellStyle name="20% - Accent2 8 8 3 2" xfId="29943"/>
    <cellStyle name="20% - Accent2 8 8 4" xfId="23717"/>
    <cellStyle name="20% - Accent2 8 9" xfId="3560"/>
    <cellStyle name="20% - Accent2 8 9 2" xfId="8179"/>
    <cellStyle name="20% - Accent2 8 9 2 2" xfId="15969"/>
    <cellStyle name="20% - Accent2 8 9 2 2 2" xfId="33590"/>
    <cellStyle name="20% - Accent2 8 9 2 3" xfId="26579"/>
    <cellStyle name="20% - Accent2 8 9 3" xfId="12287"/>
    <cellStyle name="20% - Accent2 8 9 3 2" xfId="29944"/>
    <cellStyle name="20% - Accent2 8 9 4" xfId="23718"/>
    <cellStyle name="20% - Accent2 9" xfId="326"/>
    <cellStyle name="20% - Accent2 9 10" xfId="3561"/>
    <cellStyle name="20% - Accent2 9 10 2" xfId="8180"/>
    <cellStyle name="20% - Accent2 9 10 2 2" xfId="15970"/>
    <cellStyle name="20% - Accent2 9 10 2 2 2" xfId="33591"/>
    <cellStyle name="20% - Accent2 9 10 2 3" xfId="26580"/>
    <cellStyle name="20% - Accent2 9 10 3" xfId="12288"/>
    <cellStyle name="20% - Accent2 9 10 3 2" xfId="29945"/>
    <cellStyle name="20% - Accent2 9 10 4" xfId="23719"/>
    <cellStyle name="20% - Accent2 9 11" xfId="5583"/>
    <cellStyle name="20% - Accent2 9 11 2" xfId="8880"/>
    <cellStyle name="20% - Accent2 9 11 2 2" xfId="16669"/>
    <cellStyle name="20% - Accent2 9 11 2 2 2" xfId="34291"/>
    <cellStyle name="20% - Accent2 9 11 2 3" xfId="27254"/>
    <cellStyle name="20% - Accent2 9 11 3" xfId="13433"/>
    <cellStyle name="20% - Accent2 9 11 3 2" xfId="31059"/>
    <cellStyle name="20% - Accent2 9 11 4" xfId="24393"/>
    <cellStyle name="20% - Accent2 9 12" xfId="6213"/>
    <cellStyle name="20% - Accent2 9 12 2" xfId="9420"/>
    <cellStyle name="20% - Accent2 9 12 2 2" xfId="17208"/>
    <cellStyle name="20% - Accent2 9 12 2 2 2" xfId="34831"/>
    <cellStyle name="20% - Accent2 9 12 2 3" xfId="27790"/>
    <cellStyle name="20% - Accent2 9 12 3" xfId="13996"/>
    <cellStyle name="20% - Accent2 9 12 3 2" xfId="31617"/>
    <cellStyle name="20% - Accent2 9 12 4" xfId="24929"/>
    <cellStyle name="20% - Accent2 9 13" xfId="6750"/>
    <cellStyle name="20% - Accent2 9 13 2" xfId="9957"/>
    <cellStyle name="20% - Accent2 9 13 2 2" xfId="17744"/>
    <cellStyle name="20% - Accent2 9 13 2 2 2" xfId="35367"/>
    <cellStyle name="20% - Accent2 9 13 2 3" xfId="28326"/>
    <cellStyle name="20% - Accent2 9 13 3" xfId="14532"/>
    <cellStyle name="20% - Accent2 9 13 3 2" xfId="32153"/>
    <cellStyle name="20% - Accent2 9 13 4" xfId="25466"/>
    <cellStyle name="20% - Accent2 9 14" xfId="7581"/>
    <cellStyle name="20% - Accent2 9 14 2" xfId="15372"/>
    <cellStyle name="20% - Accent2 9 14 2 2" xfId="32993"/>
    <cellStyle name="20% - Accent2 9 14 3" xfId="26000"/>
    <cellStyle name="20% - Accent2 9 15" xfId="11146"/>
    <cellStyle name="20% - Accent2 9 15 2" xfId="28860"/>
    <cellStyle name="20% - Accent2 9 16" xfId="22035"/>
    <cellStyle name="20% - Accent2 9 16 2" xfId="38735"/>
    <cellStyle name="20% - Accent2 9 17" xfId="23139"/>
    <cellStyle name="20% - Accent2 9 18" xfId="51678"/>
    <cellStyle name="20% - Accent2 9 2" xfId="327"/>
    <cellStyle name="20% - Accent2 9 2 10" xfId="51679"/>
    <cellStyle name="20% - Accent2 9 2 2" xfId="3562"/>
    <cellStyle name="20% - Accent2 9 2 2 2" xfId="8181"/>
    <cellStyle name="20% - Accent2 9 2 2 2 2" xfId="15971"/>
    <cellStyle name="20% - Accent2 9 2 2 2 2 2" xfId="33592"/>
    <cellStyle name="20% - Accent2 9 2 2 2 3" xfId="26581"/>
    <cellStyle name="20% - Accent2 9 2 2 3" xfId="12289"/>
    <cellStyle name="20% - Accent2 9 2 2 3 2" xfId="29946"/>
    <cellStyle name="20% - Accent2 9 2 2 4" xfId="23720"/>
    <cellStyle name="20% - Accent2 9 2 3" xfId="5584"/>
    <cellStyle name="20% - Accent2 9 2 3 2" xfId="8881"/>
    <cellStyle name="20% - Accent2 9 2 3 2 2" xfId="16670"/>
    <cellStyle name="20% - Accent2 9 2 3 2 2 2" xfId="34292"/>
    <cellStyle name="20% - Accent2 9 2 3 2 3" xfId="27255"/>
    <cellStyle name="20% - Accent2 9 2 3 3" xfId="13434"/>
    <cellStyle name="20% - Accent2 9 2 3 3 2" xfId="31060"/>
    <cellStyle name="20% - Accent2 9 2 3 4" xfId="24394"/>
    <cellStyle name="20% - Accent2 9 2 4" xfId="6214"/>
    <cellStyle name="20% - Accent2 9 2 4 2" xfId="9421"/>
    <cellStyle name="20% - Accent2 9 2 4 2 2" xfId="17209"/>
    <cellStyle name="20% - Accent2 9 2 4 2 2 2" xfId="34832"/>
    <cellStyle name="20% - Accent2 9 2 4 2 3" xfId="27791"/>
    <cellStyle name="20% - Accent2 9 2 4 3" xfId="13997"/>
    <cellStyle name="20% - Accent2 9 2 4 3 2" xfId="31618"/>
    <cellStyle name="20% - Accent2 9 2 4 4" xfId="24930"/>
    <cellStyle name="20% - Accent2 9 2 5" xfId="6751"/>
    <cellStyle name="20% - Accent2 9 2 5 2" xfId="9958"/>
    <cellStyle name="20% - Accent2 9 2 5 2 2" xfId="17745"/>
    <cellStyle name="20% - Accent2 9 2 5 2 2 2" xfId="35368"/>
    <cellStyle name="20% - Accent2 9 2 5 2 3" xfId="28327"/>
    <cellStyle name="20% - Accent2 9 2 5 3" xfId="14533"/>
    <cellStyle name="20% - Accent2 9 2 5 3 2" xfId="32154"/>
    <cellStyle name="20% - Accent2 9 2 5 4" xfId="25467"/>
    <cellStyle name="20% - Accent2 9 2 6" xfId="7582"/>
    <cellStyle name="20% - Accent2 9 2 6 2" xfId="15373"/>
    <cellStyle name="20% - Accent2 9 2 6 2 2" xfId="32994"/>
    <cellStyle name="20% - Accent2 9 2 6 3" xfId="26001"/>
    <cellStyle name="20% - Accent2 9 2 7" xfId="11147"/>
    <cellStyle name="20% - Accent2 9 2 7 2" xfId="28861"/>
    <cellStyle name="20% - Accent2 9 2 8" xfId="22703"/>
    <cellStyle name="20% - Accent2 9 2 8 2" xfId="38899"/>
    <cellStyle name="20% - Accent2 9 2 9" xfId="23140"/>
    <cellStyle name="20% - Accent2 9 3" xfId="328"/>
    <cellStyle name="20% - Accent2 9 3 10" xfId="23141"/>
    <cellStyle name="20% - Accent2 9 3 11" xfId="51680"/>
    <cellStyle name="20% - Accent2 9 3 2" xfId="329"/>
    <cellStyle name="20% - Accent2 9 3 2 2" xfId="3564"/>
    <cellStyle name="20% - Accent2 9 3 2 2 2" xfId="8183"/>
    <cellStyle name="20% - Accent2 9 3 2 2 2 2" xfId="15973"/>
    <cellStyle name="20% - Accent2 9 3 2 2 2 2 2" xfId="33594"/>
    <cellStyle name="20% - Accent2 9 3 2 2 2 3" xfId="26583"/>
    <cellStyle name="20% - Accent2 9 3 2 2 3" xfId="12291"/>
    <cellStyle name="20% - Accent2 9 3 2 2 3 2" xfId="29948"/>
    <cellStyle name="20% - Accent2 9 3 2 2 4" xfId="23722"/>
    <cellStyle name="20% - Accent2 9 3 2 3" xfId="5586"/>
    <cellStyle name="20% - Accent2 9 3 2 3 2" xfId="8883"/>
    <cellStyle name="20% - Accent2 9 3 2 3 2 2" xfId="16672"/>
    <cellStyle name="20% - Accent2 9 3 2 3 2 2 2" xfId="34294"/>
    <cellStyle name="20% - Accent2 9 3 2 3 2 3" xfId="27257"/>
    <cellStyle name="20% - Accent2 9 3 2 3 3" xfId="13436"/>
    <cellStyle name="20% - Accent2 9 3 2 3 3 2" xfId="31062"/>
    <cellStyle name="20% - Accent2 9 3 2 3 4" xfId="24396"/>
    <cellStyle name="20% - Accent2 9 3 2 4" xfId="6216"/>
    <cellStyle name="20% - Accent2 9 3 2 4 2" xfId="9423"/>
    <cellStyle name="20% - Accent2 9 3 2 4 2 2" xfId="17211"/>
    <cellStyle name="20% - Accent2 9 3 2 4 2 2 2" xfId="34834"/>
    <cellStyle name="20% - Accent2 9 3 2 4 2 3" xfId="27793"/>
    <cellStyle name="20% - Accent2 9 3 2 4 3" xfId="13999"/>
    <cellStyle name="20% - Accent2 9 3 2 4 3 2" xfId="31620"/>
    <cellStyle name="20% - Accent2 9 3 2 4 4" xfId="24932"/>
    <cellStyle name="20% - Accent2 9 3 2 5" xfId="6753"/>
    <cellStyle name="20% - Accent2 9 3 2 5 2" xfId="9960"/>
    <cellStyle name="20% - Accent2 9 3 2 5 2 2" xfId="17747"/>
    <cellStyle name="20% - Accent2 9 3 2 5 2 2 2" xfId="35370"/>
    <cellStyle name="20% - Accent2 9 3 2 5 2 3" xfId="28329"/>
    <cellStyle name="20% - Accent2 9 3 2 5 3" xfId="14535"/>
    <cellStyle name="20% - Accent2 9 3 2 5 3 2" xfId="32156"/>
    <cellStyle name="20% - Accent2 9 3 2 5 4" xfId="25469"/>
    <cellStyle name="20% - Accent2 9 3 2 6" xfId="7584"/>
    <cellStyle name="20% - Accent2 9 3 2 6 2" xfId="15375"/>
    <cellStyle name="20% - Accent2 9 3 2 6 2 2" xfId="32996"/>
    <cellStyle name="20% - Accent2 9 3 2 6 3" xfId="26003"/>
    <cellStyle name="20% - Accent2 9 3 2 7" xfId="11149"/>
    <cellStyle name="20% - Accent2 9 3 2 7 2" xfId="28863"/>
    <cellStyle name="20% - Accent2 9 3 2 8" xfId="23142"/>
    <cellStyle name="20% - Accent2 9 3 2 9" xfId="51681"/>
    <cellStyle name="20% - Accent2 9 3 3" xfId="3565"/>
    <cellStyle name="20% - Accent2 9 3 3 2" xfId="5587"/>
    <cellStyle name="20% - Accent2 9 3 3 2 2" xfId="8884"/>
    <cellStyle name="20% - Accent2 9 3 3 2 2 2" xfId="16673"/>
    <cellStyle name="20% - Accent2 9 3 3 2 2 2 2" xfId="34295"/>
    <cellStyle name="20% - Accent2 9 3 3 2 2 3" xfId="27258"/>
    <cellStyle name="20% - Accent2 9 3 3 2 3" xfId="13437"/>
    <cellStyle name="20% - Accent2 9 3 3 2 3 2" xfId="31063"/>
    <cellStyle name="20% - Accent2 9 3 3 2 4" xfId="24397"/>
    <cellStyle name="20% - Accent2 9 3 3 3" xfId="6217"/>
    <cellStyle name="20% - Accent2 9 3 3 3 2" xfId="9424"/>
    <cellStyle name="20% - Accent2 9 3 3 3 2 2" xfId="17212"/>
    <cellStyle name="20% - Accent2 9 3 3 3 2 2 2" xfId="34835"/>
    <cellStyle name="20% - Accent2 9 3 3 3 2 3" xfId="27794"/>
    <cellStyle name="20% - Accent2 9 3 3 3 3" xfId="14000"/>
    <cellStyle name="20% - Accent2 9 3 3 3 3 2" xfId="31621"/>
    <cellStyle name="20% - Accent2 9 3 3 3 4" xfId="24933"/>
    <cellStyle name="20% - Accent2 9 3 3 4" xfId="6754"/>
    <cellStyle name="20% - Accent2 9 3 3 4 2" xfId="9961"/>
    <cellStyle name="20% - Accent2 9 3 3 4 2 2" xfId="17748"/>
    <cellStyle name="20% - Accent2 9 3 3 4 2 2 2" xfId="35371"/>
    <cellStyle name="20% - Accent2 9 3 3 4 2 3" xfId="28330"/>
    <cellStyle name="20% - Accent2 9 3 3 4 3" xfId="14536"/>
    <cellStyle name="20% - Accent2 9 3 3 4 3 2" xfId="32157"/>
    <cellStyle name="20% - Accent2 9 3 3 4 4" xfId="25470"/>
    <cellStyle name="20% - Accent2 9 3 3 5" xfId="8184"/>
    <cellStyle name="20% - Accent2 9 3 3 5 2" xfId="15974"/>
    <cellStyle name="20% - Accent2 9 3 3 5 2 2" xfId="33595"/>
    <cellStyle name="20% - Accent2 9 3 3 5 3" xfId="26584"/>
    <cellStyle name="20% - Accent2 9 3 3 6" xfId="12292"/>
    <cellStyle name="20% - Accent2 9 3 3 6 2" xfId="29949"/>
    <cellStyle name="20% - Accent2 9 3 3 7" xfId="23723"/>
    <cellStyle name="20% - Accent2 9 3 4" xfId="3563"/>
    <cellStyle name="20% - Accent2 9 3 4 2" xfId="8182"/>
    <cellStyle name="20% - Accent2 9 3 4 2 2" xfId="15972"/>
    <cellStyle name="20% - Accent2 9 3 4 2 2 2" xfId="33593"/>
    <cellStyle name="20% - Accent2 9 3 4 2 3" xfId="26582"/>
    <cellStyle name="20% - Accent2 9 3 4 3" xfId="12290"/>
    <cellStyle name="20% - Accent2 9 3 4 3 2" xfId="29947"/>
    <cellStyle name="20% - Accent2 9 3 4 4" xfId="23721"/>
    <cellStyle name="20% - Accent2 9 3 5" xfId="5585"/>
    <cellStyle name="20% - Accent2 9 3 5 2" xfId="8882"/>
    <cellStyle name="20% - Accent2 9 3 5 2 2" xfId="16671"/>
    <cellStyle name="20% - Accent2 9 3 5 2 2 2" xfId="34293"/>
    <cellStyle name="20% - Accent2 9 3 5 2 3" xfId="27256"/>
    <cellStyle name="20% - Accent2 9 3 5 3" xfId="13435"/>
    <cellStyle name="20% - Accent2 9 3 5 3 2" xfId="31061"/>
    <cellStyle name="20% - Accent2 9 3 5 4" xfId="24395"/>
    <cellStyle name="20% - Accent2 9 3 6" xfId="6215"/>
    <cellStyle name="20% - Accent2 9 3 6 2" xfId="9422"/>
    <cellStyle name="20% - Accent2 9 3 6 2 2" xfId="17210"/>
    <cellStyle name="20% - Accent2 9 3 6 2 2 2" xfId="34833"/>
    <cellStyle name="20% - Accent2 9 3 6 2 3" xfId="27792"/>
    <cellStyle name="20% - Accent2 9 3 6 3" xfId="13998"/>
    <cellStyle name="20% - Accent2 9 3 6 3 2" xfId="31619"/>
    <cellStyle name="20% - Accent2 9 3 6 4" xfId="24931"/>
    <cellStyle name="20% - Accent2 9 3 7" xfId="6752"/>
    <cellStyle name="20% - Accent2 9 3 7 2" xfId="9959"/>
    <cellStyle name="20% - Accent2 9 3 7 2 2" xfId="17746"/>
    <cellStyle name="20% - Accent2 9 3 7 2 2 2" xfId="35369"/>
    <cellStyle name="20% - Accent2 9 3 7 2 3" xfId="28328"/>
    <cellStyle name="20% - Accent2 9 3 7 3" xfId="14534"/>
    <cellStyle name="20% - Accent2 9 3 7 3 2" xfId="32155"/>
    <cellStyle name="20% - Accent2 9 3 7 4" xfId="25468"/>
    <cellStyle name="20% - Accent2 9 3 8" xfId="7583"/>
    <cellStyle name="20% - Accent2 9 3 8 2" xfId="15374"/>
    <cellStyle name="20% - Accent2 9 3 8 2 2" xfId="32995"/>
    <cellStyle name="20% - Accent2 9 3 8 3" xfId="26002"/>
    <cellStyle name="20% - Accent2 9 3 9" xfId="11148"/>
    <cellStyle name="20% - Accent2 9 3 9 2" xfId="28862"/>
    <cellStyle name="20% - Accent2 9 4" xfId="330"/>
    <cellStyle name="20% - Accent2 9 4 2" xfId="3566"/>
    <cellStyle name="20% - Accent2 9 4 2 2" xfId="8185"/>
    <cellStyle name="20% - Accent2 9 4 2 2 2" xfId="15975"/>
    <cellStyle name="20% - Accent2 9 4 2 2 2 2" xfId="33596"/>
    <cellStyle name="20% - Accent2 9 4 2 2 3" xfId="26585"/>
    <cellStyle name="20% - Accent2 9 4 2 3" xfId="12293"/>
    <cellStyle name="20% - Accent2 9 4 2 3 2" xfId="29950"/>
    <cellStyle name="20% - Accent2 9 4 2 4" xfId="23724"/>
    <cellStyle name="20% - Accent2 9 4 3" xfId="5588"/>
    <cellStyle name="20% - Accent2 9 4 3 2" xfId="8885"/>
    <cellStyle name="20% - Accent2 9 4 3 2 2" xfId="16674"/>
    <cellStyle name="20% - Accent2 9 4 3 2 2 2" xfId="34296"/>
    <cellStyle name="20% - Accent2 9 4 3 2 3" xfId="27259"/>
    <cellStyle name="20% - Accent2 9 4 3 3" xfId="13438"/>
    <cellStyle name="20% - Accent2 9 4 3 3 2" xfId="31064"/>
    <cellStyle name="20% - Accent2 9 4 3 4" xfId="24398"/>
    <cellStyle name="20% - Accent2 9 4 4" xfId="6218"/>
    <cellStyle name="20% - Accent2 9 4 4 2" xfId="9425"/>
    <cellStyle name="20% - Accent2 9 4 4 2 2" xfId="17213"/>
    <cellStyle name="20% - Accent2 9 4 4 2 2 2" xfId="34836"/>
    <cellStyle name="20% - Accent2 9 4 4 2 3" xfId="27795"/>
    <cellStyle name="20% - Accent2 9 4 4 3" xfId="14001"/>
    <cellStyle name="20% - Accent2 9 4 4 3 2" xfId="31622"/>
    <cellStyle name="20% - Accent2 9 4 4 4" xfId="24934"/>
    <cellStyle name="20% - Accent2 9 4 5" xfId="6755"/>
    <cellStyle name="20% - Accent2 9 4 5 2" xfId="9962"/>
    <cellStyle name="20% - Accent2 9 4 5 2 2" xfId="17749"/>
    <cellStyle name="20% - Accent2 9 4 5 2 2 2" xfId="35372"/>
    <cellStyle name="20% - Accent2 9 4 5 2 3" xfId="28331"/>
    <cellStyle name="20% - Accent2 9 4 5 3" xfId="14537"/>
    <cellStyle name="20% - Accent2 9 4 5 3 2" xfId="32158"/>
    <cellStyle name="20% - Accent2 9 4 5 4" xfId="25471"/>
    <cellStyle name="20% - Accent2 9 4 6" xfId="7585"/>
    <cellStyle name="20% - Accent2 9 4 6 2" xfId="15376"/>
    <cellStyle name="20% - Accent2 9 4 6 2 2" xfId="32997"/>
    <cellStyle name="20% - Accent2 9 4 6 3" xfId="26004"/>
    <cellStyle name="20% - Accent2 9 4 7" xfId="11150"/>
    <cellStyle name="20% - Accent2 9 4 7 2" xfId="28864"/>
    <cellStyle name="20% - Accent2 9 4 8" xfId="23143"/>
    <cellStyle name="20% - Accent2 9 4 9" xfId="51682"/>
    <cellStyle name="20% - Accent2 9 5" xfId="331"/>
    <cellStyle name="20% - Accent2 9 5 2" xfId="3567"/>
    <cellStyle name="20% - Accent2 9 5 2 2" xfId="8186"/>
    <cellStyle name="20% - Accent2 9 5 2 2 2" xfId="15976"/>
    <cellStyle name="20% - Accent2 9 5 2 2 2 2" xfId="33597"/>
    <cellStyle name="20% - Accent2 9 5 2 2 3" xfId="26586"/>
    <cellStyle name="20% - Accent2 9 5 2 3" xfId="12294"/>
    <cellStyle name="20% - Accent2 9 5 2 3 2" xfId="29951"/>
    <cellStyle name="20% - Accent2 9 5 2 4" xfId="23725"/>
    <cellStyle name="20% - Accent2 9 5 3" xfId="5589"/>
    <cellStyle name="20% - Accent2 9 5 3 2" xfId="8886"/>
    <cellStyle name="20% - Accent2 9 5 3 2 2" xfId="16675"/>
    <cellStyle name="20% - Accent2 9 5 3 2 2 2" xfId="34297"/>
    <cellStyle name="20% - Accent2 9 5 3 2 3" xfId="27260"/>
    <cellStyle name="20% - Accent2 9 5 3 3" xfId="13439"/>
    <cellStyle name="20% - Accent2 9 5 3 3 2" xfId="31065"/>
    <cellStyle name="20% - Accent2 9 5 3 4" xfId="24399"/>
    <cellStyle name="20% - Accent2 9 5 4" xfId="6219"/>
    <cellStyle name="20% - Accent2 9 5 4 2" xfId="9426"/>
    <cellStyle name="20% - Accent2 9 5 4 2 2" xfId="17214"/>
    <cellStyle name="20% - Accent2 9 5 4 2 2 2" xfId="34837"/>
    <cellStyle name="20% - Accent2 9 5 4 2 3" xfId="27796"/>
    <cellStyle name="20% - Accent2 9 5 4 3" xfId="14002"/>
    <cellStyle name="20% - Accent2 9 5 4 3 2" xfId="31623"/>
    <cellStyle name="20% - Accent2 9 5 4 4" xfId="24935"/>
    <cellStyle name="20% - Accent2 9 5 5" xfId="6756"/>
    <cellStyle name="20% - Accent2 9 5 5 2" xfId="9963"/>
    <cellStyle name="20% - Accent2 9 5 5 2 2" xfId="17750"/>
    <cellStyle name="20% - Accent2 9 5 5 2 2 2" xfId="35373"/>
    <cellStyle name="20% - Accent2 9 5 5 2 3" xfId="28332"/>
    <cellStyle name="20% - Accent2 9 5 5 3" xfId="14538"/>
    <cellStyle name="20% - Accent2 9 5 5 3 2" xfId="32159"/>
    <cellStyle name="20% - Accent2 9 5 5 4" xfId="25472"/>
    <cellStyle name="20% - Accent2 9 5 6" xfId="7586"/>
    <cellStyle name="20% - Accent2 9 5 6 2" xfId="15377"/>
    <cellStyle name="20% - Accent2 9 5 6 2 2" xfId="32998"/>
    <cellStyle name="20% - Accent2 9 5 6 3" xfId="26005"/>
    <cellStyle name="20% - Accent2 9 5 7" xfId="11151"/>
    <cellStyle name="20% - Accent2 9 5 7 2" xfId="28865"/>
    <cellStyle name="20% - Accent2 9 5 8" xfId="23144"/>
    <cellStyle name="20% - Accent2 9 5 9" xfId="51683"/>
    <cellStyle name="20% - Accent2 9 6" xfId="332"/>
    <cellStyle name="20% - Accent2 9 6 2" xfId="3568"/>
    <cellStyle name="20% - Accent2 9 6 2 2" xfId="8187"/>
    <cellStyle name="20% - Accent2 9 6 2 2 2" xfId="15977"/>
    <cellStyle name="20% - Accent2 9 6 2 2 2 2" xfId="33598"/>
    <cellStyle name="20% - Accent2 9 6 2 2 3" xfId="26587"/>
    <cellStyle name="20% - Accent2 9 6 2 3" xfId="12295"/>
    <cellStyle name="20% - Accent2 9 6 2 3 2" xfId="29952"/>
    <cellStyle name="20% - Accent2 9 6 2 4" xfId="23726"/>
    <cellStyle name="20% - Accent2 9 6 3" xfId="5590"/>
    <cellStyle name="20% - Accent2 9 6 3 2" xfId="8887"/>
    <cellStyle name="20% - Accent2 9 6 3 2 2" xfId="16676"/>
    <cellStyle name="20% - Accent2 9 6 3 2 2 2" xfId="34298"/>
    <cellStyle name="20% - Accent2 9 6 3 2 3" xfId="27261"/>
    <cellStyle name="20% - Accent2 9 6 3 3" xfId="13440"/>
    <cellStyle name="20% - Accent2 9 6 3 3 2" xfId="31066"/>
    <cellStyle name="20% - Accent2 9 6 3 4" xfId="24400"/>
    <cellStyle name="20% - Accent2 9 6 4" xfId="6220"/>
    <cellStyle name="20% - Accent2 9 6 4 2" xfId="9427"/>
    <cellStyle name="20% - Accent2 9 6 4 2 2" xfId="17215"/>
    <cellStyle name="20% - Accent2 9 6 4 2 2 2" xfId="34838"/>
    <cellStyle name="20% - Accent2 9 6 4 2 3" xfId="27797"/>
    <cellStyle name="20% - Accent2 9 6 4 3" xfId="14003"/>
    <cellStyle name="20% - Accent2 9 6 4 3 2" xfId="31624"/>
    <cellStyle name="20% - Accent2 9 6 4 4" xfId="24936"/>
    <cellStyle name="20% - Accent2 9 6 5" xfId="6757"/>
    <cellStyle name="20% - Accent2 9 6 5 2" xfId="9964"/>
    <cellStyle name="20% - Accent2 9 6 5 2 2" xfId="17751"/>
    <cellStyle name="20% - Accent2 9 6 5 2 2 2" xfId="35374"/>
    <cellStyle name="20% - Accent2 9 6 5 2 3" xfId="28333"/>
    <cellStyle name="20% - Accent2 9 6 5 3" xfId="14539"/>
    <cellStyle name="20% - Accent2 9 6 5 3 2" xfId="32160"/>
    <cellStyle name="20% - Accent2 9 6 5 4" xfId="25473"/>
    <cellStyle name="20% - Accent2 9 6 6" xfId="7587"/>
    <cellStyle name="20% - Accent2 9 6 6 2" xfId="15378"/>
    <cellStyle name="20% - Accent2 9 6 6 2 2" xfId="32999"/>
    <cellStyle name="20% - Accent2 9 6 6 3" xfId="26006"/>
    <cellStyle name="20% - Accent2 9 6 7" xfId="11152"/>
    <cellStyle name="20% - Accent2 9 6 7 2" xfId="28866"/>
    <cellStyle name="20% - Accent2 9 6 8" xfId="23145"/>
    <cellStyle name="20% - Accent2 9 6 9" xfId="51684"/>
    <cellStyle name="20% - Accent2 9 7" xfId="333"/>
    <cellStyle name="20% - Accent2 9 7 10" xfId="51685"/>
    <cellStyle name="20% - Accent2 9 7 2" xfId="334"/>
    <cellStyle name="20% - Accent2 9 7 2 2" xfId="8189"/>
    <cellStyle name="20% - Accent2 9 7 2 2 2" xfId="15979"/>
    <cellStyle name="20% - Accent2 9 7 2 2 2 2" xfId="33600"/>
    <cellStyle name="20% - Accent2 9 7 2 2 3" xfId="26589"/>
    <cellStyle name="20% - Accent2 9 7 2 3" xfId="12297"/>
    <cellStyle name="20% - Accent2 9 7 2 3 2" xfId="29954"/>
    <cellStyle name="20% - Accent2 9 7 2 4" xfId="23728"/>
    <cellStyle name="20% - Accent2 9 7 3" xfId="3569"/>
    <cellStyle name="20% - Accent2 9 7 3 2" xfId="8188"/>
    <cellStyle name="20% - Accent2 9 7 3 2 2" xfId="15978"/>
    <cellStyle name="20% - Accent2 9 7 3 2 2 2" xfId="33599"/>
    <cellStyle name="20% - Accent2 9 7 3 2 3" xfId="26588"/>
    <cellStyle name="20% - Accent2 9 7 3 3" xfId="12296"/>
    <cellStyle name="20% - Accent2 9 7 3 3 2" xfId="29953"/>
    <cellStyle name="20% - Accent2 9 7 3 4" xfId="23727"/>
    <cellStyle name="20% - Accent2 9 7 4" xfId="5591"/>
    <cellStyle name="20% - Accent2 9 7 4 2" xfId="8888"/>
    <cellStyle name="20% - Accent2 9 7 4 2 2" xfId="16677"/>
    <cellStyle name="20% - Accent2 9 7 4 2 2 2" xfId="34299"/>
    <cellStyle name="20% - Accent2 9 7 4 2 3" xfId="27262"/>
    <cellStyle name="20% - Accent2 9 7 4 3" xfId="13441"/>
    <cellStyle name="20% - Accent2 9 7 4 3 2" xfId="31067"/>
    <cellStyle name="20% - Accent2 9 7 4 4" xfId="24401"/>
    <cellStyle name="20% - Accent2 9 7 5" xfId="6221"/>
    <cellStyle name="20% - Accent2 9 7 5 2" xfId="9428"/>
    <cellStyle name="20% - Accent2 9 7 5 2 2" xfId="17216"/>
    <cellStyle name="20% - Accent2 9 7 5 2 2 2" xfId="34839"/>
    <cellStyle name="20% - Accent2 9 7 5 2 3" xfId="27798"/>
    <cellStyle name="20% - Accent2 9 7 5 3" xfId="14004"/>
    <cellStyle name="20% - Accent2 9 7 5 3 2" xfId="31625"/>
    <cellStyle name="20% - Accent2 9 7 5 4" xfId="24937"/>
    <cellStyle name="20% - Accent2 9 7 6" xfId="6758"/>
    <cellStyle name="20% - Accent2 9 7 6 2" xfId="9965"/>
    <cellStyle name="20% - Accent2 9 7 6 2 2" xfId="17752"/>
    <cellStyle name="20% - Accent2 9 7 6 2 2 2" xfId="35375"/>
    <cellStyle name="20% - Accent2 9 7 6 2 3" xfId="28334"/>
    <cellStyle name="20% - Accent2 9 7 6 3" xfId="14540"/>
    <cellStyle name="20% - Accent2 9 7 6 3 2" xfId="32161"/>
    <cellStyle name="20% - Accent2 9 7 6 4" xfId="25474"/>
    <cellStyle name="20% - Accent2 9 7 7" xfId="7588"/>
    <cellStyle name="20% - Accent2 9 7 7 2" xfId="15379"/>
    <cellStyle name="20% - Accent2 9 7 7 2 2" xfId="33000"/>
    <cellStyle name="20% - Accent2 9 7 7 3" xfId="26007"/>
    <cellStyle name="20% - Accent2 9 7 8" xfId="11153"/>
    <cellStyle name="20% - Accent2 9 7 8 2" xfId="28867"/>
    <cellStyle name="20% - Accent2 9 7 9" xfId="23146"/>
    <cellStyle name="20% - Accent2 9 8" xfId="3570"/>
    <cellStyle name="20% - Accent2 9 8 2" xfId="8190"/>
    <cellStyle name="20% - Accent2 9 8 2 2" xfId="15980"/>
    <cellStyle name="20% - Accent2 9 8 2 2 2" xfId="33601"/>
    <cellStyle name="20% - Accent2 9 8 2 3" xfId="26590"/>
    <cellStyle name="20% - Accent2 9 8 3" xfId="12298"/>
    <cellStyle name="20% - Accent2 9 8 3 2" xfId="29955"/>
    <cellStyle name="20% - Accent2 9 8 4" xfId="23729"/>
    <cellStyle name="20% - Accent2 9 9" xfId="3571"/>
    <cellStyle name="20% - Accent2 9 9 2" xfId="8191"/>
    <cellStyle name="20% - Accent2 9 9 2 2" xfId="15981"/>
    <cellStyle name="20% - Accent2 9 9 2 2 2" xfId="33602"/>
    <cellStyle name="20% - Accent2 9 9 2 3" xfId="26591"/>
    <cellStyle name="20% - Accent2 9 9 3" xfId="12299"/>
    <cellStyle name="20% - Accent2 9 9 3 2" xfId="29956"/>
    <cellStyle name="20% - Accent2 9 9 4" xfId="23730"/>
    <cellStyle name="20% - Accent3" xfId="172" builtinId="38" customBuiltin="1"/>
    <cellStyle name="20% - Accent3 10" xfId="335"/>
    <cellStyle name="20% - Accent3 10 2" xfId="336"/>
    <cellStyle name="20% - Accent3 10 3" xfId="337"/>
    <cellStyle name="20% - Accent3 10 3 2" xfId="8192"/>
    <cellStyle name="20% - Accent3 10 3 2 2" xfId="15982"/>
    <cellStyle name="20% - Accent3 10 3 2 2 2" xfId="33603"/>
    <cellStyle name="20% - Accent3 10 3 2 3" xfId="26592"/>
    <cellStyle name="20% - Accent3 10 3 3" xfId="12300"/>
    <cellStyle name="20% - Accent3 10 3 3 2" xfId="29957"/>
    <cellStyle name="20% - Accent3 10 3 4" xfId="23731"/>
    <cellStyle name="20% - Accent3 10 3 5" xfId="51686"/>
    <cellStyle name="20% - Accent3 10 4" xfId="7589"/>
    <cellStyle name="20% - Accent3 10 4 2" xfId="15380"/>
    <cellStyle name="20% - Accent3 10 4 2 2" xfId="33001"/>
    <cellStyle name="20% - Accent3 10 4 3" xfId="26008"/>
    <cellStyle name="20% - Accent3 10 5" xfId="11154"/>
    <cellStyle name="20% - Accent3 10 5 2" xfId="28868"/>
    <cellStyle name="20% - Accent3 10 6" xfId="22037"/>
    <cellStyle name="20% - Accent3 10 6 2" xfId="38736"/>
    <cellStyle name="20% - Accent3 10 7" xfId="23147"/>
    <cellStyle name="20% - Accent3 11" xfId="338"/>
    <cellStyle name="20% - Accent3 11 10" xfId="3572"/>
    <cellStyle name="20% - Accent3 11 10 2" xfId="8193"/>
    <cellStyle name="20% - Accent3 11 10 2 2" xfId="15983"/>
    <cellStyle name="20% - Accent3 11 10 2 2 2" xfId="33604"/>
    <cellStyle name="20% - Accent3 11 10 2 3" xfId="26593"/>
    <cellStyle name="20% - Accent3 11 10 3" xfId="12301"/>
    <cellStyle name="20% - Accent3 11 10 3 2" xfId="29958"/>
    <cellStyle name="20% - Accent3 11 10 4" xfId="23732"/>
    <cellStyle name="20% - Accent3 11 11" xfId="5592"/>
    <cellStyle name="20% - Accent3 11 11 2" xfId="8889"/>
    <cellStyle name="20% - Accent3 11 11 2 2" xfId="16678"/>
    <cellStyle name="20% - Accent3 11 11 2 2 2" xfId="34300"/>
    <cellStyle name="20% - Accent3 11 11 2 3" xfId="27263"/>
    <cellStyle name="20% - Accent3 11 11 3" xfId="13442"/>
    <cellStyle name="20% - Accent3 11 11 3 2" xfId="31068"/>
    <cellStyle name="20% - Accent3 11 11 4" xfId="24402"/>
    <cellStyle name="20% - Accent3 11 12" xfId="6222"/>
    <cellStyle name="20% - Accent3 11 12 2" xfId="9429"/>
    <cellStyle name="20% - Accent3 11 12 2 2" xfId="17217"/>
    <cellStyle name="20% - Accent3 11 12 2 2 2" xfId="34840"/>
    <cellStyle name="20% - Accent3 11 12 2 3" xfId="27799"/>
    <cellStyle name="20% - Accent3 11 12 3" xfId="14005"/>
    <cellStyle name="20% - Accent3 11 12 3 2" xfId="31626"/>
    <cellStyle name="20% - Accent3 11 12 4" xfId="24938"/>
    <cellStyle name="20% - Accent3 11 13" xfId="6759"/>
    <cellStyle name="20% - Accent3 11 13 2" xfId="9966"/>
    <cellStyle name="20% - Accent3 11 13 2 2" xfId="17753"/>
    <cellStyle name="20% - Accent3 11 13 2 2 2" xfId="35376"/>
    <cellStyle name="20% - Accent3 11 13 2 3" xfId="28335"/>
    <cellStyle name="20% - Accent3 11 13 3" xfId="14541"/>
    <cellStyle name="20% - Accent3 11 13 3 2" xfId="32162"/>
    <cellStyle name="20% - Accent3 11 13 4" xfId="25475"/>
    <cellStyle name="20% - Accent3 11 14" xfId="7590"/>
    <cellStyle name="20% - Accent3 11 14 2" xfId="15381"/>
    <cellStyle name="20% - Accent3 11 14 2 2" xfId="33002"/>
    <cellStyle name="20% - Accent3 11 14 3" xfId="26009"/>
    <cellStyle name="20% - Accent3 11 15" xfId="11155"/>
    <cellStyle name="20% - Accent3 11 15 2" xfId="28869"/>
    <cellStyle name="20% - Accent3 11 16" xfId="22038"/>
    <cellStyle name="20% - Accent3 11 16 2" xfId="38737"/>
    <cellStyle name="20% - Accent3 11 17" xfId="23148"/>
    <cellStyle name="20% - Accent3 11 18" xfId="51687"/>
    <cellStyle name="20% - Accent3 11 2" xfId="339"/>
    <cellStyle name="20% - Accent3 11 2 2" xfId="3573"/>
    <cellStyle name="20% - Accent3 11 2 2 2" xfId="8194"/>
    <cellStyle name="20% - Accent3 11 2 2 2 2" xfId="15984"/>
    <cellStyle name="20% - Accent3 11 2 2 2 2 2" xfId="33605"/>
    <cellStyle name="20% - Accent3 11 2 2 2 3" xfId="26594"/>
    <cellStyle name="20% - Accent3 11 2 2 3" xfId="12302"/>
    <cellStyle name="20% - Accent3 11 2 2 3 2" xfId="29959"/>
    <cellStyle name="20% - Accent3 11 2 2 4" xfId="23733"/>
    <cellStyle name="20% - Accent3 11 2 3" xfId="5593"/>
    <cellStyle name="20% - Accent3 11 2 3 2" xfId="8890"/>
    <cellStyle name="20% - Accent3 11 2 3 2 2" xfId="16679"/>
    <cellStyle name="20% - Accent3 11 2 3 2 2 2" xfId="34301"/>
    <cellStyle name="20% - Accent3 11 2 3 2 3" xfId="27264"/>
    <cellStyle name="20% - Accent3 11 2 3 3" xfId="13443"/>
    <cellStyle name="20% - Accent3 11 2 3 3 2" xfId="31069"/>
    <cellStyle name="20% - Accent3 11 2 3 4" xfId="24403"/>
    <cellStyle name="20% - Accent3 11 2 4" xfId="6223"/>
    <cellStyle name="20% - Accent3 11 2 4 2" xfId="9430"/>
    <cellStyle name="20% - Accent3 11 2 4 2 2" xfId="17218"/>
    <cellStyle name="20% - Accent3 11 2 4 2 2 2" xfId="34841"/>
    <cellStyle name="20% - Accent3 11 2 4 2 3" xfId="27800"/>
    <cellStyle name="20% - Accent3 11 2 4 3" xfId="14006"/>
    <cellStyle name="20% - Accent3 11 2 4 3 2" xfId="31627"/>
    <cellStyle name="20% - Accent3 11 2 4 4" xfId="24939"/>
    <cellStyle name="20% - Accent3 11 2 5" xfId="6760"/>
    <cellStyle name="20% - Accent3 11 2 5 2" xfId="9967"/>
    <cellStyle name="20% - Accent3 11 2 5 2 2" xfId="17754"/>
    <cellStyle name="20% - Accent3 11 2 5 2 2 2" xfId="35377"/>
    <cellStyle name="20% - Accent3 11 2 5 2 3" xfId="28336"/>
    <cellStyle name="20% - Accent3 11 2 5 3" xfId="14542"/>
    <cellStyle name="20% - Accent3 11 2 5 3 2" xfId="32163"/>
    <cellStyle name="20% - Accent3 11 2 5 4" xfId="25476"/>
    <cellStyle name="20% - Accent3 11 2 6" xfId="7591"/>
    <cellStyle name="20% - Accent3 11 2 6 2" xfId="15382"/>
    <cellStyle name="20% - Accent3 11 2 6 2 2" xfId="33003"/>
    <cellStyle name="20% - Accent3 11 2 6 3" xfId="26010"/>
    <cellStyle name="20% - Accent3 11 2 7" xfId="11156"/>
    <cellStyle name="20% - Accent3 11 2 7 2" xfId="28870"/>
    <cellStyle name="20% - Accent3 11 2 8" xfId="23149"/>
    <cellStyle name="20% - Accent3 11 2 9" xfId="51688"/>
    <cellStyle name="20% - Accent3 11 3" xfId="340"/>
    <cellStyle name="20% - Accent3 11 3 10" xfId="23150"/>
    <cellStyle name="20% - Accent3 11 3 11" xfId="51689"/>
    <cellStyle name="20% - Accent3 11 3 2" xfId="341"/>
    <cellStyle name="20% - Accent3 11 3 2 2" xfId="3575"/>
    <cellStyle name="20% - Accent3 11 3 2 2 2" xfId="8196"/>
    <cellStyle name="20% - Accent3 11 3 2 2 2 2" xfId="15986"/>
    <cellStyle name="20% - Accent3 11 3 2 2 2 2 2" xfId="33607"/>
    <cellStyle name="20% - Accent3 11 3 2 2 2 3" xfId="26596"/>
    <cellStyle name="20% - Accent3 11 3 2 2 3" xfId="12304"/>
    <cellStyle name="20% - Accent3 11 3 2 2 3 2" xfId="29961"/>
    <cellStyle name="20% - Accent3 11 3 2 2 4" xfId="23735"/>
    <cellStyle name="20% - Accent3 11 3 2 3" xfId="5595"/>
    <cellStyle name="20% - Accent3 11 3 2 3 2" xfId="8892"/>
    <cellStyle name="20% - Accent3 11 3 2 3 2 2" xfId="16681"/>
    <cellStyle name="20% - Accent3 11 3 2 3 2 2 2" xfId="34303"/>
    <cellStyle name="20% - Accent3 11 3 2 3 2 3" xfId="27266"/>
    <cellStyle name="20% - Accent3 11 3 2 3 3" xfId="13445"/>
    <cellStyle name="20% - Accent3 11 3 2 3 3 2" xfId="31071"/>
    <cellStyle name="20% - Accent3 11 3 2 3 4" xfId="24405"/>
    <cellStyle name="20% - Accent3 11 3 2 4" xfId="6225"/>
    <cellStyle name="20% - Accent3 11 3 2 4 2" xfId="9432"/>
    <cellStyle name="20% - Accent3 11 3 2 4 2 2" xfId="17220"/>
    <cellStyle name="20% - Accent3 11 3 2 4 2 2 2" xfId="34843"/>
    <cellStyle name="20% - Accent3 11 3 2 4 2 3" xfId="27802"/>
    <cellStyle name="20% - Accent3 11 3 2 4 3" xfId="14008"/>
    <cellStyle name="20% - Accent3 11 3 2 4 3 2" xfId="31629"/>
    <cellStyle name="20% - Accent3 11 3 2 4 4" xfId="24941"/>
    <cellStyle name="20% - Accent3 11 3 2 5" xfId="6762"/>
    <cellStyle name="20% - Accent3 11 3 2 5 2" xfId="9969"/>
    <cellStyle name="20% - Accent3 11 3 2 5 2 2" xfId="17756"/>
    <cellStyle name="20% - Accent3 11 3 2 5 2 2 2" xfId="35379"/>
    <cellStyle name="20% - Accent3 11 3 2 5 2 3" xfId="28338"/>
    <cellStyle name="20% - Accent3 11 3 2 5 3" xfId="14544"/>
    <cellStyle name="20% - Accent3 11 3 2 5 3 2" xfId="32165"/>
    <cellStyle name="20% - Accent3 11 3 2 5 4" xfId="25478"/>
    <cellStyle name="20% - Accent3 11 3 2 6" xfId="7593"/>
    <cellStyle name="20% - Accent3 11 3 2 6 2" xfId="15384"/>
    <cellStyle name="20% - Accent3 11 3 2 6 2 2" xfId="33005"/>
    <cellStyle name="20% - Accent3 11 3 2 6 3" xfId="26012"/>
    <cellStyle name="20% - Accent3 11 3 2 7" xfId="11158"/>
    <cellStyle name="20% - Accent3 11 3 2 7 2" xfId="28872"/>
    <cellStyle name="20% - Accent3 11 3 2 8" xfId="23151"/>
    <cellStyle name="20% - Accent3 11 3 2 9" xfId="51690"/>
    <cellStyle name="20% - Accent3 11 3 3" xfId="3576"/>
    <cellStyle name="20% - Accent3 11 3 3 2" xfId="5596"/>
    <cellStyle name="20% - Accent3 11 3 3 2 2" xfId="8893"/>
    <cellStyle name="20% - Accent3 11 3 3 2 2 2" xfId="16682"/>
    <cellStyle name="20% - Accent3 11 3 3 2 2 2 2" xfId="34304"/>
    <cellStyle name="20% - Accent3 11 3 3 2 2 3" xfId="27267"/>
    <cellStyle name="20% - Accent3 11 3 3 2 3" xfId="13446"/>
    <cellStyle name="20% - Accent3 11 3 3 2 3 2" xfId="31072"/>
    <cellStyle name="20% - Accent3 11 3 3 2 4" xfId="24406"/>
    <cellStyle name="20% - Accent3 11 3 3 3" xfId="6226"/>
    <cellStyle name="20% - Accent3 11 3 3 3 2" xfId="9433"/>
    <cellStyle name="20% - Accent3 11 3 3 3 2 2" xfId="17221"/>
    <cellStyle name="20% - Accent3 11 3 3 3 2 2 2" xfId="34844"/>
    <cellStyle name="20% - Accent3 11 3 3 3 2 3" xfId="27803"/>
    <cellStyle name="20% - Accent3 11 3 3 3 3" xfId="14009"/>
    <cellStyle name="20% - Accent3 11 3 3 3 3 2" xfId="31630"/>
    <cellStyle name="20% - Accent3 11 3 3 3 4" xfId="24942"/>
    <cellStyle name="20% - Accent3 11 3 3 4" xfId="6763"/>
    <cellStyle name="20% - Accent3 11 3 3 4 2" xfId="9970"/>
    <cellStyle name="20% - Accent3 11 3 3 4 2 2" xfId="17757"/>
    <cellStyle name="20% - Accent3 11 3 3 4 2 2 2" xfId="35380"/>
    <cellStyle name="20% - Accent3 11 3 3 4 2 3" xfId="28339"/>
    <cellStyle name="20% - Accent3 11 3 3 4 3" xfId="14545"/>
    <cellStyle name="20% - Accent3 11 3 3 4 3 2" xfId="32166"/>
    <cellStyle name="20% - Accent3 11 3 3 4 4" xfId="25479"/>
    <cellStyle name="20% - Accent3 11 3 3 5" xfId="8197"/>
    <cellStyle name="20% - Accent3 11 3 3 5 2" xfId="15987"/>
    <cellStyle name="20% - Accent3 11 3 3 5 2 2" xfId="33608"/>
    <cellStyle name="20% - Accent3 11 3 3 5 3" xfId="26597"/>
    <cellStyle name="20% - Accent3 11 3 3 6" xfId="12305"/>
    <cellStyle name="20% - Accent3 11 3 3 6 2" xfId="29962"/>
    <cellStyle name="20% - Accent3 11 3 3 7" xfId="23736"/>
    <cellStyle name="20% - Accent3 11 3 4" xfId="3574"/>
    <cellStyle name="20% - Accent3 11 3 4 2" xfId="8195"/>
    <cellStyle name="20% - Accent3 11 3 4 2 2" xfId="15985"/>
    <cellStyle name="20% - Accent3 11 3 4 2 2 2" xfId="33606"/>
    <cellStyle name="20% - Accent3 11 3 4 2 3" xfId="26595"/>
    <cellStyle name="20% - Accent3 11 3 4 3" xfId="12303"/>
    <cellStyle name="20% - Accent3 11 3 4 3 2" xfId="29960"/>
    <cellStyle name="20% - Accent3 11 3 4 4" xfId="23734"/>
    <cellStyle name="20% - Accent3 11 3 5" xfId="5594"/>
    <cellStyle name="20% - Accent3 11 3 5 2" xfId="8891"/>
    <cellStyle name="20% - Accent3 11 3 5 2 2" xfId="16680"/>
    <cellStyle name="20% - Accent3 11 3 5 2 2 2" xfId="34302"/>
    <cellStyle name="20% - Accent3 11 3 5 2 3" xfId="27265"/>
    <cellStyle name="20% - Accent3 11 3 5 3" xfId="13444"/>
    <cellStyle name="20% - Accent3 11 3 5 3 2" xfId="31070"/>
    <cellStyle name="20% - Accent3 11 3 5 4" xfId="24404"/>
    <cellStyle name="20% - Accent3 11 3 6" xfId="6224"/>
    <cellStyle name="20% - Accent3 11 3 6 2" xfId="9431"/>
    <cellStyle name="20% - Accent3 11 3 6 2 2" xfId="17219"/>
    <cellStyle name="20% - Accent3 11 3 6 2 2 2" xfId="34842"/>
    <cellStyle name="20% - Accent3 11 3 6 2 3" xfId="27801"/>
    <cellStyle name="20% - Accent3 11 3 6 3" xfId="14007"/>
    <cellStyle name="20% - Accent3 11 3 6 3 2" xfId="31628"/>
    <cellStyle name="20% - Accent3 11 3 6 4" xfId="24940"/>
    <cellStyle name="20% - Accent3 11 3 7" xfId="6761"/>
    <cellStyle name="20% - Accent3 11 3 7 2" xfId="9968"/>
    <cellStyle name="20% - Accent3 11 3 7 2 2" xfId="17755"/>
    <cellStyle name="20% - Accent3 11 3 7 2 2 2" xfId="35378"/>
    <cellStyle name="20% - Accent3 11 3 7 2 3" xfId="28337"/>
    <cellStyle name="20% - Accent3 11 3 7 3" xfId="14543"/>
    <cellStyle name="20% - Accent3 11 3 7 3 2" xfId="32164"/>
    <cellStyle name="20% - Accent3 11 3 7 4" xfId="25477"/>
    <cellStyle name="20% - Accent3 11 3 8" xfId="7592"/>
    <cellStyle name="20% - Accent3 11 3 8 2" xfId="15383"/>
    <cellStyle name="20% - Accent3 11 3 8 2 2" xfId="33004"/>
    <cellStyle name="20% - Accent3 11 3 8 3" xfId="26011"/>
    <cellStyle name="20% - Accent3 11 3 9" xfId="11157"/>
    <cellStyle name="20% - Accent3 11 3 9 2" xfId="28871"/>
    <cellStyle name="20% - Accent3 11 4" xfId="342"/>
    <cellStyle name="20% - Accent3 11 4 2" xfId="3577"/>
    <cellStyle name="20% - Accent3 11 4 2 2" xfId="8198"/>
    <cellStyle name="20% - Accent3 11 4 2 2 2" xfId="15988"/>
    <cellStyle name="20% - Accent3 11 4 2 2 2 2" xfId="33609"/>
    <cellStyle name="20% - Accent3 11 4 2 2 3" xfId="26598"/>
    <cellStyle name="20% - Accent3 11 4 2 3" xfId="12306"/>
    <cellStyle name="20% - Accent3 11 4 2 3 2" xfId="29963"/>
    <cellStyle name="20% - Accent3 11 4 2 4" xfId="23737"/>
    <cellStyle name="20% - Accent3 11 4 3" xfId="5597"/>
    <cellStyle name="20% - Accent3 11 4 3 2" xfId="8894"/>
    <cellStyle name="20% - Accent3 11 4 3 2 2" xfId="16683"/>
    <cellStyle name="20% - Accent3 11 4 3 2 2 2" xfId="34305"/>
    <cellStyle name="20% - Accent3 11 4 3 2 3" xfId="27268"/>
    <cellStyle name="20% - Accent3 11 4 3 3" xfId="13447"/>
    <cellStyle name="20% - Accent3 11 4 3 3 2" xfId="31073"/>
    <cellStyle name="20% - Accent3 11 4 3 4" xfId="24407"/>
    <cellStyle name="20% - Accent3 11 4 4" xfId="6227"/>
    <cellStyle name="20% - Accent3 11 4 4 2" xfId="9434"/>
    <cellStyle name="20% - Accent3 11 4 4 2 2" xfId="17222"/>
    <cellStyle name="20% - Accent3 11 4 4 2 2 2" xfId="34845"/>
    <cellStyle name="20% - Accent3 11 4 4 2 3" xfId="27804"/>
    <cellStyle name="20% - Accent3 11 4 4 3" xfId="14010"/>
    <cellStyle name="20% - Accent3 11 4 4 3 2" xfId="31631"/>
    <cellStyle name="20% - Accent3 11 4 4 4" xfId="24943"/>
    <cellStyle name="20% - Accent3 11 4 5" xfId="6764"/>
    <cellStyle name="20% - Accent3 11 4 5 2" xfId="9971"/>
    <cellStyle name="20% - Accent3 11 4 5 2 2" xfId="17758"/>
    <cellStyle name="20% - Accent3 11 4 5 2 2 2" xfId="35381"/>
    <cellStyle name="20% - Accent3 11 4 5 2 3" xfId="28340"/>
    <cellStyle name="20% - Accent3 11 4 5 3" xfId="14546"/>
    <cellStyle name="20% - Accent3 11 4 5 3 2" xfId="32167"/>
    <cellStyle name="20% - Accent3 11 4 5 4" xfId="25480"/>
    <cellStyle name="20% - Accent3 11 4 6" xfId="7594"/>
    <cellStyle name="20% - Accent3 11 4 6 2" xfId="15385"/>
    <cellStyle name="20% - Accent3 11 4 6 2 2" xfId="33006"/>
    <cellStyle name="20% - Accent3 11 4 6 3" xfId="26013"/>
    <cellStyle name="20% - Accent3 11 4 7" xfId="11159"/>
    <cellStyle name="20% - Accent3 11 4 7 2" xfId="28873"/>
    <cellStyle name="20% - Accent3 11 4 8" xfId="23152"/>
    <cellStyle name="20% - Accent3 11 4 9" xfId="51691"/>
    <cellStyle name="20% - Accent3 11 5" xfId="343"/>
    <cellStyle name="20% - Accent3 11 5 2" xfId="3578"/>
    <cellStyle name="20% - Accent3 11 5 2 2" xfId="8199"/>
    <cellStyle name="20% - Accent3 11 5 2 2 2" xfId="15989"/>
    <cellStyle name="20% - Accent3 11 5 2 2 2 2" xfId="33610"/>
    <cellStyle name="20% - Accent3 11 5 2 2 3" xfId="26599"/>
    <cellStyle name="20% - Accent3 11 5 2 3" xfId="12307"/>
    <cellStyle name="20% - Accent3 11 5 2 3 2" xfId="29964"/>
    <cellStyle name="20% - Accent3 11 5 2 4" xfId="23738"/>
    <cellStyle name="20% - Accent3 11 5 3" xfId="5598"/>
    <cellStyle name="20% - Accent3 11 5 3 2" xfId="8895"/>
    <cellStyle name="20% - Accent3 11 5 3 2 2" xfId="16684"/>
    <cellStyle name="20% - Accent3 11 5 3 2 2 2" xfId="34306"/>
    <cellStyle name="20% - Accent3 11 5 3 2 3" xfId="27269"/>
    <cellStyle name="20% - Accent3 11 5 3 3" xfId="13448"/>
    <cellStyle name="20% - Accent3 11 5 3 3 2" xfId="31074"/>
    <cellStyle name="20% - Accent3 11 5 3 4" xfId="24408"/>
    <cellStyle name="20% - Accent3 11 5 4" xfId="6228"/>
    <cellStyle name="20% - Accent3 11 5 4 2" xfId="9435"/>
    <cellStyle name="20% - Accent3 11 5 4 2 2" xfId="17223"/>
    <cellStyle name="20% - Accent3 11 5 4 2 2 2" xfId="34846"/>
    <cellStyle name="20% - Accent3 11 5 4 2 3" xfId="27805"/>
    <cellStyle name="20% - Accent3 11 5 4 3" xfId="14011"/>
    <cellStyle name="20% - Accent3 11 5 4 3 2" xfId="31632"/>
    <cellStyle name="20% - Accent3 11 5 4 4" xfId="24944"/>
    <cellStyle name="20% - Accent3 11 5 5" xfId="6765"/>
    <cellStyle name="20% - Accent3 11 5 5 2" xfId="9972"/>
    <cellStyle name="20% - Accent3 11 5 5 2 2" xfId="17759"/>
    <cellStyle name="20% - Accent3 11 5 5 2 2 2" xfId="35382"/>
    <cellStyle name="20% - Accent3 11 5 5 2 3" xfId="28341"/>
    <cellStyle name="20% - Accent3 11 5 5 3" xfId="14547"/>
    <cellStyle name="20% - Accent3 11 5 5 3 2" xfId="32168"/>
    <cellStyle name="20% - Accent3 11 5 5 4" xfId="25481"/>
    <cellStyle name="20% - Accent3 11 5 6" xfId="7595"/>
    <cellStyle name="20% - Accent3 11 5 6 2" xfId="15386"/>
    <cellStyle name="20% - Accent3 11 5 6 2 2" xfId="33007"/>
    <cellStyle name="20% - Accent3 11 5 6 3" xfId="26014"/>
    <cellStyle name="20% - Accent3 11 5 7" xfId="11160"/>
    <cellStyle name="20% - Accent3 11 5 7 2" xfId="28874"/>
    <cellStyle name="20% - Accent3 11 5 8" xfId="23153"/>
    <cellStyle name="20% - Accent3 11 5 9" xfId="51692"/>
    <cellStyle name="20% - Accent3 11 6" xfId="344"/>
    <cellStyle name="20% - Accent3 11 6 2" xfId="3579"/>
    <cellStyle name="20% - Accent3 11 6 2 2" xfId="8200"/>
    <cellStyle name="20% - Accent3 11 6 2 2 2" xfId="15990"/>
    <cellStyle name="20% - Accent3 11 6 2 2 2 2" xfId="33611"/>
    <cellStyle name="20% - Accent3 11 6 2 2 3" xfId="26600"/>
    <cellStyle name="20% - Accent3 11 6 2 3" xfId="12308"/>
    <cellStyle name="20% - Accent3 11 6 2 3 2" xfId="29965"/>
    <cellStyle name="20% - Accent3 11 6 2 4" xfId="23739"/>
    <cellStyle name="20% - Accent3 11 6 3" xfId="5599"/>
    <cellStyle name="20% - Accent3 11 6 3 2" xfId="8896"/>
    <cellStyle name="20% - Accent3 11 6 3 2 2" xfId="16685"/>
    <cellStyle name="20% - Accent3 11 6 3 2 2 2" xfId="34307"/>
    <cellStyle name="20% - Accent3 11 6 3 2 3" xfId="27270"/>
    <cellStyle name="20% - Accent3 11 6 3 3" xfId="13449"/>
    <cellStyle name="20% - Accent3 11 6 3 3 2" xfId="31075"/>
    <cellStyle name="20% - Accent3 11 6 3 4" xfId="24409"/>
    <cellStyle name="20% - Accent3 11 6 4" xfId="6229"/>
    <cellStyle name="20% - Accent3 11 6 4 2" xfId="9436"/>
    <cellStyle name="20% - Accent3 11 6 4 2 2" xfId="17224"/>
    <cellStyle name="20% - Accent3 11 6 4 2 2 2" xfId="34847"/>
    <cellStyle name="20% - Accent3 11 6 4 2 3" xfId="27806"/>
    <cellStyle name="20% - Accent3 11 6 4 3" xfId="14012"/>
    <cellStyle name="20% - Accent3 11 6 4 3 2" xfId="31633"/>
    <cellStyle name="20% - Accent3 11 6 4 4" xfId="24945"/>
    <cellStyle name="20% - Accent3 11 6 5" xfId="6766"/>
    <cellStyle name="20% - Accent3 11 6 5 2" xfId="9973"/>
    <cellStyle name="20% - Accent3 11 6 5 2 2" xfId="17760"/>
    <cellStyle name="20% - Accent3 11 6 5 2 2 2" xfId="35383"/>
    <cellStyle name="20% - Accent3 11 6 5 2 3" xfId="28342"/>
    <cellStyle name="20% - Accent3 11 6 5 3" xfId="14548"/>
    <cellStyle name="20% - Accent3 11 6 5 3 2" xfId="32169"/>
    <cellStyle name="20% - Accent3 11 6 5 4" xfId="25482"/>
    <cellStyle name="20% - Accent3 11 6 6" xfId="7596"/>
    <cellStyle name="20% - Accent3 11 6 6 2" xfId="15387"/>
    <cellStyle name="20% - Accent3 11 6 6 2 2" xfId="33008"/>
    <cellStyle name="20% - Accent3 11 6 6 3" xfId="26015"/>
    <cellStyle name="20% - Accent3 11 6 7" xfId="11161"/>
    <cellStyle name="20% - Accent3 11 6 7 2" xfId="28875"/>
    <cellStyle name="20% - Accent3 11 6 8" xfId="23154"/>
    <cellStyle name="20% - Accent3 11 6 9" xfId="51693"/>
    <cellStyle name="20% - Accent3 11 7" xfId="345"/>
    <cellStyle name="20% - Accent3 11 7 10" xfId="51694"/>
    <cellStyle name="20% - Accent3 11 7 2" xfId="346"/>
    <cellStyle name="20% - Accent3 11 7 2 2" xfId="8202"/>
    <cellStyle name="20% - Accent3 11 7 2 2 2" xfId="15992"/>
    <cellStyle name="20% - Accent3 11 7 2 2 2 2" xfId="33613"/>
    <cellStyle name="20% - Accent3 11 7 2 2 3" xfId="26602"/>
    <cellStyle name="20% - Accent3 11 7 2 3" xfId="12310"/>
    <cellStyle name="20% - Accent3 11 7 2 3 2" xfId="29967"/>
    <cellStyle name="20% - Accent3 11 7 2 4" xfId="23741"/>
    <cellStyle name="20% - Accent3 11 7 3" xfId="3580"/>
    <cellStyle name="20% - Accent3 11 7 3 2" xfId="8201"/>
    <cellStyle name="20% - Accent3 11 7 3 2 2" xfId="15991"/>
    <cellStyle name="20% - Accent3 11 7 3 2 2 2" xfId="33612"/>
    <cellStyle name="20% - Accent3 11 7 3 2 3" xfId="26601"/>
    <cellStyle name="20% - Accent3 11 7 3 3" xfId="12309"/>
    <cellStyle name="20% - Accent3 11 7 3 3 2" xfId="29966"/>
    <cellStyle name="20% - Accent3 11 7 3 4" xfId="23740"/>
    <cellStyle name="20% - Accent3 11 7 4" xfId="5600"/>
    <cellStyle name="20% - Accent3 11 7 4 2" xfId="8897"/>
    <cellStyle name="20% - Accent3 11 7 4 2 2" xfId="16686"/>
    <cellStyle name="20% - Accent3 11 7 4 2 2 2" xfId="34308"/>
    <cellStyle name="20% - Accent3 11 7 4 2 3" xfId="27271"/>
    <cellStyle name="20% - Accent3 11 7 4 3" xfId="13450"/>
    <cellStyle name="20% - Accent3 11 7 4 3 2" xfId="31076"/>
    <cellStyle name="20% - Accent3 11 7 4 4" xfId="24410"/>
    <cellStyle name="20% - Accent3 11 7 5" xfId="6230"/>
    <cellStyle name="20% - Accent3 11 7 5 2" xfId="9437"/>
    <cellStyle name="20% - Accent3 11 7 5 2 2" xfId="17225"/>
    <cellStyle name="20% - Accent3 11 7 5 2 2 2" xfId="34848"/>
    <cellStyle name="20% - Accent3 11 7 5 2 3" xfId="27807"/>
    <cellStyle name="20% - Accent3 11 7 5 3" xfId="14013"/>
    <cellStyle name="20% - Accent3 11 7 5 3 2" xfId="31634"/>
    <cellStyle name="20% - Accent3 11 7 5 4" xfId="24946"/>
    <cellStyle name="20% - Accent3 11 7 6" xfId="6767"/>
    <cellStyle name="20% - Accent3 11 7 6 2" xfId="9974"/>
    <cellStyle name="20% - Accent3 11 7 6 2 2" xfId="17761"/>
    <cellStyle name="20% - Accent3 11 7 6 2 2 2" xfId="35384"/>
    <cellStyle name="20% - Accent3 11 7 6 2 3" xfId="28343"/>
    <cellStyle name="20% - Accent3 11 7 6 3" xfId="14549"/>
    <cellStyle name="20% - Accent3 11 7 6 3 2" xfId="32170"/>
    <cellStyle name="20% - Accent3 11 7 6 4" xfId="25483"/>
    <cellStyle name="20% - Accent3 11 7 7" xfId="7597"/>
    <cellStyle name="20% - Accent3 11 7 7 2" xfId="15388"/>
    <cellStyle name="20% - Accent3 11 7 7 2 2" xfId="33009"/>
    <cellStyle name="20% - Accent3 11 7 7 3" xfId="26016"/>
    <cellStyle name="20% - Accent3 11 7 8" xfId="11162"/>
    <cellStyle name="20% - Accent3 11 7 8 2" xfId="28876"/>
    <cellStyle name="20% - Accent3 11 7 9" xfId="23155"/>
    <cellStyle name="20% - Accent3 11 8" xfId="3581"/>
    <cellStyle name="20% - Accent3 11 8 2" xfId="8203"/>
    <cellStyle name="20% - Accent3 11 8 2 2" xfId="15993"/>
    <cellStyle name="20% - Accent3 11 8 2 2 2" xfId="33614"/>
    <cellStyle name="20% - Accent3 11 8 2 3" xfId="26603"/>
    <cellStyle name="20% - Accent3 11 8 3" xfId="12311"/>
    <cellStyle name="20% - Accent3 11 8 3 2" xfId="29968"/>
    <cellStyle name="20% - Accent3 11 8 4" xfId="23742"/>
    <cellStyle name="20% - Accent3 11 9" xfId="3582"/>
    <cellStyle name="20% - Accent3 11 9 2" xfId="8204"/>
    <cellStyle name="20% - Accent3 11 9 2 2" xfId="15994"/>
    <cellStyle name="20% - Accent3 11 9 2 2 2" xfId="33615"/>
    <cellStyle name="20% - Accent3 11 9 2 3" xfId="26604"/>
    <cellStyle name="20% - Accent3 11 9 3" xfId="12312"/>
    <cellStyle name="20% - Accent3 11 9 3 2" xfId="29969"/>
    <cellStyle name="20% - Accent3 11 9 4" xfId="23743"/>
    <cellStyle name="20% - Accent3 12" xfId="347"/>
    <cellStyle name="20% - Accent3 12 2" xfId="3583"/>
    <cellStyle name="20% - Accent3 12 2 2" xfId="8205"/>
    <cellStyle name="20% - Accent3 12 2 2 2" xfId="15995"/>
    <cellStyle name="20% - Accent3 12 2 2 2 2" xfId="33616"/>
    <cellStyle name="20% - Accent3 12 2 2 3" xfId="26605"/>
    <cellStyle name="20% - Accent3 12 2 3" xfId="12313"/>
    <cellStyle name="20% - Accent3 12 2 3 2" xfId="29970"/>
    <cellStyle name="20% - Accent3 12 2 4" xfId="22040"/>
    <cellStyle name="20% - Accent3 12 2 4 2" xfId="38739"/>
    <cellStyle name="20% - Accent3 12 2 5" xfId="23744"/>
    <cellStyle name="20% - Accent3 12 3" xfId="7598"/>
    <cellStyle name="20% - Accent3 12 3 2" xfId="15389"/>
    <cellStyle name="20% - Accent3 12 3 2 2" xfId="33010"/>
    <cellStyle name="20% - Accent3 12 3 3" xfId="26017"/>
    <cellStyle name="20% - Accent3 12 4" xfId="11163"/>
    <cellStyle name="20% - Accent3 12 4 2" xfId="28877"/>
    <cellStyle name="20% - Accent3 12 5" xfId="22039"/>
    <cellStyle name="20% - Accent3 12 5 2" xfId="38738"/>
    <cellStyle name="20% - Accent3 12 6" xfId="23156"/>
    <cellStyle name="20% - Accent3 12 7" xfId="51695"/>
    <cellStyle name="20% - Accent3 13" xfId="18860"/>
    <cellStyle name="20% - Accent3 13 2" xfId="22041"/>
    <cellStyle name="20% - Accent3 13 2 2" xfId="38740"/>
    <cellStyle name="20% - Accent3 13 3" xfId="36483"/>
    <cellStyle name="20% - Accent3 14" xfId="15288"/>
    <cellStyle name="20% - Accent3 14 2" xfId="22042"/>
    <cellStyle name="20% - Accent3 14 3" xfId="32909"/>
    <cellStyle name="20% - Accent3 15" xfId="22669"/>
    <cellStyle name="20% - Accent3 15 2" xfId="38877"/>
    <cellStyle name="20% - Accent3 16" xfId="22036"/>
    <cellStyle name="20% - Accent3 17" xfId="23058"/>
    <cellStyle name="20% - Accent3 18" xfId="51456"/>
    <cellStyle name="20% - Accent3 19" xfId="51469"/>
    <cellStyle name="20% - Accent3 2" xfId="7"/>
    <cellStyle name="20% - Accent3 2 10" xfId="349"/>
    <cellStyle name="20% - Accent3 2 11" xfId="350"/>
    <cellStyle name="20% - Accent3 2 12" xfId="351"/>
    <cellStyle name="20% - Accent3 2 13" xfId="352"/>
    <cellStyle name="20% - Accent3 2 14" xfId="353"/>
    <cellStyle name="20% - Accent3 2 15" xfId="3584"/>
    <cellStyle name="20% - Accent3 2 16" xfId="3585"/>
    <cellStyle name="20% - Accent3 2 17" xfId="3586"/>
    <cellStyle name="20% - Accent3 2 18" xfId="348"/>
    <cellStyle name="20% - Accent3 2 2" xfId="354"/>
    <cellStyle name="20% - Accent3 2 2 2" xfId="355"/>
    <cellStyle name="20% - Accent3 2 2 3" xfId="356"/>
    <cellStyle name="20% - Accent3 2 2 4" xfId="3587"/>
    <cellStyle name="20% - Accent3 2 2 5" xfId="3588"/>
    <cellStyle name="20% - Accent3 2 2_Sheet1" xfId="357"/>
    <cellStyle name="20% - Accent3 2 3" xfId="358"/>
    <cellStyle name="20% - Accent3 2 4" xfId="359"/>
    <cellStyle name="20% - Accent3 2 5" xfId="360"/>
    <cellStyle name="20% - Accent3 2 6" xfId="361"/>
    <cellStyle name="20% - Accent3 2 7" xfId="362"/>
    <cellStyle name="20% - Accent3 2 8" xfId="363"/>
    <cellStyle name="20% - Accent3 2 9" xfId="364"/>
    <cellStyle name="20% - Accent3 2_BallGrid" xfId="365"/>
    <cellStyle name="20% - Accent3 20" xfId="51482"/>
    <cellStyle name="20% - Accent3 3" xfId="8"/>
    <cellStyle name="20% - Accent3 3 10" xfId="366"/>
    <cellStyle name="20% - Accent3 3 2" xfId="367"/>
    <cellStyle name="20% - Accent3 3 3" xfId="368"/>
    <cellStyle name="20% - Accent3 3 4" xfId="369"/>
    <cellStyle name="20% - Accent3 3 5" xfId="370"/>
    <cellStyle name="20% - Accent3 3 6" xfId="371"/>
    <cellStyle name="20% - Accent3 3 7" xfId="3589"/>
    <cellStyle name="20% - Accent3 3 8" xfId="3590"/>
    <cellStyle name="20% - Accent3 3 9" xfId="3591"/>
    <cellStyle name="20% - Accent3 3_BallGrid" xfId="372"/>
    <cellStyle name="20% - Accent3 4" xfId="9"/>
    <cellStyle name="20% - Accent3 4 2" xfId="374"/>
    <cellStyle name="20% - Accent3 4 2 2" xfId="22822"/>
    <cellStyle name="20% - Accent3 4 3" xfId="375"/>
    <cellStyle name="20% - Accent3 4 3 2" xfId="22043"/>
    <cellStyle name="20% - Accent3 4 4" xfId="376"/>
    <cellStyle name="20% - Accent3 4 5" xfId="377"/>
    <cellStyle name="20% - Accent3 4 6" xfId="3592"/>
    <cellStyle name="20% - Accent3 4 7" xfId="3593"/>
    <cellStyle name="20% - Accent3 4 8" xfId="3594"/>
    <cellStyle name="20% - Accent3 4 9" xfId="373"/>
    <cellStyle name="20% - Accent3 5" xfId="378"/>
    <cellStyle name="20% - Accent3 5 10" xfId="3596"/>
    <cellStyle name="20% - Accent3 5 10 2" xfId="8207"/>
    <cellStyle name="20% - Accent3 5 10 2 2" xfId="15997"/>
    <cellStyle name="20% - Accent3 5 10 2 2 2" xfId="33618"/>
    <cellStyle name="20% - Accent3 5 10 2 3" xfId="26607"/>
    <cellStyle name="20% - Accent3 5 10 3" xfId="12318"/>
    <cellStyle name="20% - Accent3 5 10 3 2" xfId="29975"/>
    <cellStyle name="20% - Accent3 5 10 4" xfId="23746"/>
    <cellStyle name="20% - Accent3 5 11" xfId="3595"/>
    <cellStyle name="20% - Accent3 5 11 2" xfId="8206"/>
    <cellStyle name="20% - Accent3 5 11 2 2" xfId="15996"/>
    <cellStyle name="20% - Accent3 5 11 2 2 2" xfId="33617"/>
    <cellStyle name="20% - Accent3 5 11 2 3" xfId="26606"/>
    <cellStyle name="20% - Accent3 5 11 3" xfId="12317"/>
    <cellStyle name="20% - Accent3 5 11 3 2" xfId="29974"/>
    <cellStyle name="20% - Accent3 5 11 4" xfId="23745"/>
    <cellStyle name="20% - Accent3 5 12" xfId="5601"/>
    <cellStyle name="20% - Accent3 5 12 2" xfId="8898"/>
    <cellStyle name="20% - Accent3 5 12 2 2" xfId="16687"/>
    <cellStyle name="20% - Accent3 5 12 2 2 2" xfId="34309"/>
    <cellStyle name="20% - Accent3 5 12 2 3" xfId="27272"/>
    <cellStyle name="20% - Accent3 5 12 3" xfId="13451"/>
    <cellStyle name="20% - Accent3 5 12 3 2" xfId="31077"/>
    <cellStyle name="20% - Accent3 5 12 4" xfId="24411"/>
    <cellStyle name="20% - Accent3 5 13" xfId="6231"/>
    <cellStyle name="20% - Accent3 5 13 2" xfId="9438"/>
    <cellStyle name="20% - Accent3 5 13 2 2" xfId="17226"/>
    <cellStyle name="20% - Accent3 5 13 2 2 2" xfId="34849"/>
    <cellStyle name="20% - Accent3 5 13 2 3" xfId="27808"/>
    <cellStyle name="20% - Accent3 5 13 3" xfId="14014"/>
    <cellStyle name="20% - Accent3 5 13 3 2" xfId="31635"/>
    <cellStyle name="20% - Accent3 5 13 4" xfId="24947"/>
    <cellStyle name="20% - Accent3 5 14" xfId="6768"/>
    <cellStyle name="20% - Accent3 5 14 2" xfId="9975"/>
    <cellStyle name="20% - Accent3 5 14 2 2" xfId="17762"/>
    <cellStyle name="20% - Accent3 5 14 2 2 2" xfId="35385"/>
    <cellStyle name="20% - Accent3 5 14 2 3" xfId="28344"/>
    <cellStyle name="20% - Accent3 5 14 3" xfId="14550"/>
    <cellStyle name="20% - Accent3 5 14 3 2" xfId="32171"/>
    <cellStyle name="20% - Accent3 5 14 4" xfId="25484"/>
    <cellStyle name="20% - Accent3 5 15" xfId="7599"/>
    <cellStyle name="20% - Accent3 5 15 2" xfId="15390"/>
    <cellStyle name="20% - Accent3 5 15 2 2" xfId="33011"/>
    <cellStyle name="20% - Accent3 5 15 3" xfId="26018"/>
    <cellStyle name="20% - Accent3 5 16" xfId="11168"/>
    <cellStyle name="20% - Accent3 5 16 2" xfId="28882"/>
    <cellStyle name="20% - Accent3 5 17" xfId="21927"/>
    <cellStyle name="20% - Accent3 5 17 2" xfId="38666"/>
    <cellStyle name="20% - Accent3 5 18" xfId="23157"/>
    <cellStyle name="20% - Accent3 5 19" xfId="51696"/>
    <cellStyle name="20% - Accent3 5 2" xfId="379"/>
    <cellStyle name="20% - Accent3 5 2 10" xfId="51697"/>
    <cellStyle name="20% - Accent3 5 2 2" xfId="3597"/>
    <cellStyle name="20% - Accent3 5 2 2 2" xfId="8208"/>
    <cellStyle name="20% - Accent3 5 2 2 2 2" xfId="15998"/>
    <cellStyle name="20% - Accent3 5 2 2 2 2 2" xfId="33619"/>
    <cellStyle name="20% - Accent3 5 2 2 2 3" xfId="26608"/>
    <cellStyle name="20% - Accent3 5 2 2 3" xfId="12319"/>
    <cellStyle name="20% - Accent3 5 2 2 3 2" xfId="29976"/>
    <cellStyle name="20% - Accent3 5 2 2 4" xfId="23747"/>
    <cellStyle name="20% - Accent3 5 2 3" xfId="5602"/>
    <cellStyle name="20% - Accent3 5 2 3 2" xfId="8899"/>
    <cellStyle name="20% - Accent3 5 2 3 2 2" xfId="16688"/>
    <cellStyle name="20% - Accent3 5 2 3 2 2 2" xfId="34310"/>
    <cellStyle name="20% - Accent3 5 2 3 2 3" xfId="27273"/>
    <cellStyle name="20% - Accent3 5 2 3 3" xfId="13452"/>
    <cellStyle name="20% - Accent3 5 2 3 3 2" xfId="31078"/>
    <cellStyle name="20% - Accent3 5 2 3 4" xfId="24412"/>
    <cellStyle name="20% - Accent3 5 2 4" xfId="6232"/>
    <cellStyle name="20% - Accent3 5 2 4 2" xfId="9439"/>
    <cellStyle name="20% - Accent3 5 2 4 2 2" xfId="17227"/>
    <cellStyle name="20% - Accent3 5 2 4 2 2 2" xfId="34850"/>
    <cellStyle name="20% - Accent3 5 2 4 2 3" xfId="27809"/>
    <cellStyle name="20% - Accent3 5 2 4 3" xfId="14015"/>
    <cellStyle name="20% - Accent3 5 2 4 3 2" xfId="31636"/>
    <cellStyle name="20% - Accent3 5 2 4 4" xfId="24948"/>
    <cellStyle name="20% - Accent3 5 2 5" xfId="6769"/>
    <cellStyle name="20% - Accent3 5 2 5 2" xfId="9976"/>
    <cellStyle name="20% - Accent3 5 2 5 2 2" xfId="17763"/>
    <cellStyle name="20% - Accent3 5 2 5 2 2 2" xfId="35386"/>
    <cellStyle name="20% - Accent3 5 2 5 2 3" xfId="28345"/>
    <cellStyle name="20% - Accent3 5 2 5 3" xfId="14551"/>
    <cellStyle name="20% - Accent3 5 2 5 3 2" xfId="32172"/>
    <cellStyle name="20% - Accent3 5 2 5 4" xfId="25485"/>
    <cellStyle name="20% - Accent3 5 2 6" xfId="7600"/>
    <cellStyle name="20% - Accent3 5 2 6 2" xfId="15391"/>
    <cellStyle name="20% - Accent3 5 2 6 2 2" xfId="33012"/>
    <cellStyle name="20% - Accent3 5 2 6 3" xfId="26019"/>
    <cellStyle name="20% - Accent3 5 2 7" xfId="11169"/>
    <cellStyle name="20% - Accent3 5 2 7 2" xfId="28883"/>
    <cellStyle name="20% - Accent3 5 2 8" xfId="22823"/>
    <cellStyle name="20% - Accent3 5 2 8 2" xfId="38987"/>
    <cellStyle name="20% - Accent3 5 2 9" xfId="23158"/>
    <cellStyle name="20% - Accent3 5 3" xfId="380"/>
    <cellStyle name="20% - Accent3 5 3 10" xfId="22044"/>
    <cellStyle name="20% - Accent3 5 3 11" xfId="23159"/>
    <cellStyle name="20% - Accent3 5 3 12" xfId="51698"/>
    <cellStyle name="20% - Accent3 5 3 2" xfId="381"/>
    <cellStyle name="20% - Accent3 5 3 2 2" xfId="3599"/>
    <cellStyle name="20% - Accent3 5 3 2 2 2" xfId="8210"/>
    <cellStyle name="20% - Accent3 5 3 2 2 2 2" xfId="16000"/>
    <cellStyle name="20% - Accent3 5 3 2 2 2 2 2" xfId="33621"/>
    <cellStyle name="20% - Accent3 5 3 2 2 2 3" xfId="26610"/>
    <cellStyle name="20% - Accent3 5 3 2 2 3" xfId="12321"/>
    <cellStyle name="20% - Accent3 5 3 2 2 3 2" xfId="29978"/>
    <cellStyle name="20% - Accent3 5 3 2 2 4" xfId="23749"/>
    <cellStyle name="20% - Accent3 5 3 2 3" xfId="5604"/>
    <cellStyle name="20% - Accent3 5 3 2 3 2" xfId="8901"/>
    <cellStyle name="20% - Accent3 5 3 2 3 2 2" xfId="16690"/>
    <cellStyle name="20% - Accent3 5 3 2 3 2 2 2" xfId="34312"/>
    <cellStyle name="20% - Accent3 5 3 2 3 2 3" xfId="27275"/>
    <cellStyle name="20% - Accent3 5 3 2 3 3" xfId="13454"/>
    <cellStyle name="20% - Accent3 5 3 2 3 3 2" xfId="31080"/>
    <cellStyle name="20% - Accent3 5 3 2 3 4" xfId="24414"/>
    <cellStyle name="20% - Accent3 5 3 2 4" xfId="6234"/>
    <cellStyle name="20% - Accent3 5 3 2 4 2" xfId="9441"/>
    <cellStyle name="20% - Accent3 5 3 2 4 2 2" xfId="17229"/>
    <cellStyle name="20% - Accent3 5 3 2 4 2 2 2" xfId="34852"/>
    <cellStyle name="20% - Accent3 5 3 2 4 2 3" xfId="27811"/>
    <cellStyle name="20% - Accent3 5 3 2 4 3" xfId="14017"/>
    <cellStyle name="20% - Accent3 5 3 2 4 3 2" xfId="31638"/>
    <cellStyle name="20% - Accent3 5 3 2 4 4" xfId="24950"/>
    <cellStyle name="20% - Accent3 5 3 2 5" xfId="6771"/>
    <cellStyle name="20% - Accent3 5 3 2 5 2" xfId="9978"/>
    <cellStyle name="20% - Accent3 5 3 2 5 2 2" xfId="17765"/>
    <cellStyle name="20% - Accent3 5 3 2 5 2 2 2" xfId="35388"/>
    <cellStyle name="20% - Accent3 5 3 2 5 2 3" xfId="28347"/>
    <cellStyle name="20% - Accent3 5 3 2 5 3" xfId="14553"/>
    <cellStyle name="20% - Accent3 5 3 2 5 3 2" xfId="32174"/>
    <cellStyle name="20% - Accent3 5 3 2 5 4" xfId="25487"/>
    <cellStyle name="20% - Accent3 5 3 2 6" xfId="7602"/>
    <cellStyle name="20% - Accent3 5 3 2 6 2" xfId="15393"/>
    <cellStyle name="20% - Accent3 5 3 2 6 2 2" xfId="33014"/>
    <cellStyle name="20% - Accent3 5 3 2 6 3" xfId="26021"/>
    <cellStyle name="20% - Accent3 5 3 2 7" xfId="11171"/>
    <cellStyle name="20% - Accent3 5 3 2 7 2" xfId="28885"/>
    <cellStyle name="20% - Accent3 5 3 2 8" xfId="23160"/>
    <cellStyle name="20% - Accent3 5 3 2 9" xfId="51699"/>
    <cellStyle name="20% - Accent3 5 3 3" xfId="3600"/>
    <cellStyle name="20% - Accent3 5 3 3 2" xfId="5605"/>
    <cellStyle name="20% - Accent3 5 3 3 2 2" xfId="8902"/>
    <cellStyle name="20% - Accent3 5 3 3 2 2 2" xfId="16691"/>
    <cellStyle name="20% - Accent3 5 3 3 2 2 2 2" xfId="34313"/>
    <cellStyle name="20% - Accent3 5 3 3 2 2 3" xfId="27276"/>
    <cellStyle name="20% - Accent3 5 3 3 2 3" xfId="13455"/>
    <cellStyle name="20% - Accent3 5 3 3 2 3 2" xfId="31081"/>
    <cellStyle name="20% - Accent3 5 3 3 2 4" xfId="24415"/>
    <cellStyle name="20% - Accent3 5 3 3 3" xfId="6235"/>
    <cellStyle name="20% - Accent3 5 3 3 3 2" xfId="9442"/>
    <cellStyle name="20% - Accent3 5 3 3 3 2 2" xfId="17230"/>
    <cellStyle name="20% - Accent3 5 3 3 3 2 2 2" xfId="34853"/>
    <cellStyle name="20% - Accent3 5 3 3 3 2 3" xfId="27812"/>
    <cellStyle name="20% - Accent3 5 3 3 3 3" xfId="14018"/>
    <cellStyle name="20% - Accent3 5 3 3 3 3 2" xfId="31639"/>
    <cellStyle name="20% - Accent3 5 3 3 3 4" xfId="24951"/>
    <cellStyle name="20% - Accent3 5 3 3 4" xfId="6772"/>
    <cellStyle name="20% - Accent3 5 3 3 4 2" xfId="9979"/>
    <cellStyle name="20% - Accent3 5 3 3 4 2 2" xfId="17766"/>
    <cellStyle name="20% - Accent3 5 3 3 4 2 2 2" xfId="35389"/>
    <cellStyle name="20% - Accent3 5 3 3 4 2 3" xfId="28348"/>
    <cellStyle name="20% - Accent3 5 3 3 4 3" xfId="14554"/>
    <cellStyle name="20% - Accent3 5 3 3 4 3 2" xfId="32175"/>
    <cellStyle name="20% - Accent3 5 3 3 4 4" xfId="25488"/>
    <cellStyle name="20% - Accent3 5 3 3 5" xfId="8211"/>
    <cellStyle name="20% - Accent3 5 3 3 5 2" xfId="16001"/>
    <cellStyle name="20% - Accent3 5 3 3 5 2 2" xfId="33622"/>
    <cellStyle name="20% - Accent3 5 3 3 5 3" xfId="26611"/>
    <cellStyle name="20% - Accent3 5 3 3 6" xfId="12322"/>
    <cellStyle name="20% - Accent3 5 3 3 6 2" xfId="29979"/>
    <cellStyle name="20% - Accent3 5 3 3 7" xfId="23750"/>
    <cellStyle name="20% - Accent3 5 3 4" xfId="3598"/>
    <cellStyle name="20% - Accent3 5 3 4 2" xfId="8209"/>
    <cellStyle name="20% - Accent3 5 3 4 2 2" xfId="15999"/>
    <cellStyle name="20% - Accent3 5 3 4 2 2 2" xfId="33620"/>
    <cellStyle name="20% - Accent3 5 3 4 2 3" xfId="26609"/>
    <cellStyle name="20% - Accent3 5 3 4 3" xfId="12320"/>
    <cellStyle name="20% - Accent3 5 3 4 3 2" xfId="29977"/>
    <cellStyle name="20% - Accent3 5 3 4 4" xfId="23748"/>
    <cellStyle name="20% - Accent3 5 3 5" xfId="5603"/>
    <cellStyle name="20% - Accent3 5 3 5 2" xfId="8900"/>
    <cellStyle name="20% - Accent3 5 3 5 2 2" xfId="16689"/>
    <cellStyle name="20% - Accent3 5 3 5 2 2 2" xfId="34311"/>
    <cellStyle name="20% - Accent3 5 3 5 2 3" xfId="27274"/>
    <cellStyle name="20% - Accent3 5 3 5 3" xfId="13453"/>
    <cellStyle name="20% - Accent3 5 3 5 3 2" xfId="31079"/>
    <cellStyle name="20% - Accent3 5 3 5 4" xfId="24413"/>
    <cellStyle name="20% - Accent3 5 3 6" xfId="6233"/>
    <cellStyle name="20% - Accent3 5 3 6 2" xfId="9440"/>
    <cellStyle name="20% - Accent3 5 3 6 2 2" xfId="17228"/>
    <cellStyle name="20% - Accent3 5 3 6 2 2 2" xfId="34851"/>
    <cellStyle name="20% - Accent3 5 3 6 2 3" xfId="27810"/>
    <cellStyle name="20% - Accent3 5 3 6 3" xfId="14016"/>
    <cellStyle name="20% - Accent3 5 3 6 3 2" xfId="31637"/>
    <cellStyle name="20% - Accent3 5 3 6 4" xfId="24949"/>
    <cellStyle name="20% - Accent3 5 3 7" xfId="6770"/>
    <cellStyle name="20% - Accent3 5 3 7 2" xfId="9977"/>
    <cellStyle name="20% - Accent3 5 3 7 2 2" xfId="17764"/>
    <cellStyle name="20% - Accent3 5 3 7 2 2 2" xfId="35387"/>
    <cellStyle name="20% - Accent3 5 3 7 2 3" xfId="28346"/>
    <cellStyle name="20% - Accent3 5 3 7 3" xfId="14552"/>
    <cellStyle name="20% - Accent3 5 3 7 3 2" xfId="32173"/>
    <cellStyle name="20% - Accent3 5 3 7 4" xfId="25486"/>
    <cellStyle name="20% - Accent3 5 3 8" xfId="7601"/>
    <cellStyle name="20% - Accent3 5 3 8 2" xfId="15392"/>
    <cellStyle name="20% - Accent3 5 3 8 2 2" xfId="33013"/>
    <cellStyle name="20% - Accent3 5 3 8 3" xfId="26020"/>
    <cellStyle name="20% - Accent3 5 3 9" xfId="11170"/>
    <cellStyle name="20% - Accent3 5 3 9 2" xfId="28884"/>
    <cellStyle name="20% - Accent3 5 4" xfId="382"/>
    <cellStyle name="20% - Accent3 5 4 10" xfId="52880"/>
    <cellStyle name="20% - Accent3 5 4 2" xfId="3601"/>
    <cellStyle name="20% - Accent3 5 4 2 2" xfId="8212"/>
    <cellStyle name="20% - Accent3 5 4 2 2 2" xfId="16002"/>
    <cellStyle name="20% - Accent3 5 4 2 2 2 2" xfId="33623"/>
    <cellStyle name="20% - Accent3 5 4 2 2 3" xfId="26612"/>
    <cellStyle name="20% - Accent3 5 4 2 3" xfId="12323"/>
    <cellStyle name="20% - Accent3 5 4 2 3 2" xfId="29980"/>
    <cellStyle name="20% - Accent3 5 4 2 4" xfId="23751"/>
    <cellStyle name="20% - Accent3 5 4 3" xfId="5606"/>
    <cellStyle name="20% - Accent3 5 4 3 2" xfId="8903"/>
    <cellStyle name="20% - Accent3 5 4 3 2 2" xfId="16692"/>
    <cellStyle name="20% - Accent3 5 4 3 2 2 2" xfId="34314"/>
    <cellStyle name="20% - Accent3 5 4 3 2 3" xfId="27277"/>
    <cellStyle name="20% - Accent3 5 4 3 3" xfId="13456"/>
    <cellStyle name="20% - Accent3 5 4 3 3 2" xfId="31082"/>
    <cellStyle name="20% - Accent3 5 4 3 4" xfId="24416"/>
    <cellStyle name="20% - Accent3 5 4 4" xfId="6236"/>
    <cellStyle name="20% - Accent3 5 4 4 2" xfId="9443"/>
    <cellStyle name="20% - Accent3 5 4 4 2 2" xfId="17231"/>
    <cellStyle name="20% - Accent3 5 4 4 2 2 2" xfId="34854"/>
    <cellStyle name="20% - Accent3 5 4 4 2 3" xfId="27813"/>
    <cellStyle name="20% - Accent3 5 4 4 3" xfId="14019"/>
    <cellStyle name="20% - Accent3 5 4 4 3 2" xfId="31640"/>
    <cellStyle name="20% - Accent3 5 4 4 4" xfId="24952"/>
    <cellStyle name="20% - Accent3 5 4 5" xfId="6773"/>
    <cellStyle name="20% - Accent3 5 4 5 2" xfId="9980"/>
    <cellStyle name="20% - Accent3 5 4 5 2 2" xfId="17767"/>
    <cellStyle name="20% - Accent3 5 4 5 2 2 2" xfId="35390"/>
    <cellStyle name="20% - Accent3 5 4 5 2 3" xfId="28349"/>
    <cellStyle name="20% - Accent3 5 4 5 3" xfId="14555"/>
    <cellStyle name="20% - Accent3 5 4 5 3 2" xfId="32176"/>
    <cellStyle name="20% - Accent3 5 4 5 4" xfId="25489"/>
    <cellStyle name="20% - Accent3 5 4 6" xfId="7603"/>
    <cellStyle name="20% - Accent3 5 4 6 2" xfId="15394"/>
    <cellStyle name="20% - Accent3 5 4 6 2 2" xfId="33015"/>
    <cellStyle name="20% - Accent3 5 4 6 3" xfId="26022"/>
    <cellStyle name="20% - Accent3 5 4 7" xfId="11172"/>
    <cellStyle name="20% - Accent3 5 4 7 2" xfId="28886"/>
    <cellStyle name="20% - Accent3 5 4 8" xfId="23161"/>
    <cellStyle name="20% - Accent3 5 4 9" xfId="51700"/>
    <cellStyle name="20% - Accent3 5 5" xfId="383"/>
    <cellStyle name="20% - Accent3 5 5 2" xfId="3602"/>
    <cellStyle name="20% - Accent3 5 5 2 2" xfId="8213"/>
    <cellStyle name="20% - Accent3 5 5 2 2 2" xfId="16003"/>
    <cellStyle name="20% - Accent3 5 5 2 2 2 2" xfId="33624"/>
    <cellStyle name="20% - Accent3 5 5 2 2 3" xfId="26613"/>
    <cellStyle name="20% - Accent3 5 5 2 3" xfId="12324"/>
    <cellStyle name="20% - Accent3 5 5 2 3 2" xfId="29981"/>
    <cellStyle name="20% - Accent3 5 5 2 4" xfId="23752"/>
    <cellStyle name="20% - Accent3 5 5 3" xfId="5607"/>
    <cellStyle name="20% - Accent3 5 5 3 2" xfId="8904"/>
    <cellStyle name="20% - Accent3 5 5 3 2 2" xfId="16693"/>
    <cellStyle name="20% - Accent3 5 5 3 2 2 2" xfId="34315"/>
    <cellStyle name="20% - Accent3 5 5 3 2 3" xfId="27278"/>
    <cellStyle name="20% - Accent3 5 5 3 3" xfId="13457"/>
    <cellStyle name="20% - Accent3 5 5 3 3 2" xfId="31083"/>
    <cellStyle name="20% - Accent3 5 5 3 4" xfId="24417"/>
    <cellStyle name="20% - Accent3 5 5 4" xfId="6237"/>
    <cellStyle name="20% - Accent3 5 5 4 2" xfId="9444"/>
    <cellStyle name="20% - Accent3 5 5 4 2 2" xfId="17232"/>
    <cellStyle name="20% - Accent3 5 5 4 2 2 2" xfId="34855"/>
    <cellStyle name="20% - Accent3 5 5 4 2 3" xfId="27814"/>
    <cellStyle name="20% - Accent3 5 5 4 3" xfId="14020"/>
    <cellStyle name="20% - Accent3 5 5 4 3 2" xfId="31641"/>
    <cellStyle name="20% - Accent3 5 5 4 4" xfId="24953"/>
    <cellStyle name="20% - Accent3 5 5 5" xfId="6774"/>
    <cellStyle name="20% - Accent3 5 5 5 2" xfId="9981"/>
    <cellStyle name="20% - Accent3 5 5 5 2 2" xfId="17768"/>
    <cellStyle name="20% - Accent3 5 5 5 2 2 2" xfId="35391"/>
    <cellStyle name="20% - Accent3 5 5 5 2 3" xfId="28350"/>
    <cellStyle name="20% - Accent3 5 5 5 3" xfId="14556"/>
    <cellStyle name="20% - Accent3 5 5 5 3 2" xfId="32177"/>
    <cellStyle name="20% - Accent3 5 5 5 4" xfId="25490"/>
    <cellStyle name="20% - Accent3 5 5 6" xfId="7604"/>
    <cellStyle name="20% - Accent3 5 5 6 2" xfId="15395"/>
    <cellStyle name="20% - Accent3 5 5 6 2 2" xfId="33016"/>
    <cellStyle name="20% - Accent3 5 5 6 3" xfId="26023"/>
    <cellStyle name="20% - Accent3 5 5 7" xfId="11173"/>
    <cellStyle name="20% - Accent3 5 5 7 2" xfId="28887"/>
    <cellStyle name="20% - Accent3 5 5 8" xfId="23162"/>
    <cellStyle name="20% - Accent3 5 5 9" xfId="51701"/>
    <cellStyle name="20% - Accent3 5 6" xfId="384"/>
    <cellStyle name="20% - Accent3 5 6 2" xfId="3603"/>
    <cellStyle name="20% - Accent3 5 6 2 2" xfId="8214"/>
    <cellStyle name="20% - Accent3 5 6 2 2 2" xfId="16004"/>
    <cellStyle name="20% - Accent3 5 6 2 2 2 2" xfId="33625"/>
    <cellStyle name="20% - Accent3 5 6 2 2 3" xfId="26614"/>
    <cellStyle name="20% - Accent3 5 6 2 3" xfId="12325"/>
    <cellStyle name="20% - Accent3 5 6 2 3 2" xfId="29982"/>
    <cellStyle name="20% - Accent3 5 6 2 4" xfId="23753"/>
    <cellStyle name="20% - Accent3 5 6 3" xfId="5608"/>
    <cellStyle name="20% - Accent3 5 6 3 2" xfId="8905"/>
    <cellStyle name="20% - Accent3 5 6 3 2 2" xfId="16694"/>
    <cellStyle name="20% - Accent3 5 6 3 2 2 2" xfId="34316"/>
    <cellStyle name="20% - Accent3 5 6 3 2 3" xfId="27279"/>
    <cellStyle name="20% - Accent3 5 6 3 3" xfId="13458"/>
    <cellStyle name="20% - Accent3 5 6 3 3 2" xfId="31084"/>
    <cellStyle name="20% - Accent3 5 6 3 4" xfId="24418"/>
    <cellStyle name="20% - Accent3 5 6 4" xfId="6238"/>
    <cellStyle name="20% - Accent3 5 6 4 2" xfId="9445"/>
    <cellStyle name="20% - Accent3 5 6 4 2 2" xfId="17233"/>
    <cellStyle name="20% - Accent3 5 6 4 2 2 2" xfId="34856"/>
    <cellStyle name="20% - Accent3 5 6 4 2 3" xfId="27815"/>
    <cellStyle name="20% - Accent3 5 6 4 3" xfId="14021"/>
    <cellStyle name="20% - Accent3 5 6 4 3 2" xfId="31642"/>
    <cellStyle name="20% - Accent3 5 6 4 4" xfId="24954"/>
    <cellStyle name="20% - Accent3 5 6 5" xfId="6775"/>
    <cellStyle name="20% - Accent3 5 6 5 2" xfId="9982"/>
    <cellStyle name="20% - Accent3 5 6 5 2 2" xfId="17769"/>
    <cellStyle name="20% - Accent3 5 6 5 2 2 2" xfId="35392"/>
    <cellStyle name="20% - Accent3 5 6 5 2 3" xfId="28351"/>
    <cellStyle name="20% - Accent3 5 6 5 3" xfId="14557"/>
    <cellStyle name="20% - Accent3 5 6 5 3 2" xfId="32178"/>
    <cellStyle name="20% - Accent3 5 6 5 4" xfId="25491"/>
    <cellStyle name="20% - Accent3 5 6 6" xfId="7605"/>
    <cellStyle name="20% - Accent3 5 6 6 2" xfId="15396"/>
    <cellStyle name="20% - Accent3 5 6 6 2 2" xfId="33017"/>
    <cellStyle name="20% - Accent3 5 6 6 3" xfId="26024"/>
    <cellStyle name="20% - Accent3 5 6 7" xfId="11174"/>
    <cellStyle name="20% - Accent3 5 6 7 2" xfId="28888"/>
    <cellStyle name="20% - Accent3 5 6 8" xfId="23163"/>
    <cellStyle name="20% - Accent3 5 6 9" xfId="51702"/>
    <cellStyle name="20% - Accent3 5 7" xfId="385"/>
    <cellStyle name="20% - Accent3 5 7 10" xfId="51703"/>
    <cellStyle name="20% - Accent3 5 7 2" xfId="386"/>
    <cellStyle name="20% - Accent3 5 7 2 2" xfId="8216"/>
    <cellStyle name="20% - Accent3 5 7 2 2 2" xfId="16006"/>
    <cellStyle name="20% - Accent3 5 7 2 2 2 2" xfId="33627"/>
    <cellStyle name="20% - Accent3 5 7 2 2 3" xfId="26616"/>
    <cellStyle name="20% - Accent3 5 7 2 3" xfId="12327"/>
    <cellStyle name="20% - Accent3 5 7 2 3 2" xfId="29984"/>
    <cellStyle name="20% - Accent3 5 7 2 4" xfId="23755"/>
    <cellStyle name="20% - Accent3 5 7 3" xfId="3604"/>
    <cellStyle name="20% - Accent3 5 7 3 2" xfId="8215"/>
    <cellStyle name="20% - Accent3 5 7 3 2 2" xfId="16005"/>
    <cellStyle name="20% - Accent3 5 7 3 2 2 2" xfId="33626"/>
    <cellStyle name="20% - Accent3 5 7 3 2 3" xfId="26615"/>
    <cellStyle name="20% - Accent3 5 7 3 3" xfId="12326"/>
    <cellStyle name="20% - Accent3 5 7 3 3 2" xfId="29983"/>
    <cellStyle name="20% - Accent3 5 7 3 4" xfId="23754"/>
    <cellStyle name="20% - Accent3 5 7 4" xfId="5609"/>
    <cellStyle name="20% - Accent3 5 7 4 2" xfId="8906"/>
    <cellStyle name="20% - Accent3 5 7 4 2 2" xfId="16695"/>
    <cellStyle name="20% - Accent3 5 7 4 2 2 2" xfId="34317"/>
    <cellStyle name="20% - Accent3 5 7 4 2 3" xfId="27280"/>
    <cellStyle name="20% - Accent3 5 7 4 3" xfId="13459"/>
    <cellStyle name="20% - Accent3 5 7 4 3 2" xfId="31085"/>
    <cellStyle name="20% - Accent3 5 7 4 4" xfId="24419"/>
    <cellStyle name="20% - Accent3 5 7 5" xfId="6239"/>
    <cellStyle name="20% - Accent3 5 7 5 2" xfId="9446"/>
    <cellStyle name="20% - Accent3 5 7 5 2 2" xfId="17234"/>
    <cellStyle name="20% - Accent3 5 7 5 2 2 2" xfId="34857"/>
    <cellStyle name="20% - Accent3 5 7 5 2 3" xfId="27816"/>
    <cellStyle name="20% - Accent3 5 7 5 3" xfId="14022"/>
    <cellStyle name="20% - Accent3 5 7 5 3 2" xfId="31643"/>
    <cellStyle name="20% - Accent3 5 7 5 4" xfId="24955"/>
    <cellStyle name="20% - Accent3 5 7 6" xfId="6776"/>
    <cellStyle name="20% - Accent3 5 7 6 2" xfId="9983"/>
    <cellStyle name="20% - Accent3 5 7 6 2 2" xfId="17770"/>
    <cellStyle name="20% - Accent3 5 7 6 2 2 2" xfId="35393"/>
    <cellStyle name="20% - Accent3 5 7 6 2 3" xfId="28352"/>
    <cellStyle name="20% - Accent3 5 7 6 3" xfId="14558"/>
    <cellStyle name="20% - Accent3 5 7 6 3 2" xfId="32179"/>
    <cellStyle name="20% - Accent3 5 7 6 4" xfId="25492"/>
    <cellStyle name="20% - Accent3 5 7 7" xfId="7606"/>
    <cellStyle name="20% - Accent3 5 7 7 2" xfId="15397"/>
    <cellStyle name="20% - Accent3 5 7 7 2 2" xfId="33018"/>
    <cellStyle name="20% - Accent3 5 7 7 3" xfId="26025"/>
    <cellStyle name="20% - Accent3 5 7 8" xfId="11175"/>
    <cellStyle name="20% - Accent3 5 7 8 2" xfId="28889"/>
    <cellStyle name="20% - Accent3 5 7 9" xfId="23164"/>
    <cellStyle name="20% - Accent3 5 8" xfId="3605"/>
    <cellStyle name="20% - Accent3 5 8 2" xfId="8217"/>
    <cellStyle name="20% - Accent3 5 8 2 2" xfId="16007"/>
    <cellStyle name="20% - Accent3 5 8 2 2 2" xfId="33628"/>
    <cellStyle name="20% - Accent3 5 8 2 3" xfId="26617"/>
    <cellStyle name="20% - Accent3 5 8 3" xfId="12328"/>
    <cellStyle name="20% - Accent3 5 8 3 2" xfId="29985"/>
    <cellStyle name="20% - Accent3 5 8 4" xfId="23756"/>
    <cellStyle name="20% - Accent3 5 9" xfId="3606"/>
    <cellStyle name="20% - Accent3 6" xfId="387"/>
    <cellStyle name="20% - Accent3 6 10" xfId="3607"/>
    <cellStyle name="20% - Accent3 6 10 2" xfId="8218"/>
    <cellStyle name="20% - Accent3 6 10 2 2" xfId="16008"/>
    <cellStyle name="20% - Accent3 6 10 2 2 2" xfId="33629"/>
    <cellStyle name="20% - Accent3 6 10 2 3" xfId="26618"/>
    <cellStyle name="20% - Accent3 6 10 3" xfId="12330"/>
    <cellStyle name="20% - Accent3 6 10 3 2" xfId="29987"/>
    <cellStyle name="20% - Accent3 6 10 4" xfId="23757"/>
    <cellStyle name="20% - Accent3 6 11" xfId="5610"/>
    <cellStyle name="20% - Accent3 6 11 2" xfId="8907"/>
    <cellStyle name="20% - Accent3 6 11 2 2" xfId="16696"/>
    <cellStyle name="20% - Accent3 6 11 2 2 2" xfId="34318"/>
    <cellStyle name="20% - Accent3 6 11 2 3" xfId="27281"/>
    <cellStyle name="20% - Accent3 6 11 3" xfId="13460"/>
    <cellStyle name="20% - Accent3 6 11 3 2" xfId="31086"/>
    <cellStyle name="20% - Accent3 6 11 4" xfId="24420"/>
    <cellStyle name="20% - Accent3 6 12" xfId="6240"/>
    <cellStyle name="20% - Accent3 6 12 2" xfId="9447"/>
    <cellStyle name="20% - Accent3 6 12 2 2" xfId="17235"/>
    <cellStyle name="20% - Accent3 6 12 2 2 2" xfId="34858"/>
    <cellStyle name="20% - Accent3 6 12 2 3" xfId="27817"/>
    <cellStyle name="20% - Accent3 6 12 3" xfId="14023"/>
    <cellStyle name="20% - Accent3 6 12 3 2" xfId="31644"/>
    <cellStyle name="20% - Accent3 6 12 4" xfId="24956"/>
    <cellStyle name="20% - Accent3 6 13" xfId="6777"/>
    <cellStyle name="20% - Accent3 6 13 2" xfId="9984"/>
    <cellStyle name="20% - Accent3 6 13 2 2" xfId="17771"/>
    <cellStyle name="20% - Accent3 6 13 2 2 2" xfId="35394"/>
    <cellStyle name="20% - Accent3 6 13 2 3" xfId="28353"/>
    <cellStyle name="20% - Accent3 6 13 3" xfId="14559"/>
    <cellStyle name="20% - Accent3 6 13 3 2" xfId="32180"/>
    <cellStyle name="20% - Accent3 6 13 4" xfId="25493"/>
    <cellStyle name="20% - Accent3 6 14" xfId="7607"/>
    <cellStyle name="20% - Accent3 6 14 2" xfId="15398"/>
    <cellStyle name="20% - Accent3 6 14 2 2" xfId="33019"/>
    <cellStyle name="20% - Accent3 6 14 3" xfId="26026"/>
    <cellStyle name="20% - Accent3 6 15" xfId="11176"/>
    <cellStyle name="20% - Accent3 6 15 2" xfId="28890"/>
    <cellStyle name="20% - Accent3 6 16" xfId="21928"/>
    <cellStyle name="20% - Accent3 6 16 2" xfId="38667"/>
    <cellStyle name="20% - Accent3 6 17" xfId="23165"/>
    <cellStyle name="20% - Accent3 6 18" xfId="51704"/>
    <cellStyle name="20% - Accent3 6 2" xfId="388"/>
    <cellStyle name="20% - Accent3 6 2 10" xfId="51705"/>
    <cellStyle name="20% - Accent3 6 2 2" xfId="3608"/>
    <cellStyle name="20% - Accent3 6 2 2 2" xfId="8219"/>
    <cellStyle name="20% - Accent3 6 2 2 2 2" xfId="16009"/>
    <cellStyle name="20% - Accent3 6 2 2 2 2 2" xfId="33630"/>
    <cellStyle name="20% - Accent3 6 2 2 2 3" xfId="26619"/>
    <cellStyle name="20% - Accent3 6 2 2 3" xfId="12331"/>
    <cellStyle name="20% - Accent3 6 2 2 3 2" xfId="29988"/>
    <cellStyle name="20% - Accent3 6 2 2 4" xfId="23758"/>
    <cellStyle name="20% - Accent3 6 2 3" xfId="5611"/>
    <cellStyle name="20% - Accent3 6 2 3 2" xfId="8908"/>
    <cellStyle name="20% - Accent3 6 2 3 2 2" xfId="16697"/>
    <cellStyle name="20% - Accent3 6 2 3 2 2 2" xfId="34319"/>
    <cellStyle name="20% - Accent3 6 2 3 2 3" xfId="27282"/>
    <cellStyle name="20% - Accent3 6 2 3 3" xfId="13461"/>
    <cellStyle name="20% - Accent3 6 2 3 3 2" xfId="31087"/>
    <cellStyle name="20% - Accent3 6 2 3 4" xfId="24421"/>
    <cellStyle name="20% - Accent3 6 2 4" xfId="6241"/>
    <cellStyle name="20% - Accent3 6 2 4 2" xfId="9448"/>
    <cellStyle name="20% - Accent3 6 2 4 2 2" xfId="17236"/>
    <cellStyle name="20% - Accent3 6 2 4 2 2 2" xfId="34859"/>
    <cellStyle name="20% - Accent3 6 2 4 2 3" xfId="27818"/>
    <cellStyle name="20% - Accent3 6 2 4 3" xfId="14024"/>
    <cellStyle name="20% - Accent3 6 2 4 3 2" xfId="31645"/>
    <cellStyle name="20% - Accent3 6 2 4 4" xfId="24957"/>
    <cellStyle name="20% - Accent3 6 2 5" xfId="6778"/>
    <cellStyle name="20% - Accent3 6 2 5 2" xfId="9985"/>
    <cellStyle name="20% - Accent3 6 2 5 2 2" xfId="17772"/>
    <cellStyle name="20% - Accent3 6 2 5 2 2 2" xfId="35395"/>
    <cellStyle name="20% - Accent3 6 2 5 2 3" xfId="28354"/>
    <cellStyle name="20% - Accent3 6 2 5 3" xfId="14560"/>
    <cellStyle name="20% - Accent3 6 2 5 3 2" xfId="32181"/>
    <cellStyle name="20% - Accent3 6 2 5 4" xfId="25494"/>
    <cellStyle name="20% - Accent3 6 2 6" xfId="7608"/>
    <cellStyle name="20% - Accent3 6 2 6 2" xfId="15399"/>
    <cellStyle name="20% - Accent3 6 2 6 2 2" xfId="33020"/>
    <cellStyle name="20% - Accent3 6 2 6 3" xfId="26027"/>
    <cellStyle name="20% - Accent3 6 2 7" xfId="11177"/>
    <cellStyle name="20% - Accent3 6 2 7 2" xfId="28891"/>
    <cellStyle name="20% - Accent3 6 2 8" xfId="22824"/>
    <cellStyle name="20% - Accent3 6 2 8 2" xfId="38988"/>
    <cellStyle name="20% - Accent3 6 2 9" xfId="23166"/>
    <cellStyle name="20% - Accent3 6 3" xfId="389"/>
    <cellStyle name="20% - Accent3 6 3 10" xfId="22045"/>
    <cellStyle name="20% - Accent3 6 3 11" xfId="23167"/>
    <cellStyle name="20% - Accent3 6 3 12" xfId="51706"/>
    <cellStyle name="20% - Accent3 6 3 2" xfId="390"/>
    <cellStyle name="20% - Accent3 6 3 2 2" xfId="3610"/>
    <cellStyle name="20% - Accent3 6 3 2 2 2" xfId="8221"/>
    <cellStyle name="20% - Accent3 6 3 2 2 2 2" xfId="16011"/>
    <cellStyle name="20% - Accent3 6 3 2 2 2 2 2" xfId="33632"/>
    <cellStyle name="20% - Accent3 6 3 2 2 2 3" xfId="26621"/>
    <cellStyle name="20% - Accent3 6 3 2 2 3" xfId="12333"/>
    <cellStyle name="20% - Accent3 6 3 2 2 3 2" xfId="29990"/>
    <cellStyle name="20% - Accent3 6 3 2 2 4" xfId="23760"/>
    <cellStyle name="20% - Accent3 6 3 2 3" xfId="5613"/>
    <cellStyle name="20% - Accent3 6 3 2 3 2" xfId="8910"/>
    <cellStyle name="20% - Accent3 6 3 2 3 2 2" xfId="16699"/>
    <cellStyle name="20% - Accent3 6 3 2 3 2 2 2" xfId="34321"/>
    <cellStyle name="20% - Accent3 6 3 2 3 2 3" xfId="27284"/>
    <cellStyle name="20% - Accent3 6 3 2 3 3" xfId="13463"/>
    <cellStyle name="20% - Accent3 6 3 2 3 3 2" xfId="31089"/>
    <cellStyle name="20% - Accent3 6 3 2 3 4" xfId="24423"/>
    <cellStyle name="20% - Accent3 6 3 2 4" xfId="6243"/>
    <cellStyle name="20% - Accent3 6 3 2 4 2" xfId="9450"/>
    <cellStyle name="20% - Accent3 6 3 2 4 2 2" xfId="17238"/>
    <cellStyle name="20% - Accent3 6 3 2 4 2 2 2" xfId="34861"/>
    <cellStyle name="20% - Accent3 6 3 2 4 2 3" xfId="27820"/>
    <cellStyle name="20% - Accent3 6 3 2 4 3" xfId="14026"/>
    <cellStyle name="20% - Accent3 6 3 2 4 3 2" xfId="31647"/>
    <cellStyle name="20% - Accent3 6 3 2 4 4" xfId="24959"/>
    <cellStyle name="20% - Accent3 6 3 2 5" xfId="6780"/>
    <cellStyle name="20% - Accent3 6 3 2 5 2" xfId="9987"/>
    <cellStyle name="20% - Accent3 6 3 2 5 2 2" xfId="17774"/>
    <cellStyle name="20% - Accent3 6 3 2 5 2 2 2" xfId="35397"/>
    <cellStyle name="20% - Accent3 6 3 2 5 2 3" xfId="28356"/>
    <cellStyle name="20% - Accent3 6 3 2 5 3" xfId="14562"/>
    <cellStyle name="20% - Accent3 6 3 2 5 3 2" xfId="32183"/>
    <cellStyle name="20% - Accent3 6 3 2 5 4" xfId="25496"/>
    <cellStyle name="20% - Accent3 6 3 2 6" xfId="7610"/>
    <cellStyle name="20% - Accent3 6 3 2 6 2" xfId="15401"/>
    <cellStyle name="20% - Accent3 6 3 2 6 2 2" xfId="33022"/>
    <cellStyle name="20% - Accent3 6 3 2 6 3" xfId="26029"/>
    <cellStyle name="20% - Accent3 6 3 2 7" xfId="11179"/>
    <cellStyle name="20% - Accent3 6 3 2 7 2" xfId="28893"/>
    <cellStyle name="20% - Accent3 6 3 2 8" xfId="23168"/>
    <cellStyle name="20% - Accent3 6 3 2 9" xfId="51707"/>
    <cellStyle name="20% - Accent3 6 3 3" xfId="3611"/>
    <cellStyle name="20% - Accent3 6 3 3 2" xfId="5614"/>
    <cellStyle name="20% - Accent3 6 3 3 2 2" xfId="8911"/>
    <cellStyle name="20% - Accent3 6 3 3 2 2 2" xfId="16700"/>
    <cellStyle name="20% - Accent3 6 3 3 2 2 2 2" xfId="34322"/>
    <cellStyle name="20% - Accent3 6 3 3 2 2 3" xfId="27285"/>
    <cellStyle name="20% - Accent3 6 3 3 2 3" xfId="13464"/>
    <cellStyle name="20% - Accent3 6 3 3 2 3 2" xfId="31090"/>
    <cellStyle name="20% - Accent3 6 3 3 2 4" xfId="24424"/>
    <cellStyle name="20% - Accent3 6 3 3 3" xfId="6244"/>
    <cellStyle name="20% - Accent3 6 3 3 3 2" xfId="9451"/>
    <cellStyle name="20% - Accent3 6 3 3 3 2 2" xfId="17239"/>
    <cellStyle name="20% - Accent3 6 3 3 3 2 2 2" xfId="34862"/>
    <cellStyle name="20% - Accent3 6 3 3 3 2 3" xfId="27821"/>
    <cellStyle name="20% - Accent3 6 3 3 3 3" xfId="14027"/>
    <cellStyle name="20% - Accent3 6 3 3 3 3 2" xfId="31648"/>
    <cellStyle name="20% - Accent3 6 3 3 3 4" xfId="24960"/>
    <cellStyle name="20% - Accent3 6 3 3 4" xfId="6781"/>
    <cellStyle name="20% - Accent3 6 3 3 4 2" xfId="9988"/>
    <cellStyle name="20% - Accent3 6 3 3 4 2 2" xfId="17775"/>
    <cellStyle name="20% - Accent3 6 3 3 4 2 2 2" xfId="35398"/>
    <cellStyle name="20% - Accent3 6 3 3 4 2 3" xfId="28357"/>
    <cellStyle name="20% - Accent3 6 3 3 4 3" xfId="14563"/>
    <cellStyle name="20% - Accent3 6 3 3 4 3 2" xfId="32184"/>
    <cellStyle name="20% - Accent3 6 3 3 4 4" xfId="25497"/>
    <cellStyle name="20% - Accent3 6 3 3 5" xfId="8222"/>
    <cellStyle name="20% - Accent3 6 3 3 5 2" xfId="16012"/>
    <cellStyle name="20% - Accent3 6 3 3 5 2 2" xfId="33633"/>
    <cellStyle name="20% - Accent3 6 3 3 5 3" xfId="26622"/>
    <cellStyle name="20% - Accent3 6 3 3 6" xfId="12334"/>
    <cellStyle name="20% - Accent3 6 3 3 6 2" xfId="29991"/>
    <cellStyle name="20% - Accent3 6 3 3 7" xfId="23761"/>
    <cellStyle name="20% - Accent3 6 3 4" xfId="3609"/>
    <cellStyle name="20% - Accent3 6 3 4 2" xfId="8220"/>
    <cellStyle name="20% - Accent3 6 3 4 2 2" xfId="16010"/>
    <cellStyle name="20% - Accent3 6 3 4 2 2 2" xfId="33631"/>
    <cellStyle name="20% - Accent3 6 3 4 2 3" xfId="26620"/>
    <cellStyle name="20% - Accent3 6 3 4 3" xfId="12332"/>
    <cellStyle name="20% - Accent3 6 3 4 3 2" xfId="29989"/>
    <cellStyle name="20% - Accent3 6 3 4 4" xfId="23759"/>
    <cellStyle name="20% - Accent3 6 3 5" xfId="5612"/>
    <cellStyle name="20% - Accent3 6 3 5 2" xfId="8909"/>
    <cellStyle name="20% - Accent3 6 3 5 2 2" xfId="16698"/>
    <cellStyle name="20% - Accent3 6 3 5 2 2 2" xfId="34320"/>
    <cellStyle name="20% - Accent3 6 3 5 2 3" xfId="27283"/>
    <cellStyle name="20% - Accent3 6 3 5 3" xfId="13462"/>
    <cellStyle name="20% - Accent3 6 3 5 3 2" xfId="31088"/>
    <cellStyle name="20% - Accent3 6 3 5 4" xfId="24422"/>
    <cellStyle name="20% - Accent3 6 3 6" xfId="6242"/>
    <cellStyle name="20% - Accent3 6 3 6 2" xfId="9449"/>
    <cellStyle name="20% - Accent3 6 3 6 2 2" xfId="17237"/>
    <cellStyle name="20% - Accent3 6 3 6 2 2 2" xfId="34860"/>
    <cellStyle name="20% - Accent3 6 3 6 2 3" xfId="27819"/>
    <cellStyle name="20% - Accent3 6 3 6 3" xfId="14025"/>
    <cellStyle name="20% - Accent3 6 3 6 3 2" xfId="31646"/>
    <cellStyle name="20% - Accent3 6 3 6 4" xfId="24958"/>
    <cellStyle name="20% - Accent3 6 3 7" xfId="6779"/>
    <cellStyle name="20% - Accent3 6 3 7 2" xfId="9986"/>
    <cellStyle name="20% - Accent3 6 3 7 2 2" xfId="17773"/>
    <cellStyle name="20% - Accent3 6 3 7 2 2 2" xfId="35396"/>
    <cellStyle name="20% - Accent3 6 3 7 2 3" xfId="28355"/>
    <cellStyle name="20% - Accent3 6 3 7 3" xfId="14561"/>
    <cellStyle name="20% - Accent3 6 3 7 3 2" xfId="32182"/>
    <cellStyle name="20% - Accent3 6 3 7 4" xfId="25495"/>
    <cellStyle name="20% - Accent3 6 3 8" xfId="7609"/>
    <cellStyle name="20% - Accent3 6 3 8 2" xfId="15400"/>
    <cellStyle name="20% - Accent3 6 3 8 2 2" xfId="33021"/>
    <cellStyle name="20% - Accent3 6 3 8 3" xfId="26028"/>
    <cellStyle name="20% - Accent3 6 3 9" xfId="11178"/>
    <cellStyle name="20% - Accent3 6 3 9 2" xfId="28892"/>
    <cellStyle name="20% - Accent3 6 4" xfId="391"/>
    <cellStyle name="20% - Accent3 6 4 10" xfId="52881"/>
    <cellStyle name="20% - Accent3 6 4 2" xfId="3612"/>
    <cellStyle name="20% - Accent3 6 4 2 2" xfId="8223"/>
    <cellStyle name="20% - Accent3 6 4 2 2 2" xfId="16013"/>
    <cellStyle name="20% - Accent3 6 4 2 2 2 2" xfId="33634"/>
    <cellStyle name="20% - Accent3 6 4 2 2 3" xfId="26623"/>
    <cellStyle name="20% - Accent3 6 4 2 3" xfId="12335"/>
    <cellStyle name="20% - Accent3 6 4 2 3 2" xfId="29992"/>
    <cellStyle name="20% - Accent3 6 4 2 4" xfId="23762"/>
    <cellStyle name="20% - Accent3 6 4 3" xfId="5615"/>
    <cellStyle name="20% - Accent3 6 4 3 2" xfId="8912"/>
    <cellStyle name="20% - Accent3 6 4 3 2 2" xfId="16701"/>
    <cellStyle name="20% - Accent3 6 4 3 2 2 2" xfId="34323"/>
    <cellStyle name="20% - Accent3 6 4 3 2 3" xfId="27286"/>
    <cellStyle name="20% - Accent3 6 4 3 3" xfId="13465"/>
    <cellStyle name="20% - Accent3 6 4 3 3 2" xfId="31091"/>
    <cellStyle name="20% - Accent3 6 4 3 4" xfId="24425"/>
    <cellStyle name="20% - Accent3 6 4 4" xfId="6245"/>
    <cellStyle name="20% - Accent3 6 4 4 2" xfId="9452"/>
    <cellStyle name="20% - Accent3 6 4 4 2 2" xfId="17240"/>
    <cellStyle name="20% - Accent3 6 4 4 2 2 2" xfId="34863"/>
    <cellStyle name="20% - Accent3 6 4 4 2 3" xfId="27822"/>
    <cellStyle name="20% - Accent3 6 4 4 3" xfId="14028"/>
    <cellStyle name="20% - Accent3 6 4 4 3 2" xfId="31649"/>
    <cellStyle name="20% - Accent3 6 4 4 4" xfId="24961"/>
    <cellStyle name="20% - Accent3 6 4 5" xfId="6782"/>
    <cellStyle name="20% - Accent3 6 4 5 2" xfId="9989"/>
    <cellStyle name="20% - Accent3 6 4 5 2 2" xfId="17776"/>
    <cellStyle name="20% - Accent3 6 4 5 2 2 2" xfId="35399"/>
    <cellStyle name="20% - Accent3 6 4 5 2 3" xfId="28358"/>
    <cellStyle name="20% - Accent3 6 4 5 3" xfId="14564"/>
    <cellStyle name="20% - Accent3 6 4 5 3 2" xfId="32185"/>
    <cellStyle name="20% - Accent3 6 4 5 4" xfId="25498"/>
    <cellStyle name="20% - Accent3 6 4 6" xfId="7611"/>
    <cellStyle name="20% - Accent3 6 4 6 2" xfId="15402"/>
    <cellStyle name="20% - Accent3 6 4 6 2 2" xfId="33023"/>
    <cellStyle name="20% - Accent3 6 4 6 3" xfId="26030"/>
    <cellStyle name="20% - Accent3 6 4 7" xfId="11180"/>
    <cellStyle name="20% - Accent3 6 4 7 2" xfId="28894"/>
    <cellStyle name="20% - Accent3 6 4 8" xfId="23169"/>
    <cellStyle name="20% - Accent3 6 4 9" xfId="51708"/>
    <cellStyle name="20% - Accent3 6 5" xfId="392"/>
    <cellStyle name="20% - Accent3 6 5 2" xfId="3613"/>
    <cellStyle name="20% - Accent3 6 5 2 2" xfId="8224"/>
    <cellStyle name="20% - Accent3 6 5 2 2 2" xfId="16014"/>
    <cellStyle name="20% - Accent3 6 5 2 2 2 2" xfId="33635"/>
    <cellStyle name="20% - Accent3 6 5 2 2 3" xfId="26624"/>
    <cellStyle name="20% - Accent3 6 5 2 3" xfId="12336"/>
    <cellStyle name="20% - Accent3 6 5 2 3 2" xfId="29993"/>
    <cellStyle name="20% - Accent3 6 5 2 4" xfId="23763"/>
    <cellStyle name="20% - Accent3 6 5 3" xfId="5616"/>
    <cellStyle name="20% - Accent3 6 5 3 2" xfId="8913"/>
    <cellStyle name="20% - Accent3 6 5 3 2 2" xfId="16702"/>
    <cellStyle name="20% - Accent3 6 5 3 2 2 2" xfId="34324"/>
    <cellStyle name="20% - Accent3 6 5 3 2 3" xfId="27287"/>
    <cellStyle name="20% - Accent3 6 5 3 3" xfId="13466"/>
    <cellStyle name="20% - Accent3 6 5 3 3 2" xfId="31092"/>
    <cellStyle name="20% - Accent3 6 5 3 4" xfId="24426"/>
    <cellStyle name="20% - Accent3 6 5 4" xfId="6246"/>
    <cellStyle name="20% - Accent3 6 5 4 2" xfId="9453"/>
    <cellStyle name="20% - Accent3 6 5 4 2 2" xfId="17241"/>
    <cellStyle name="20% - Accent3 6 5 4 2 2 2" xfId="34864"/>
    <cellStyle name="20% - Accent3 6 5 4 2 3" xfId="27823"/>
    <cellStyle name="20% - Accent3 6 5 4 3" xfId="14029"/>
    <cellStyle name="20% - Accent3 6 5 4 3 2" xfId="31650"/>
    <cellStyle name="20% - Accent3 6 5 4 4" xfId="24962"/>
    <cellStyle name="20% - Accent3 6 5 5" xfId="6783"/>
    <cellStyle name="20% - Accent3 6 5 5 2" xfId="9990"/>
    <cellStyle name="20% - Accent3 6 5 5 2 2" xfId="17777"/>
    <cellStyle name="20% - Accent3 6 5 5 2 2 2" xfId="35400"/>
    <cellStyle name="20% - Accent3 6 5 5 2 3" xfId="28359"/>
    <cellStyle name="20% - Accent3 6 5 5 3" xfId="14565"/>
    <cellStyle name="20% - Accent3 6 5 5 3 2" xfId="32186"/>
    <cellStyle name="20% - Accent3 6 5 5 4" xfId="25499"/>
    <cellStyle name="20% - Accent3 6 5 6" xfId="7612"/>
    <cellStyle name="20% - Accent3 6 5 6 2" xfId="15403"/>
    <cellStyle name="20% - Accent3 6 5 6 2 2" xfId="33024"/>
    <cellStyle name="20% - Accent3 6 5 6 3" xfId="26031"/>
    <cellStyle name="20% - Accent3 6 5 7" xfId="11181"/>
    <cellStyle name="20% - Accent3 6 5 7 2" xfId="28895"/>
    <cellStyle name="20% - Accent3 6 5 8" xfId="23170"/>
    <cellStyle name="20% - Accent3 6 5 9" xfId="51709"/>
    <cellStyle name="20% - Accent3 6 6" xfId="393"/>
    <cellStyle name="20% - Accent3 6 6 2" xfId="3614"/>
    <cellStyle name="20% - Accent3 6 6 2 2" xfId="8225"/>
    <cellStyle name="20% - Accent3 6 6 2 2 2" xfId="16015"/>
    <cellStyle name="20% - Accent3 6 6 2 2 2 2" xfId="33636"/>
    <cellStyle name="20% - Accent3 6 6 2 2 3" xfId="26625"/>
    <cellStyle name="20% - Accent3 6 6 2 3" xfId="12337"/>
    <cellStyle name="20% - Accent3 6 6 2 3 2" xfId="29994"/>
    <cellStyle name="20% - Accent3 6 6 2 4" xfId="23764"/>
    <cellStyle name="20% - Accent3 6 6 3" xfId="5617"/>
    <cellStyle name="20% - Accent3 6 6 3 2" xfId="8914"/>
    <cellStyle name="20% - Accent3 6 6 3 2 2" xfId="16703"/>
    <cellStyle name="20% - Accent3 6 6 3 2 2 2" xfId="34325"/>
    <cellStyle name="20% - Accent3 6 6 3 2 3" xfId="27288"/>
    <cellStyle name="20% - Accent3 6 6 3 3" xfId="13467"/>
    <cellStyle name="20% - Accent3 6 6 3 3 2" xfId="31093"/>
    <cellStyle name="20% - Accent3 6 6 3 4" xfId="24427"/>
    <cellStyle name="20% - Accent3 6 6 4" xfId="6247"/>
    <cellStyle name="20% - Accent3 6 6 4 2" xfId="9454"/>
    <cellStyle name="20% - Accent3 6 6 4 2 2" xfId="17242"/>
    <cellStyle name="20% - Accent3 6 6 4 2 2 2" xfId="34865"/>
    <cellStyle name="20% - Accent3 6 6 4 2 3" xfId="27824"/>
    <cellStyle name="20% - Accent3 6 6 4 3" xfId="14030"/>
    <cellStyle name="20% - Accent3 6 6 4 3 2" xfId="31651"/>
    <cellStyle name="20% - Accent3 6 6 4 4" xfId="24963"/>
    <cellStyle name="20% - Accent3 6 6 5" xfId="6784"/>
    <cellStyle name="20% - Accent3 6 6 5 2" xfId="9991"/>
    <cellStyle name="20% - Accent3 6 6 5 2 2" xfId="17778"/>
    <cellStyle name="20% - Accent3 6 6 5 2 2 2" xfId="35401"/>
    <cellStyle name="20% - Accent3 6 6 5 2 3" xfId="28360"/>
    <cellStyle name="20% - Accent3 6 6 5 3" xfId="14566"/>
    <cellStyle name="20% - Accent3 6 6 5 3 2" xfId="32187"/>
    <cellStyle name="20% - Accent3 6 6 5 4" xfId="25500"/>
    <cellStyle name="20% - Accent3 6 6 6" xfId="7613"/>
    <cellStyle name="20% - Accent3 6 6 6 2" xfId="15404"/>
    <cellStyle name="20% - Accent3 6 6 6 2 2" xfId="33025"/>
    <cellStyle name="20% - Accent3 6 6 6 3" xfId="26032"/>
    <cellStyle name="20% - Accent3 6 6 7" xfId="11182"/>
    <cellStyle name="20% - Accent3 6 6 7 2" xfId="28896"/>
    <cellStyle name="20% - Accent3 6 6 8" xfId="23171"/>
    <cellStyle name="20% - Accent3 6 6 9" xfId="51710"/>
    <cellStyle name="20% - Accent3 6 7" xfId="394"/>
    <cellStyle name="20% - Accent3 6 7 10" xfId="51711"/>
    <cellStyle name="20% - Accent3 6 7 2" xfId="395"/>
    <cellStyle name="20% - Accent3 6 7 2 2" xfId="8227"/>
    <cellStyle name="20% - Accent3 6 7 2 2 2" xfId="16017"/>
    <cellStyle name="20% - Accent3 6 7 2 2 2 2" xfId="33638"/>
    <cellStyle name="20% - Accent3 6 7 2 2 3" xfId="26627"/>
    <cellStyle name="20% - Accent3 6 7 2 3" xfId="12339"/>
    <cellStyle name="20% - Accent3 6 7 2 3 2" xfId="29996"/>
    <cellStyle name="20% - Accent3 6 7 2 4" xfId="23766"/>
    <cellStyle name="20% - Accent3 6 7 3" xfId="3615"/>
    <cellStyle name="20% - Accent3 6 7 3 2" xfId="8226"/>
    <cellStyle name="20% - Accent3 6 7 3 2 2" xfId="16016"/>
    <cellStyle name="20% - Accent3 6 7 3 2 2 2" xfId="33637"/>
    <cellStyle name="20% - Accent3 6 7 3 2 3" xfId="26626"/>
    <cellStyle name="20% - Accent3 6 7 3 3" xfId="12338"/>
    <cellStyle name="20% - Accent3 6 7 3 3 2" xfId="29995"/>
    <cellStyle name="20% - Accent3 6 7 3 4" xfId="23765"/>
    <cellStyle name="20% - Accent3 6 7 4" xfId="5618"/>
    <cellStyle name="20% - Accent3 6 7 4 2" xfId="8915"/>
    <cellStyle name="20% - Accent3 6 7 4 2 2" xfId="16704"/>
    <cellStyle name="20% - Accent3 6 7 4 2 2 2" xfId="34326"/>
    <cellStyle name="20% - Accent3 6 7 4 2 3" xfId="27289"/>
    <cellStyle name="20% - Accent3 6 7 4 3" xfId="13468"/>
    <cellStyle name="20% - Accent3 6 7 4 3 2" xfId="31094"/>
    <cellStyle name="20% - Accent3 6 7 4 4" xfId="24428"/>
    <cellStyle name="20% - Accent3 6 7 5" xfId="6248"/>
    <cellStyle name="20% - Accent3 6 7 5 2" xfId="9455"/>
    <cellStyle name="20% - Accent3 6 7 5 2 2" xfId="17243"/>
    <cellStyle name="20% - Accent3 6 7 5 2 2 2" xfId="34866"/>
    <cellStyle name="20% - Accent3 6 7 5 2 3" xfId="27825"/>
    <cellStyle name="20% - Accent3 6 7 5 3" xfId="14031"/>
    <cellStyle name="20% - Accent3 6 7 5 3 2" xfId="31652"/>
    <cellStyle name="20% - Accent3 6 7 5 4" xfId="24964"/>
    <cellStyle name="20% - Accent3 6 7 6" xfId="6785"/>
    <cellStyle name="20% - Accent3 6 7 6 2" xfId="9992"/>
    <cellStyle name="20% - Accent3 6 7 6 2 2" xfId="17779"/>
    <cellStyle name="20% - Accent3 6 7 6 2 2 2" xfId="35402"/>
    <cellStyle name="20% - Accent3 6 7 6 2 3" xfId="28361"/>
    <cellStyle name="20% - Accent3 6 7 6 3" xfId="14567"/>
    <cellStyle name="20% - Accent3 6 7 6 3 2" xfId="32188"/>
    <cellStyle name="20% - Accent3 6 7 6 4" xfId="25501"/>
    <cellStyle name="20% - Accent3 6 7 7" xfId="7614"/>
    <cellStyle name="20% - Accent3 6 7 7 2" xfId="15405"/>
    <cellStyle name="20% - Accent3 6 7 7 2 2" xfId="33026"/>
    <cellStyle name="20% - Accent3 6 7 7 3" xfId="26033"/>
    <cellStyle name="20% - Accent3 6 7 8" xfId="11183"/>
    <cellStyle name="20% - Accent3 6 7 8 2" xfId="28897"/>
    <cellStyle name="20% - Accent3 6 7 9" xfId="23172"/>
    <cellStyle name="20% - Accent3 6 8" xfId="3616"/>
    <cellStyle name="20% - Accent3 6 8 2" xfId="8228"/>
    <cellStyle name="20% - Accent3 6 8 2 2" xfId="16018"/>
    <cellStyle name="20% - Accent3 6 8 2 2 2" xfId="33639"/>
    <cellStyle name="20% - Accent3 6 8 2 3" xfId="26628"/>
    <cellStyle name="20% - Accent3 6 8 3" xfId="12340"/>
    <cellStyle name="20% - Accent3 6 8 3 2" xfId="29997"/>
    <cellStyle name="20% - Accent3 6 8 4" xfId="23767"/>
    <cellStyle name="20% - Accent3 6 9" xfId="3617"/>
    <cellStyle name="20% - Accent3 6 9 2" xfId="8229"/>
    <cellStyle name="20% - Accent3 6 9 2 2" xfId="16019"/>
    <cellStyle name="20% - Accent3 6 9 2 2 2" xfId="33640"/>
    <cellStyle name="20% - Accent3 6 9 2 3" xfId="26629"/>
    <cellStyle name="20% - Accent3 6 9 3" xfId="12341"/>
    <cellStyle name="20% - Accent3 6 9 3 2" xfId="29998"/>
    <cellStyle name="20% - Accent3 6 9 4" xfId="23768"/>
    <cellStyle name="20% - Accent3 7" xfId="396"/>
    <cellStyle name="20% - Accent3 7 10" xfId="3618"/>
    <cellStyle name="20% - Accent3 7 10 2" xfId="8230"/>
    <cellStyle name="20% - Accent3 7 10 2 2" xfId="16020"/>
    <cellStyle name="20% - Accent3 7 10 2 2 2" xfId="33641"/>
    <cellStyle name="20% - Accent3 7 10 2 3" xfId="26630"/>
    <cellStyle name="20% - Accent3 7 10 3" xfId="12342"/>
    <cellStyle name="20% - Accent3 7 10 3 2" xfId="29999"/>
    <cellStyle name="20% - Accent3 7 10 4" xfId="23769"/>
    <cellStyle name="20% - Accent3 7 11" xfId="5619"/>
    <cellStyle name="20% - Accent3 7 11 2" xfId="8916"/>
    <cellStyle name="20% - Accent3 7 11 2 2" xfId="16705"/>
    <cellStyle name="20% - Accent3 7 11 2 2 2" xfId="34327"/>
    <cellStyle name="20% - Accent3 7 11 2 3" xfId="27290"/>
    <cellStyle name="20% - Accent3 7 11 3" xfId="13469"/>
    <cellStyle name="20% - Accent3 7 11 3 2" xfId="31095"/>
    <cellStyle name="20% - Accent3 7 11 4" xfId="24429"/>
    <cellStyle name="20% - Accent3 7 12" xfId="6249"/>
    <cellStyle name="20% - Accent3 7 12 2" xfId="9456"/>
    <cellStyle name="20% - Accent3 7 12 2 2" xfId="17244"/>
    <cellStyle name="20% - Accent3 7 12 2 2 2" xfId="34867"/>
    <cellStyle name="20% - Accent3 7 12 2 3" xfId="27826"/>
    <cellStyle name="20% - Accent3 7 12 3" xfId="14032"/>
    <cellStyle name="20% - Accent3 7 12 3 2" xfId="31653"/>
    <cellStyle name="20% - Accent3 7 12 4" xfId="24965"/>
    <cellStyle name="20% - Accent3 7 13" xfId="6786"/>
    <cellStyle name="20% - Accent3 7 13 2" xfId="9993"/>
    <cellStyle name="20% - Accent3 7 13 2 2" xfId="17780"/>
    <cellStyle name="20% - Accent3 7 13 2 2 2" xfId="35403"/>
    <cellStyle name="20% - Accent3 7 13 2 3" xfId="28362"/>
    <cellStyle name="20% - Accent3 7 13 3" xfId="14568"/>
    <cellStyle name="20% - Accent3 7 13 3 2" xfId="32189"/>
    <cellStyle name="20% - Accent3 7 13 4" xfId="25502"/>
    <cellStyle name="20% - Accent3 7 14" xfId="7615"/>
    <cellStyle name="20% - Accent3 7 14 2" xfId="15406"/>
    <cellStyle name="20% - Accent3 7 14 2 2" xfId="33027"/>
    <cellStyle name="20% - Accent3 7 14 3" xfId="26034"/>
    <cellStyle name="20% - Accent3 7 15" xfId="11184"/>
    <cellStyle name="20% - Accent3 7 15 2" xfId="28898"/>
    <cellStyle name="20% - Accent3 7 16" xfId="22046"/>
    <cellStyle name="20% - Accent3 7 16 2" xfId="38741"/>
    <cellStyle name="20% - Accent3 7 17" xfId="23173"/>
    <cellStyle name="20% - Accent3 7 18" xfId="51712"/>
    <cellStyle name="20% - Accent3 7 2" xfId="397"/>
    <cellStyle name="20% - Accent3 7 2 10" xfId="51713"/>
    <cellStyle name="20% - Accent3 7 2 2" xfId="3619"/>
    <cellStyle name="20% - Accent3 7 2 2 2" xfId="8231"/>
    <cellStyle name="20% - Accent3 7 2 2 2 2" xfId="16021"/>
    <cellStyle name="20% - Accent3 7 2 2 2 2 2" xfId="33642"/>
    <cellStyle name="20% - Accent3 7 2 2 2 3" xfId="26631"/>
    <cellStyle name="20% - Accent3 7 2 2 3" xfId="12343"/>
    <cellStyle name="20% - Accent3 7 2 2 3 2" xfId="30000"/>
    <cellStyle name="20% - Accent3 7 2 2 4" xfId="23770"/>
    <cellStyle name="20% - Accent3 7 2 3" xfId="5620"/>
    <cellStyle name="20% - Accent3 7 2 3 2" xfId="8917"/>
    <cellStyle name="20% - Accent3 7 2 3 2 2" xfId="16706"/>
    <cellStyle name="20% - Accent3 7 2 3 2 2 2" xfId="34328"/>
    <cellStyle name="20% - Accent3 7 2 3 2 3" xfId="27291"/>
    <cellStyle name="20% - Accent3 7 2 3 3" xfId="13470"/>
    <cellStyle name="20% - Accent3 7 2 3 3 2" xfId="31096"/>
    <cellStyle name="20% - Accent3 7 2 3 4" xfId="24430"/>
    <cellStyle name="20% - Accent3 7 2 4" xfId="6250"/>
    <cellStyle name="20% - Accent3 7 2 4 2" xfId="9457"/>
    <cellStyle name="20% - Accent3 7 2 4 2 2" xfId="17245"/>
    <cellStyle name="20% - Accent3 7 2 4 2 2 2" xfId="34868"/>
    <cellStyle name="20% - Accent3 7 2 4 2 3" xfId="27827"/>
    <cellStyle name="20% - Accent3 7 2 4 3" xfId="14033"/>
    <cellStyle name="20% - Accent3 7 2 4 3 2" xfId="31654"/>
    <cellStyle name="20% - Accent3 7 2 4 4" xfId="24966"/>
    <cellStyle name="20% - Accent3 7 2 5" xfId="6787"/>
    <cellStyle name="20% - Accent3 7 2 5 2" xfId="9994"/>
    <cellStyle name="20% - Accent3 7 2 5 2 2" xfId="17781"/>
    <cellStyle name="20% - Accent3 7 2 5 2 2 2" xfId="35404"/>
    <cellStyle name="20% - Accent3 7 2 5 2 3" xfId="28363"/>
    <cellStyle name="20% - Accent3 7 2 5 3" xfId="14569"/>
    <cellStyle name="20% - Accent3 7 2 5 3 2" xfId="32190"/>
    <cellStyle name="20% - Accent3 7 2 5 4" xfId="25503"/>
    <cellStyle name="20% - Accent3 7 2 6" xfId="7616"/>
    <cellStyle name="20% - Accent3 7 2 6 2" xfId="15407"/>
    <cellStyle name="20% - Accent3 7 2 6 2 2" xfId="33028"/>
    <cellStyle name="20% - Accent3 7 2 6 3" xfId="26035"/>
    <cellStyle name="20% - Accent3 7 2 7" xfId="11185"/>
    <cellStyle name="20% - Accent3 7 2 7 2" xfId="28899"/>
    <cellStyle name="20% - Accent3 7 2 8" xfId="22704"/>
    <cellStyle name="20% - Accent3 7 2 8 2" xfId="38900"/>
    <cellStyle name="20% - Accent3 7 2 9" xfId="23174"/>
    <cellStyle name="20% - Accent3 7 3" xfId="398"/>
    <cellStyle name="20% - Accent3 7 3 10" xfId="23175"/>
    <cellStyle name="20% - Accent3 7 3 11" xfId="51714"/>
    <cellStyle name="20% - Accent3 7 3 2" xfId="399"/>
    <cellStyle name="20% - Accent3 7 3 2 2" xfId="3621"/>
    <cellStyle name="20% - Accent3 7 3 2 2 2" xfId="8233"/>
    <cellStyle name="20% - Accent3 7 3 2 2 2 2" xfId="16023"/>
    <cellStyle name="20% - Accent3 7 3 2 2 2 2 2" xfId="33644"/>
    <cellStyle name="20% - Accent3 7 3 2 2 2 3" xfId="26633"/>
    <cellStyle name="20% - Accent3 7 3 2 2 3" xfId="12345"/>
    <cellStyle name="20% - Accent3 7 3 2 2 3 2" xfId="30002"/>
    <cellStyle name="20% - Accent3 7 3 2 2 4" xfId="23772"/>
    <cellStyle name="20% - Accent3 7 3 2 3" xfId="5622"/>
    <cellStyle name="20% - Accent3 7 3 2 3 2" xfId="8919"/>
    <cellStyle name="20% - Accent3 7 3 2 3 2 2" xfId="16708"/>
    <cellStyle name="20% - Accent3 7 3 2 3 2 2 2" xfId="34330"/>
    <cellStyle name="20% - Accent3 7 3 2 3 2 3" xfId="27293"/>
    <cellStyle name="20% - Accent3 7 3 2 3 3" xfId="13472"/>
    <cellStyle name="20% - Accent3 7 3 2 3 3 2" xfId="31098"/>
    <cellStyle name="20% - Accent3 7 3 2 3 4" xfId="24432"/>
    <cellStyle name="20% - Accent3 7 3 2 4" xfId="6252"/>
    <cellStyle name="20% - Accent3 7 3 2 4 2" xfId="9459"/>
    <cellStyle name="20% - Accent3 7 3 2 4 2 2" xfId="17247"/>
    <cellStyle name="20% - Accent3 7 3 2 4 2 2 2" xfId="34870"/>
    <cellStyle name="20% - Accent3 7 3 2 4 2 3" xfId="27829"/>
    <cellStyle name="20% - Accent3 7 3 2 4 3" xfId="14035"/>
    <cellStyle name="20% - Accent3 7 3 2 4 3 2" xfId="31656"/>
    <cellStyle name="20% - Accent3 7 3 2 4 4" xfId="24968"/>
    <cellStyle name="20% - Accent3 7 3 2 5" xfId="6789"/>
    <cellStyle name="20% - Accent3 7 3 2 5 2" xfId="9996"/>
    <cellStyle name="20% - Accent3 7 3 2 5 2 2" xfId="17783"/>
    <cellStyle name="20% - Accent3 7 3 2 5 2 2 2" xfId="35406"/>
    <cellStyle name="20% - Accent3 7 3 2 5 2 3" xfId="28365"/>
    <cellStyle name="20% - Accent3 7 3 2 5 3" xfId="14571"/>
    <cellStyle name="20% - Accent3 7 3 2 5 3 2" xfId="32192"/>
    <cellStyle name="20% - Accent3 7 3 2 5 4" xfId="25505"/>
    <cellStyle name="20% - Accent3 7 3 2 6" xfId="7618"/>
    <cellStyle name="20% - Accent3 7 3 2 6 2" xfId="15409"/>
    <cellStyle name="20% - Accent3 7 3 2 6 2 2" xfId="33030"/>
    <cellStyle name="20% - Accent3 7 3 2 6 3" xfId="26037"/>
    <cellStyle name="20% - Accent3 7 3 2 7" xfId="11187"/>
    <cellStyle name="20% - Accent3 7 3 2 7 2" xfId="28901"/>
    <cellStyle name="20% - Accent3 7 3 2 8" xfId="23176"/>
    <cellStyle name="20% - Accent3 7 3 2 9" xfId="51715"/>
    <cellStyle name="20% - Accent3 7 3 3" xfId="3622"/>
    <cellStyle name="20% - Accent3 7 3 3 2" xfId="5623"/>
    <cellStyle name="20% - Accent3 7 3 3 2 2" xfId="8920"/>
    <cellStyle name="20% - Accent3 7 3 3 2 2 2" xfId="16709"/>
    <cellStyle name="20% - Accent3 7 3 3 2 2 2 2" xfId="34331"/>
    <cellStyle name="20% - Accent3 7 3 3 2 2 3" xfId="27294"/>
    <cellStyle name="20% - Accent3 7 3 3 2 3" xfId="13473"/>
    <cellStyle name="20% - Accent3 7 3 3 2 3 2" xfId="31099"/>
    <cellStyle name="20% - Accent3 7 3 3 2 4" xfId="24433"/>
    <cellStyle name="20% - Accent3 7 3 3 3" xfId="6253"/>
    <cellStyle name="20% - Accent3 7 3 3 3 2" xfId="9460"/>
    <cellStyle name="20% - Accent3 7 3 3 3 2 2" xfId="17248"/>
    <cellStyle name="20% - Accent3 7 3 3 3 2 2 2" xfId="34871"/>
    <cellStyle name="20% - Accent3 7 3 3 3 2 3" xfId="27830"/>
    <cellStyle name="20% - Accent3 7 3 3 3 3" xfId="14036"/>
    <cellStyle name="20% - Accent3 7 3 3 3 3 2" xfId="31657"/>
    <cellStyle name="20% - Accent3 7 3 3 3 4" xfId="24969"/>
    <cellStyle name="20% - Accent3 7 3 3 4" xfId="6790"/>
    <cellStyle name="20% - Accent3 7 3 3 4 2" xfId="9997"/>
    <cellStyle name="20% - Accent3 7 3 3 4 2 2" xfId="17784"/>
    <cellStyle name="20% - Accent3 7 3 3 4 2 2 2" xfId="35407"/>
    <cellStyle name="20% - Accent3 7 3 3 4 2 3" xfId="28366"/>
    <cellStyle name="20% - Accent3 7 3 3 4 3" xfId="14572"/>
    <cellStyle name="20% - Accent3 7 3 3 4 3 2" xfId="32193"/>
    <cellStyle name="20% - Accent3 7 3 3 4 4" xfId="25506"/>
    <cellStyle name="20% - Accent3 7 3 3 5" xfId="8234"/>
    <cellStyle name="20% - Accent3 7 3 3 5 2" xfId="16024"/>
    <cellStyle name="20% - Accent3 7 3 3 5 2 2" xfId="33645"/>
    <cellStyle name="20% - Accent3 7 3 3 5 3" xfId="26634"/>
    <cellStyle name="20% - Accent3 7 3 3 6" xfId="12346"/>
    <cellStyle name="20% - Accent3 7 3 3 6 2" xfId="30003"/>
    <cellStyle name="20% - Accent3 7 3 3 7" xfId="23773"/>
    <cellStyle name="20% - Accent3 7 3 4" xfId="3620"/>
    <cellStyle name="20% - Accent3 7 3 4 2" xfId="8232"/>
    <cellStyle name="20% - Accent3 7 3 4 2 2" xfId="16022"/>
    <cellStyle name="20% - Accent3 7 3 4 2 2 2" xfId="33643"/>
    <cellStyle name="20% - Accent3 7 3 4 2 3" xfId="26632"/>
    <cellStyle name="20% - Accent3 7 3 4 3" xfId="12344"/>
    <cellStyle name="20% - Accent3 7 3 4 3 2" xfId="30001"/>
    <cellStyle name="20% - Accent3 7 3 4 4" xfId="23771"/>
    <cellStyle name="20% - Accent3 7 3 5" xfId="5621"/>
    <cellStyle name="20% - Accent3 7 3 5 2" xfId="8918"/>
    <cellStyle name="20% - Accent3 7 3 5 2 2" xfId="16707"/>
    <cellStyle name="20% - Accent3 7 3 5 2 2 2" xfId="34329"/>
    <cellStyle name="20% - Accent3 7 3 5 2 3" xfId="27292"/>
    <cellStyle name="20% - Accent3 7 3 5 3" xfId="13471"/>
    <cellStyle name="20% - Accent3 7 3 5 3 2" xfId="31097"/>
    <cellStyle name="20% - Accent3 7 3 5 4" xfId="24431"/>
    <cellStyle name="20% - Accent3 7 3 6" xfId="6251"/>
    <cellStyle name="20% - Accent3 7 3 6 2" xfId="9458"/>
    <cellStyle name="20% - Accent3 7 3 6 2 2" xfId="17246"/>
    <cellStyle name="20% - Accent3 7 3 6 2 2 2" xfId="34869"/>
    <cellStyle name="20% - Accent3 7 3 6 2 3" xfId="27828"/>
    <cellStyle name="20% - Accent3 7 3 6 3" xfId="14034"/>
    <cellStyle name="20% - Accent3 7 3 6 3 2" xfId="31655"/>
    <cellStyle name="20% - Accent3 7 3 6 4" xfId="24967"/>
    <cellStyle name="20% - Accent3 7 3 7" xfId="6788"/>
    <cellStyle name="20% - Accent3 7 3 7 2" xfId="9995"/>
    <cellStyle name="20% - Accent3 7 3 7 2 2" xfId="17782"/>
    <cellStyle name="20% - Accent3 7 3 7 2 2 2" xfId="35405"/>
    <cellStyle name="20% - Accent3 7 3 7 2 3" xfId="28364"/>
    <cellStyle name="20% - Accent3 7 3 7 3" xfId="14570"/>
    <cellStyle name="20% - Accent3 7 3 7 3 2" xfId="32191"/>
    <cellStyle name="20% - Accent3 7 3 7 4" xfId="25504"/>
    <cellStyle name="20% - Accent3 7 3 8" xfId="7617"/>
    <cellStyle name="20% - Accent3 7 3 8 2" xfId="15408"/>
    <cellStyle name="20% - Accent3 7 3 8 2 2" xfId="33029"/>
    <cellStyle name="20% - Accent3 7 3 8 3" xfId="26036"/>
    <cellStyle name="20% - Accent3 7 3 9" xfId="11186"/>
    <cellStyle name="20% - Accent3 7 3 9 2" xfId="28900"/>
    <cellStyle name="20% - Accent3 7 4" xfId="400"/>
    <cellStyle name="20% - Accent3 7 4 2" xfId="3623"/>
    <cellStyle name="20% - Accent3 7 4 2 2" xfId="8235"/>
    <cellStyle name="20% - Accent3 7 4 2 2 2" xfId="16025"/>
    <cellStyle name="20% - Accent3 7 4 2 2 2 2" xfId="33646"/>
    <cellStyle name="20% - Accent3 7 4 2 2 3" xfId="26635"/>
    <cellStyle name="20% - Accent3 7 4 2 3" xfId="12347"/>
    <cellStyle name="20% - Accent3 7 4 2 3 2" xfId="30004"/>
    <cellStyle name="20% - Accent3 7 4 2 4" xfId="23774"/>
    <cellStyle name="20% - Accent3 7 4 3" xfId="5624"/>
    <cellStyle name="20% - Accent3 7 4 3 2" xfId="8921"/>
    <cellStyle name="20% - Accent3 7 4 3 2 2" xfId="16710"/>
    <cellStyle name="20% - Accent3 7 4 3 2 2 2" xfId="34332"/>
    <cellStyle name="20% - Accent3 7 4 3 2 3" xfId="27295"/>
    <cellStyle name="20% - Accent3 7 4 3 3" xfId="13474"/>
    <cellStyle name="20% - Accent3 7 4 3 3 2" xfId="31100"/>
    <cellStyle name="20% - Accent3 7 4 3 4" xfId="24434"/>
    <cellStyle name="20% - Accent3 7 4 4" xfId="6254"/>
    <cellStyle name="20% - Accent3 7 4 4 2" xfId="9461"/>
    <cellStyle name="20% - Accent3 7 4 4 2 2" xfId="17249"/>
    <cellStyle name="20% - Accent3 7 4 4 2 2 2" xfId="34872"/>
    <cellStyle name="20% - Accent3 7 4 4 2 3" xfId="27831"/>
    <cellStyle name="20% - Accent3 7 4 4 3" xfId="14037"/>
    <cellStyle name="20% - Accent3 7 4 4 3 2" xfId="31658"/>
    <cellStyle name="20% - Accent3 7 4 4 4" xfId="24970"/>
    <cellStyle name="20% - Accent3 7 4 5" xfId="6791"/>
    <cellStyle name="20% - Accent3 7 4 5 2" xfId="9998"/>
    <cellStyle name="20% - Accent3 7 4 5 2 2" xfId="17785"/>
    <cellStyle name="20% - Accent3 7 4 5 2 2 2" xfId="35408"/>
    <cellStyle name="20% - Accent3 7 4 5 2 3" xfId="28367"/>
    <cellStyle name="20% - Accent3 7 4 5 3" xfId="14573"/>
    <cellStyle name="20% - Accent3 7 4 5 3 2" xfId="32194"/>
    <cellStyle name="20% - Accent3 7 4 5 4" xfId="25507"/>
    <cellStyle name="20% - Accent3 7 4 6" xfId="7619"/>
    <cellStyle name="20% - Accent3 7 4 6 2" xfId="15410"/>
    <cellStyle name="20% - Accent3 7 4 6 2 2" xfId="33031"/>
    <cellStyle name="20% - Accent3 7 4 6 3" xfId="26038"/>
    <cellStyle name="20% - Accent3 7 4 7" xfId="11188"/>
    <cellStyle name="20% - Accent3 7 4 7 2" xfId="28902"/>
    <cellStyle name="20% - Accent3 7 4 8" xfId="23177"/>
    <cellStyle name="20% - Accent3 7 4 9" xfId="51716"/>
    <cellStyle name="20% - Accent3 7 5" xfId="401"/>
    <cellStyle name="20% - Accent3 7 5 2" xfId="3624"/>
    <cellStyle name="20% - Accent3 7 5 2 2" xfId="8236"/>
    <cellStyle name="20% - Accent3 7 5 2 2 2" xfId="16026"/>
    <cellStyle name="20% - Accent3 7 5 2 2 2 2" xfId="33647"/>
    <cellStyle name="20% - Accent3 7 5 2 2 3" xfId="26636"/>
    <cellStyle name="20% - Accent3 7 5 2 3" xfId="12348"/>
    <cellStyle name="20% - Accent3 7 5 2 3 2" xfId="30005"/>
    <cellStyle name="20% - Accent3 7 5 2 4" xfId="23775"/>
    <cellStyle name="20% - Accent3 7 5 3" xfId="5625"/>
    <cellStyle name="20% - Accent3 7 5 3 2" xfId="8922"/>
    <cellStyle name="20% - Accent3 7 5 3 2 2" xfId="16711"/>
    <cellStyle name="20% - Accent3 7 5 3 2 2 2" xfId="34333"/>
    <cellStyle name="20% - Accent3 7 5 3 2 3" xfId="27296"/>
    <cellStyle name="20% - Accent3 7 5 3 3" xfId="13475"/>
    <cellStyle name="20% - Accent3 7 5 3 3 2" xfId="31101"/>
    <cellStyle name="20% - Accent3 7 5 3 4" xfId="24435"/>
    <cellStyle name="20% - Accent3 7 5 4" xfId="6255"/>
    <cellStyle name="20% - Accent3 7 5 4 2" xfId="9462"/>
    <cellStyle name="20% - Accent3 7 5 4 2 2" xfId="17250"/>
    <cellStyle name="20% - Accent3 7 5 4 2 2 2" xfId="34873"/>
    <cellStyle name="20% - Accent3 7 5 4 2 3" xfId="27832"/>
    <cellStyle name="20% - Accent3 7 5 4 3" xfId="14038"/>
    <cellStyle name="20% - Accent3 7 5 4 3 2" xfId="31659"/>
    <cellStyle name="20% - Accent3 7 5 4 4" xfId="24971"/>
    <cellStyle name="20% - Accent3 7 5 5" xfId="6792"/>
    <cellStyle name="20% - Accent3 7 5 5 2" xfId="9999"/>
    <cellStyle name="20% - Accent3 7 5 5 2 2" xfId="17786"/>
    <cellStyle name="20% - Accent3 7 5 5 2 2 2" xfId="35409"/>
    <cellStyle name="20% - Accent3 7 5 5 2 3" xfId="28368"/>
    <cellStyle name="20% - Accent3 7 5 5 3" xfId="14574"/>
    <cellStyle name="20% - Accent3 7 5 5 3 2" xfId="32195"/>
    <cellStyle name="20% - Accent3 7 5 5 4" xfId="25508"/>
    <cellStyle name="20% - Accent3 7 5 6" xfId="7620"/>
    <cellStyle name="20% - Accent3 7 5 6 2" xfId="15411"/>
    <cellStyle name="20% - Accent3 7 5 6 2 2" xfId="33032"/>
    <cellStyle name="20% - Accent3 7 5 6 3" xfId="26039"/>
    <cellStyle name="20% - Accent3 7 5 7" xfId="11189"/>
    <cellStyle name="20% - Accent3 7 5 7 2" xfId="28903"/>
    <cellStyle name="20% - Accent3 7 5 8" xfId="23178"/>
    <cellStyle name="20% - Accent3 7 5 9" xfId="51717"/>
    <cellStyle name="20% - Accent3 7 6" xfId="402"/>
    <cellStyle name="20% - Accent3 7 6 2" xfId="3625"/>
    <cellStyle name="20% - Accent3 7 6 2 2" xfId="8237"/>
    <cellStyle name="20% - Accent3 7 6 2 2 2" xfId="16027"/>
    <cellStyle name="20% - Accent3 7 6 2 2 2 2" xfId="33648"/>
    <cellStyle name="20% - Accent3 7 6 2 2 3" xfId="26637"/>
    <cellStyle name="20% - Accent3 7 6 2 3" xfId="12349"/>
    <cellStyle name="20% - Accent3 7 6 2 3 2" xfId="30006"/>
    <cellStyle name="20% - Accent3 7 6 2 4" xfId="23776"/>
    <cellStyle name="20% - Accent3 7 6 3" xfId="5626"/>
    <cellStyle name="20% - Accent3 7 6 3 2" xfId="8923"/>
    <cellStyle name="20% - Accent3 7 6 3 2 2" xfId="16712"/>
    <cellStyle name="20% - Accent3 7 6 3 2 2 2" xfId="34334"/>
    <cellStyle name="20% - Accent3 7 6 3 2 3" xfId="27297"/>
    <cellStyle name="20% - Accent3 7 6 3 3" xfId="13476"/>
    <cellStyle name="20% - Accent3 7 6 3 3 2" xfId="31102"/>
    <cellStyle name="20% - Accent3 7 6 3 4" xfId="24436"/>
    <cellStyle name="20% - Accent3 7 6 4" xfId="6256"/>
    <cellStyle name="20% - Accent3 7 6 4 2" xfId="9463"/>
    <cellStyle name="20% - Accent3 7 6 4 2 2" xfId="17251"/>
    <cellStyle name="20% - Accent3 7 6 4 2 2 2" xfId="34874"/>
    <cellStyle name="20% - Accent3 7 6 4 2 3" xfId="27833"/>
    <cellStyle name="20% - Accent3 7 6 4 3" xfId="14039"/>
    <cellStyle name="20% - Accent3 7 6 4 3 2" xfId="31660"/>
    <cellStyle name="20% - Accent3 7 6 4 4" xfId="24972"/>
    <cellStyle name="20% - Accent3 7 6 5" xfId="6793"/>
    <cellStyle name="20% - Accent3 7 6 5 2" xfId="10000"/>
    <cellStyle name="20% - Accent3 7 6 5 2 2" xfId="17787"/>
    <cellStyle name="20% - Accent3 7 6 5 2 2 2" xfId="35410"/>
    <cellStyle name="20% - Accent3 7 6 5 2 3" xfId="28369"/>
    <cellStyle name="20% - Accent3 7 6 5 3" xfId="14575"/>
    <cellStyle name="20% - Accent3 7 6 5 3 2" xfId="32196"/>
    <cellStyle name="20% - Accent3 7 6 5 4" xfId="25509"/>
    <cellStyle name="20% - Accent3 7 6 6" xfId="7621"/>
    <cellStyle name="20% - Accent3 7 6 6 2" xfId="15412"/>
    <cellStyle name="20% - Accent3 7 6 6 2 2" xfId="33033"/>
    <cellStyle name="20% - Accent3 7 6 6 3" xfId="26040"/>
    <cellStyle name="20% - Accent3 7 6 7" xfId="11190"/>
    <cellStyle name="20% - Accent3 7 6 7 2" xfId="28904"/>
    <cellStyle name="20% - Accent3 7 6 8" xfId="23179"/>
    <cellStyle name="20% - Accent3 7 6 9" xfId="51718"/>
    <cellStyle name="20% - Accent3 7 7" xfId="403"/>
    <cellStyle name="20% - Accent3 7 7 10" xfId="51719"/>
    <cellStyle name="20% - Accent3 7 7 2" xfId="404"/>
    <cellStyle name="20% - Accent3 7 7 2 2" xfId="8239"/>
    <cellStyle name="20% - Accent3 7 7 2 2 2" xfId="16029"/>
    <cellStyle name="20% - Accent3 7 7 2 2 2 2" xfId="33650"/>
    <cellStyle name="20% - Accent3 7 7 2 2 3" xfId="26639"/>
    <cellStyle name="20% - Accent3 7 7 2 3" xfId="12351"/>
    <cellStyle name="20% - Accent3 7 7 2 3 2" xfId="30008"/>
    <cellStyle name="20% - Accent3 7 7 2 4" xfId="23778"/>
    <cellStyle name="20% - Accent3 7 7 3" xfId="3626"/>
    <cellStyle name="20% - Accent3 7 7 3 2" xfId="8238"/>
    <cellStyle name="20% - Accent3 7 7 3 2 2" xfId="16028"/>
    <cellStyle name="20% - Accent3 7 7 3 2 2 2" xfId="33649"/>
    <cellStyle name="20% - Accent3 7 7 3 2 3" xfId="26638"/>
    <cellStyle name="20% - Accent3 7 7 3 3" xfId="12350"/>
    <cellStyle name="20% - Accent3 7 7 3 3 2" xfId="30007"/>
    <cellStyle name="20% - Accent3 7 7 3 4" xfId="23777"/>
    <cellStyle name="20% - Accent3 7 7 4" xfId="5627"/>
    <cellStyle name="20% - Accent3 7 7 4 2" xfId="8924"/>
    <cellStyle name="20% - Accent3 7 7 4 2 2" xfId="16713"/>
    <cellStyle name="20% - Accent3 7 7 4 2 2 2" xfId="34335"/>
    <cellStyle name="20% - Accent3 7 7 4 2 3" xfId="27298"/>
    <cellStyle name="20% - Accent3 7 7 4 3" xfId="13477"/>
    <cellStyle name="20% - Accent3 7 7 4 3 2" xfId="31103"/>
    <cellStyle name="20% - Accent3 7 7 4 4" xfId="24437"/>
    <cellStyle name="20% - Accent3 7 7 5" xfId="6257"/>
    <cellStyle name="20% - Accent3 7 7 5 2" xfId="9464"/>
    <cellStyle name="20% - Accent3 7 7 5 2 2" xfId="17252"/>
    <cellStyle name="20% - Accent3 7 7 5 2 2 2" xfId="34875"/>
    <cellStyle name="20% - Accent3 7 7 5 2 3" xfId="27834"/>
    <cellStyle name="20% - Accent3 7 7 5 3" xfId="14040"/>
    <cellStyle name="20% - Accent3 7 7 5 3 2" xfId="31661"/>
    <cellStyle name="20% - Accent3 7 7 5 4" xfId="24973"/>
    <cellStyle name="20% - Accent3 7 7 6" xfId="6794"/>
    <cellStyle name="20% - Accent3 7 7 6 2" xfId="10001"/>
    <cellStyle name="20% - Accent3 7 7 6 2 2" xfId="17788"/>
    <cellStyle name="20% - Accent3 7 7 6 2 2 2" xfId="35411"/>
    <cellStyle name="20% - Accent3 7 7 6 2 3" xfId="28370"/>
    <cellStyle name="20% - Accent3 7 7 6 3" xfId="14576"/>
    <cellStyle name="20% - Accent3 7 7 6 3 2" xfId="32197"/>
    <cellStyle name="20% - Accent3 7 7 6 4" xfId="25510"/>
    <cellStyle name="20% - Accent3 7 7 7" xfId="7622"/>
    <cellStyle name="20% - Accent3 7 7 7 2" xfId="15413"/>
    <cellStyle name="20% - Accent3 7 7 7 2 2" xfId="33034"/>
    <cellStyle name="20% - Accent3 7 7 7 3" xfId="26041"/>
    <cellStyle name="20% - Accent3 7 7 8" xfId="11191"/>
    <cellStyle name="20% - Accent3 7 7 8 2" xfId="28905"/>
    <cellStyle name="20% - Accent3 7 7 9" xfId="23180"/>
    <cellStyle name="20% - Accent3 7 8" xfId="3627"/>
    <cellStyle name="20% - Accent3 7 8 2" xfId="8240"/>
    <cellStyle name="20% - Accent3 7 8 2 2" xfId="16030"/>
    <cellStyle name="20% - Accent3 7 8 2 2 2" xfId="33651"/>
    <cellStyle name="20% - Accent3 7 8 2 3" xfId="26640"/>
    <cellStyle name="20% - Accent3 7 8 3" xfId="12352"/>
    <cellStyle name="20% - Accent3 7 8 3 2" xfId="30009"/>
    <cellStyle name="20% - Accent3 7 8 4" xfId="23779"/>
    <cellStyle name="20% - Accent3 7 9" xfId="3628"/>
    <cellStyle name="20% - Accent3 7 9 2" xfId="8241"/>
    <cellStyle name="20% - Accent3 7 9 2 2" xfId="16031"/>
    <cellStyle name="20% - Accent3 7 9 2 2 2" xfId="33652"/>
    <cellStyle name="20% - Accent3 7 9 2 3" xfId="26641"/>
    <cellStyle name="20% - Accent3 7 9 3" xfId="12353"/>
    <cellStyle name="20% - Accent3 7 9 3 2" xfId="30010"/>
    <cellStyle name="20% - Accent3 7 9 4" xfId="23780"/>
    <cellStyle name="20% - Accent3 8" xfId="405"/>
    <cellStyle name="20% - Accent3 8 10" xfId="3629"/>
    <cellStyle name="20% - Accent3 8 10 2" xfId="8242"/>
    <cellStyle name="20% - Accent3 8 10 2 2" xfId="16032"/>
    <cellStyle name="20% - Accent3 8 10 2 2 2" xfId="33653"/>
    <cellStyle name="20% - Accent3 8 10 2 3" xfId="26642"/>
    <cellStyle name="20% - Accent3 8 10 3" xfId="12354"/>
    <cellStyle name="20% - Accent3 8 10 3 2" xfId="30011"/>
    <cellStyle name="20% - Accent3 8 10 4" xfId="23781"/>
    <cellStyle name="20% - Accent3 8 11" xfId="5628"/>
    <cellStyle name="20% - Accent3 8 11 2" xfId="8925"/>
    <cellStyle name="20% - Accent3 8 11 2 2" xfId="16714"/>
    <cellStyle name="20% - Accent3 8 11 2 2 2" xfId="34336"/>
    <cellStyle name="20% - Accent3 8 11 2 3" xfId="27299"/>
    <cellStyle name="20% - Accent3 8 11 3" xfId="13478"/>
    <cellStyle name="20% - Accent3 8 11 3 2" xfId="31104"/>
    <cellStyle name="20% - Accent3 8 11 4" xfId="24438"/>
    <cellStyle name="20% - Accent3 8 12" xfId="6258"/>
    <cellStyle name="20% - Accent3 8 12 2" xfId="9465"/>
    <cellStyle name="20% - Accent3 8 12 2 2" xfId="17253"/>
    <cellStyle name="20% - Accent3 8 12 2 2 2" xfId="34876"/>
    <cellStyle name="20% - Accent3 8 12 2 3" xfId="27835"/>
    <cellStyle name="20% - Accent3 8 12 3" xfId="14041"/>
    <cellStyle name="20% - Accent3 8 12 3 2" xfId="31662"/>
    <cellStyle name="20% - Accent3 8 12 4" xfId="24974"/>
    <cellStyle name="20% - Accent3 8 13" xfId="6795"/>
    <cellStyle name="20% - Accent3 8 13 2" xfId="10002"/>
    <cellStyle name="20% - Accent3 8 13 2 2" xfId="17789"/>
    <cellStyle name="20% - Accent3 8 13 2 2 2" xfId="35412"/>
    <cellStyle name="20% - Accent3 8 13 2 3" xfId="28371"/>
    <cellStyle name="20% - Accent3 8 13 3" xfId="14577"/>
    <cellStyle name="20% - Accent3 8 13 3 2" xfId="32198"/>
    <cellStyle name="20% - Accent3 8 13 4" xfId="25511"/>
    <cellStyle name="20% - Accent3 8 14" xfId="7623"/>
    <cellStyle name="20% - Accent3 8 14 2" xfId="15414"/>
    <cellStyle name="20% - Accent3 8 14 2 2" xfId="33035"/>
    <cellStyle name="20% - Accent3 8 14 3" xfId="26042"/>
    <cellStyle name="20% - Accent3 8 15" xfId="11192"/>
    <cellStyle name="20% - Accent3 8 15 2" xfId="28906"/>
    <cellStyle name="20% - Accent3 8 16" xfId="22047"/>
    <cellStyle name="20% - Accent3 8 16 2" xfId="38742"/>
    <cellStyle name="20% - Accent3 8 17" xfId="23181"/>
    <cellStyle name="20% - Accent3 8 18" xfId="51720"/>
    <cellStyle name="20% - Accent3 8 2" xfId="406"/>
    <cellStyle name="20% - Accent3 8 2 10" xfId="51721"/>
    <cellStyle name="20% - Accent3 8 2 2" xfId="3630"/>
    <cellStyle name="20% - Accent3 8 2 2 2" xfId="8243"/>
    <cellStyle name="20% - Accent3 8 2 2 2 2" xfId="16033"/>
    <cellStyle name="20% - Accent3 8 2 2 2 2 2" xfId="33654"/>
    <cellStyle name="20% - Accent3 8 2 2 2 3" xfId="26643"/>
    <cellStyle name="20% - Accent3 8 2 2 3" xfId="12355"/>
    <cellStyle name="20% - Accent3 8 2 2 3 2" xfId="30012"/>
    <cellStyle name="20% - Accent3 8 2 2 4" xfId="22706"/>
    <cellStyle name="20% - Accent3 8 2 2 4 2" xfId="38902"/>
    <cellStyle name="20% - Accent3 8 2 2 5" xfId="23782"/>
    <cellStyle name="20% - Accent3 8 2 3" xfId="5629"/>
    <cellStyle name="20% - Accent3 8 2 3 2" xfId="8926"/>
    <cellStyle name="20% - Accent3 8 2 3 2 2" xfId="16715"/>
    <cellStyle name="20% - Accent3 8 2 3 2 2 2" xfId="34337"/>
    <cellStyle name="20% - Accent3 8 2 3 2 3" xfId="27300"/>
    <cellStyle name="20% - Accent3 8 2 3 3" xfId="13479"/>
    <cellStyle name="20% - Accent3 8 2 3 3 2" xfId="31105"/>
    <cellStyle name="20% - Accent3 8 2 3 4" xfId="24439"/>
    <cellStyle name="20% - Accent3 8 2 4" xfId="6259"/>
    <cellStyle name="20% - Accent3 8 2 4 2" xfId="9466"/>
    <cellStyle name="20% - Accent3 8 2 4 2 2" xfId="17254"/>
    <cellStyle name="20% - Accent3 8 2 4 2 2 2" xfId="34877"/>
    <cellStyle name="20% - Accent3 8 2 4 2 3" xfId="27836"/>
    <cellStyle name="20% - Accent3 8 2 4 3" xfId="14042"/>
    <cellStyle name="20% - Accent3 8 2 4 3 2" xfId="31663"/>
    <cellStyle name="20% - Accent3 8 2 4 4" xfId="24975"/>
    <cellStyle name="20% - Accent3 8 2 5" xfId="6796"/>
    <cellStyle name="20% - Accent3 8 2 5 2" xfId="10003"/>
    <cellStyle name="20% - Accent3 8 2 5 2 2" xfId="17790"/>
    <cellStyle name="20% - Accent3 8 2 5 2 2 2" xfId="35413"/>
    <cellStyle name="20% - Accent3 8 2 5 2 3" xfId="28372"/>
    <cellStyle name="20% - Accent3 8 2 5 3" xfId="14578"/>
    <cellStyle name="20% - Accent3 8 2 5 3 2" xfId="32199"/>
    <cellStyle name="20% - Accent3 8 2 5 4" xfId="25512"/>
    <cellStyle name="20% - Accent3 8 2 6" xfId="7624"/>
    <cellStyle name="20% - Accent3 8 2 6 2" xfId="15415"/>
    <cellStyle name="20% - Accent3 8 2 6 2 2" xfId="33036"/>
    <cellStyle name="20% - Accent3 8 2 6 3" xfId="26043"/>
    <cellStyle name="20% - Accent3 8 2 7" xfId="11193"/>
    <cellStyle name="20% - Accent3 8 2 7 2" xfId="28907"/>
    <cellStyle name="20% - Accent3 8 2 8" xfId="22048"/>
    <cellStyle name="20% - Accent3 8 2 8 2" xfId="38743"/>
    <cellStyle name="20% - Accent3 8 2 9" xfId="23182"/>
    <cellStyle name="20% - Accent3 8 3" xfId="407"/>
    <cellStyle name="20% - Accent3 8 3 10" xfId="22705"/>
    <cellStyle name="20% - Accent3 8 3 10 2" xfId="38901"/>
    <cellStyle name="20% - Accent3 8 3 11" xfId="23183"/>
    <cellStyle name="20% - Accent3 8 3 12" xfId="51722"/>
    <cellStyle name="20% - Accent3 8 3 2" xfId="408"/>
    <cellStyle name="20% - Accent3 8 3 2 2" xfId="3632"/>
    <cellStyle name="20% - Accent3 8 3 2 2 2" xfId="8245"/>
    <cellStyle name="20% - Accent3 8 3 2 2 2 2" xfId="16035"/>
    <cellStyle name="20% - Accent3 8 3 2 2 2 2 2" xfId="33656"/>
    <cellStyle name="20% - Accent3 8 3 2 2 2 3" xfId="26645"/>
    <cellStyle name="20% - Accent3 8 3 2 2 3" xfId="12357"/>
    <cellStyle name="20% - Accent3 8 3 2 2 3 2" xfId="30014"/>
    <cellStyle name="20% - Accent3 8 3 2 2 4" xfId="23784"/>
    <cellStyle name="20% - Accent3 8 3 2 3" xfId="5631"/>
    <cellStyle name="20% - Accent3 8 3 2 3 2" xfId="8928"/>
    <cellStyle name="20% - Accent3 8 3 2 3 2 2" xfId="16717"/>
    <cellStyle name="20% - Accent3 8 3 2 3 2 2 2" xfId="34339"/>
    <cellStyle name="20% - Accent3 8 3 2 3 2 3" xfId="27302"/>
    <cellStyle name="20% - Accent3 8 3 2 3 3" xfId="13481"/>
    <cellStyle name="20% - Accent3 8 3 2 3 3 2" xfId="31107"/>
    <cellStyle name="20% - Accent3 8 3 2 3 4" xfId="24441"/>
    <cellStyle name="20% - Accent3 8 3 2 4" xfId="6261"/>
    <cellStyle name="20% - Accent3 8 3 2 4 2" xfId="9468"/>
    <cellStyle name="20% - Accent3 8 3 2 4 2 2" xfId="17256"/>
    <cellStyle name="20% - Accent3 8 3 2 4 2 2 2" xfId="34879"/>
    <cellStyle name="20% - Accent3 8 3 2 4 2 3" xfId="27838"/>
    <cellStyle name="20% - Accent3 8 3 2 4 3" xfId="14044"/>
    <cellStyle name="20% - Accent3 8 3 2 4 3 2" xfId="31665"/>
    <cellStyle name="20% - Accent3 8 3 2 4 4" xfId="24977"/>
    <cellStyle name="20% - Accent3 8 3 2 5" xfId="6798"/>
    <cellStyle name="20% - Accent3 8 3 2 5 2" xfId="10005"/>
    <cellStyle name="20% - Accent3 8 3 2 5 2 2" xfId="17792"/>
    <cellStyle name="20% - Accent3 8 3 2 5 2 2 2" xfId="35415"/>
    <cellStyle name="20% - Accent3 8 3 2 5 2 3" xfId="28374"/>
    <cellStyle name="20% - Accent3 8 3 2 5 3" xfId="14580"/>
    <cellStyle name="20% - Accent3 8 3 2 5 3 2" xfId="32201"/>
    <cellStyle name="20% - Accent3 8 3 2 5 4" xfId="25514"/>
    <cellStyle name="20% - Accent3 8 3 2 6" xfId="7626"/>
    <cellStyle name="20% - Accent3 8 3 2 6 2" xfId="15417"/>
    <cellStyle name="20% - Accent3 8 3 2 6 2 2" xfId="33038"/>
    <cellStyle name="20% - Accent3 8 3 2 6 3" xfId="26045"/>
    <cellStyle name="20% - Accent3 8 3 2 7" xfId="11195"/>
    <cellStyle name="20% - Accent3 8 3 2 7 2" xfId="28909"/>
    <cellStyle name="20% - Accent3 8 3 2 8" xfId="23184"/>
    <cellStyle name="20% - Accent3 8 3 2 9" xfId="51723"/>
    <cellStyle name="20% - Accent3 8 3 3" xfId="3633"/>
    <cellStyle name="20% - Accent3 8 3 3 2" xfId="5632"/>
    <cellStyle name="20% - Accent3 8 3 3 2 2" xfId="8929"/>
    <cellStyle name="20% - Accent3 8 3 3 2 2 2" xfId="16718"/>
    <cellStyle name="20% - Accent3 8 3 3 2 2 2 2" xfId="34340"/>
    <cellStyle name="20% - Accent3 8 3 3 2 2 3" xfId="27303"/>
    <cellStyle name="20% - Accent3 8 3 3 2 3" xfId="13482"/>
    <cellStyle name="20% - Accent3 8 3 3 2 3 2" xfId="31108"/>
    <cellStyle name="20% - Accent3 8 3 3 2 4" xfId="24442"/>
    <cellStyle name="20% - Accent3 8 3 3 3" xfId="6262"/>
    <cellStyle name="20% - Accent3 8 3 3 3 2" xfId="9469"/>
    <cellStyle name="20% - Accent3 8 3 3 3 2 2" xfId="17257"/>
    <cellStyle name="20% - Accent3 8 3 3 3 2 2 2" xfId="34880"/>
    <cellStyle name="20% - Accent3 8 3 3 3 2 3" xfId="27839"/>
    <cellStyle name="20% - Accent3 8 3 3 3 3" xfId="14045"/>
    <cellStyle name="20% - Accent3 8 3 3 3 3 2" xfId="31666"/>
    <cellStyle name="20% - Accent3 8 3 3 3 4" xfId="24978"/>
    <cellStyle name="20% - Accent3 8 3 3 4" xfId="6799"/>
    <cellStyle name="20% - Accent3 8 3 3 4 2" xfId="10006"/>
    <cellStyle name="20% - Accent3 8 3 3 4 2 2" xfId="17793"/>
    <cellStyle name="20% - Accent3 8 3 3 4 2 2 2" xfId="35416"/>
    <cellStyle name="20% - Accent3 8 3 3 4 2 3" xfId="28375"/>
    <cellStyle name="20% - Accent3 8 3 3 4 3" xfId="14581"/>
    <cellStyle name="20% - Accent3 8 3 3 4 3 2" xfId="32202"/>
    <cellStyle name="20% - Accent3 8 3 3 4 4" xfId="25515"/>
    <cellStyle name="20% - Accent3 8 3 3 5" xfId="8246"/>
    <cellStyle name="20% - Accent3 8 3 3 5 2" xfId="16036"/>
    <cellStyle name="20% - Accent3 8 3 3 5 2 2" xfId="33657"/>
    <cellStyle name="20% - Accent3 8 3 3 5 3" xfId="26646"/>
    <cellStyle name="20% - Accent3 8 3 3 6" xfId="12358"/>
    <cellStyle name="20% - Accent3 8 3 3 6 2" xfId="30015"/>
    <cellStyle name="20% - Accent3 8 3 3 7" xfId="23785"/>
    <cellStyle name="20% - Accent3 8 3 4" xfId="3631"/>
    <cellStyle name="20% - Accent3 8 3 4 2" xfId="8244"/>
    <cellStyle name="20% - Accent3 8 3 4 2 2" xfId="16034"/>
    <cellStyle name="20% - Accent3 8 3 4 2 2 2" xfId="33655"/>
    <cellStyle name="20% - Accent3 8 3 4 2 3" xfId="26644"/>
    <cellStyle name="20% - Accent3 8 3 4 3" xfId="12356"/>
    <cellStyle name="20% - Accent3 8 3 4 3 2" xfId="30013"/>
    <cellStyle name="20% - Accent3 8 3 4 4" xfId="23783"/>
    <cellStyle name="20% - Accent3 8 3 5" xfId="5630"/>
    <cellStyle name="20% - Accent3 8 3 5 2" xfId="8927"/>
    <cellStyle name="20% - Accent3 8 3 5 2 2" xfId="16716"/>
    <cellStyle name="20% - Accent3 8 3 5 2 2 2" xfId="34338"/>
    <cellStyle name="20% - Accent3 8 3 5 2 3" xfId="27301"/>
    <cellStyle name="20% - Accent3 8 3 5 3" xfId="13480"/>
    <cellStyle name="20% - Accent3 8 3 5 3 2" xfId="31106"/>
    <cellStyle name="20% - Accent3 8 3 5 4" xfId="24440"/>
    <cellStyle name="20% - Accent3 8 3 6" xfId="6260"/>
    <cellStyle name="20% - Accent3 8 3 6 2" xfId="9467"/>
    <cellStyle name="20% - Accent3 8 3 6 2 2" xfId="17255"/>
    <cellStyle name="20% - Accent3 8 3 6 2 2 2" xfId="34878"/>
    <cellStyle name="20% - Accent3 8 3 6 2 3" xfId="27837"/>
    <cellStyle name="20% - Accent3 8 3 6 3" xfId="14043"/>
    <cellStyle name="20% - Accent3 8 3 6 3 2" xfId="31664"/>
    <cellStyle name="20% - Accent3 8 3 6 4" xfId="24976"/>
    <cellStyle name="20% - Accent3 8 3 7" xfId="6797"/>
    <cellStyle name="20% - Accent3 8 3 7 2" xfId="10004"/>
    <cellStyle name="20% - Accent3 8 3 7 2 2" xfId="17791"/>
    <cellStyle name="20% - Accent3 8 3 7 2 2 2" xfId="35414"/>
    <cellStyle name="20% - Accent3 8 3 7 2 3" xfId="28373"/>
    <cellStyle name="20% - Accent3 8 3 7 3" xfId="14579"/>
    <cellStyle name="20% - Accent3 8 3 7 3 2" xfId="32200"/>
    <cellStyle name="20% - Accent3 8 3 7 4" xfId="25513"/>
    <cellStyle name="20% - Accent3 8 3 8" xfId="7625"/>
    <cellStyle name="20% - Accent3 8 3 8 2" xfId="15416"/>
    <cellStyle name="20% - Accent3 8 3 8 2 2" xfId="33037"/>
    <cellStyle name="20% - Accent3 8 3 8 3" xfId="26044"/>
    <cellStyle name="20% - Accent3 8 3 9" xfId="11194"/>
    <cellStyle name="20% - Accent3 8 3 9 2" xfId="28908"/>
    <cellStyle name="20% - Accent3 8 4" xfId="409"/>
    <cellStyle name="20% - Accent3 8 4 2" xfId="3634"/>
    <cellStyle name="20% - Accent3 8 4 2 2" xfId="8247"/>
    <cellStyle name="20% - Accent3 8 4 2 2 2" xfId="16037"/>
    <cellStyle name="20% - Accent3 8 4 2 2 2 2" xfId="33658"/>
    <cellStyle name="20% - Accent3 8 4 2 2 3" xfId="26647"/>
    <cellStyle name="20% - Accent3 8 4 2 3" xfId="12359"/>
    <cellStyle name="20% - Accent3 8 4 2 3 2" xfId="30016"/>
    <cellStyle name="20% - Accent3 8 4 2 4" xfId="23786"/>
    <cellStyle name="20% - Accent3 8 4 3" xfId="5633"/>
    <cellStyle name="20% - Accent3 8 4 3 2" xfId="8930"/>
    <cellStyle name="20% - Accent3 8 4 3 2 2" xfId="16719"/>
    <cellStyle name="20% - Accent3 8 4 3 2 2 2" xfId="34341"/>
    <cellStyle name="20% - Accent3 8 4 3 2 3" xfId="27304"/>
    <cellStyle name="20% - Accent3 8 4 3 3" xfId="13483"/>
    <cellStyle name="20% - Accent3 8 4 3 3 2" xfId="31109"/>
    <cellStyle name="20% - Accent3 8 4 3 4" xfId="24443"/>
    <cellStyle name="20% - Accent3 8 4 4" xfId="6263"/>
    <cellStyle name="20% - Accent3 8 4 4 2" xfId="9470"/>
    <cellStyle name="20% - Accent3 8 4 4 2 2" xfId="17258"/>
    <cellStyle name="20% - Accent3 8 4 4 2 2 2" xfId="34881"/>
    <cellStyle name="20% - Accent3 8 4 4 2 3" xfId="27840"/>
    <cellStyle name="20% - Accent3 8 4 4 3" xfId="14046"/>
    <cellStyle name="20% - Accent3 8 4 4 3 2" xfId="31667"/>
    <cellStyle name="20% - Accent3 8 4 4 4" xfId="24979"/>
    <cellStyle name="20% - Accent3 8 4 5" xfId="6800"/>
    <cellStyle name="20% - Accent3 8 4 5 2" xfId="10007"/>
    <cellStyle name="20% - Accent3 8 4 5 2 2" xfId="17794"/>
    <cellStyle name="20% - Accent3 8 4 5 2 2 2" xfId="35417"/>
    <cellStyle name="20% - Accent3 8 4 5 2 3" xfId="28376"/>
    <cellStyle name="20% - Accent3 8 4 5 3" xfId="14582"/>
    <cellStyle name="20% - Accent3 8 4 5 3 2" xfId="32203"/>
    <cellStyle name="20% - Accent3 8 4 5 4" xfId="25516"/>
    <cellStyle name="20% - Accent3 8 4 6" xfId="7627"/>
    <cellStyle name="20% - Accent3 8 4 6 2" xfId="15418"/>
    <cellStyle name="20% - Accent3 8 4 6 2 2" xfId="33039"/>
    <cellStyle name="20% - Accent3 8 4 6 3" xfId="26046"/>
    <cellStyle name="20% - Accent3 8 4 7" xfId="11196"/>
    <cellStyle name="20% - Accent3 8 4 7 2" xfId="28910"/>
    <cellStyle name="20% - Accent3 8 4 8" xfId="23185"/>
    <cellStyle name="20% - Accent3 8 4 9" xfId="51724"/>
    <cellStyle name="20% - Accent3 8 5" xfId="410"/>
    <cellStyle name="20% - Accent3 8 5 2" xfId="3635"/>
    <cellStyle name="20% - Accent3 8 5 2 2" xfId="8248"/>
    <cellStyle name="20% - Accent3 8 5 2 2 2" xfId="16038"/>
    <cellStyle name="20% - Accent3 8 5 2 2 2 2" xfId="33659"/>
    <cellStyle name="20% - Accent3 8 5 2 2 3" xfId="26648"/>
    <cellStyle name="20% - Accent3 8 5 2 3" xfId="12360"/>
    <cellStyle name="20% - Accent3 8 5 2 3 2" xfId="30017"/>
    <cellStyle name="20% - Accent3 8 5 2 4" xfId="23787"/>
    <cellStyle name="20% - Accent3 8 5 3" xfId="5634"/>
    <cellStyle name="20% - Accent3 8 5 3 2" xfId="8931"/>
    <cellStyle name="20% - Accent3 8 5 3 2 2" xfId="16720"/>
    <cellStyle name="20% - Accent3 8 5 3 2 2 2" xfId="34342"/>
    <cellStyle name="20% - Accent3 8 5 3 2 3" xfId="27305"/>
    <cellStyle name="20% - Accent3 8 5 3 3" xfId="13484"/>
    <cellStyle name="20% - Accent3 8 5 3 3 2" xfId="31110"/>
    <cellStyle name="20% - Accent3 8 5 3 4" xfId="24444"/>
    <cellStyle name="20% - Accent3 8 5 4" xfId="6264"/>
    <cellStyle name="20% - Accent3 8 5 4 2" xfId="9471"/>
    <cellStyle name="20% - Accent3 8 5 4 2 2" xfId="17259"/>
    <cellStyle name="20% - Accent3 8 5 4 2 2 2" xfId="34882"/>
    <cellStyle name="20% - Accent3 8 5 4 2 3" xfId="27841"/>
    <cellStyle name="20% - Accent3 8 5 4 3" xfId="14047"/>
    <cellStyle name="20% - Accent3 8 5 4 3 2" xfId="31668"/>
    <cellStyle name="20% - Accent3 8 5 4 4" xfId="24980"/>
    <cellStyle name="20% - Accent3 8 5 5" xfId="6801"/>
    <cellStyle name="20% - Accent3 8 5 5 2" xfId="10008"/>
    <cellStyle name="20% - Accent3 8 5 5 2 2" xfId="17795"/>
    <cellStyle name="20% - Accent3 8 5 5 2 2 2" xfId="35418"/>
    <cellStyle name="20% - Accent3 8 5 5 2 3" xfId="28377"/>
    <cellStyle name="20% - Accent3 8 5 5 3" xfId="14583"/>
    <cellStyle name="20% - Accent3 8 5 5 3 2" xfId="32204"/>
    <cellStyle name="20% - Accent3 8 5 5 4" xfId="25517"/>
    <cellStyle name="20% - Accent3 8 5 6" xfId="7628"/>
    <cellStyle name="20% - Accent3 8 5 6 2" xfId="15419"/>
    <cellStyle name="20% - Accent3 8 5 6 2 2" xfId="33040"/>
    <cellStyle name="20% - Accent3 8 5 6 3" xfId="26047"/>
    <cellStyle name="20% - Accent3 8 5 7" xfId="11197"/>
    <cellStyle name="20% - Accent3 8 5 7 2" xfId="28911"/>
    <cellStyle name="20% - Accent3 8 5 8" xfId="23186"/>
    <cellStyle name="20% - Accent3 8 5 9" xfId="51725"/>
    <cellStyle name="20% - Accent3 8 6" xfId="411"/>
    <cellStyle name="20% - Accent3 8 6 2" xfId="3636"/>
    <cellStyle name="20% - Accent3 8 6 2 2" xfId="8249"/>
    <cellStyle name="20% - Accent3 8 6 2 2 2" xfId="16039"/>
    <cellStyle name="20% - Accent3 8 6 2 2 2 2" xfId="33660"/>
    <cellStyle name="20% - Accent3 8 6 2 2 3" xfId="26649"/>
    <cellStyle name="20% - Accent3 8 6 2 3" xfId="12361"/>
    <cellStyle name="20% - Accent3 8 6 2 3 2" xfId="30018"/>
    <cellStyle name="20% - Accent3 8 6 2 4" xfId="23788"/>
    <cellStyle name="20% - Accent3 8 6 3" xfId="5635"/>
    <cellStyle name="20% - Accent3 8 6 3 2" xfId="8932"/>
    <cellStyle name="20% - Accent3 8 6 3 2 2" xfId="16721"/>
    <cellStyle name="20% - Accent3 8 6 3 2 2 2" xfId="34343"/>
    <cellStyle name="20% - Accent3 8 6 3 2 3" xfId="27306"/>
    <cellStyle name="20% - Accent3 8 6 3 3" xfId="13485"/>
    <cellStyle name="20% - Accent3 8 6 3 3 2" xfId="31111"/>
    <cellStyle name="20% - Accent3 8 6 3 4" xfId="24445"/>
    <cellStyle name="20% - Accent3 8 6 4" xfId="6265"/>
    <cellStyle name="20% - Accent3 8 6 4 2" xfId="9472"/>
    <cellStyle name="20% - Accent3 8 6 4 2 2" xfId="17260"/>
    <cellStyle name="20% - Accent3 8 6 4 2 2 2" xfId="34883"/>
    <cellStyle name="20% - Accent3 8 6 4 2 3" xfId="27842"/>
    <cellStyle name="20% - Accent3 8 6 4 3" xfId="14048"/>
    <cellStyle name="20% - Accent3 8 6 4 3 2" xfId="31669"/>
    <cellStyle name="20% - Accent3 8 6 4 4" xfId="24981"/>
    <cellStyle name="20% - Accent3 8 6 5" xfId="6802"/>
    <cellStyle name="20% - Accent3 8 6 5 2" xfId="10009"/>
    <cellStyle name="20% - Accent3 8 6 5 2 2" xfId="17796"/>
    <cellStyle name="20% - Accent3 8 6 5 2 2 2" xfId="35419"/>
    <cellStyle name="20% - Accent3 8 6 5 2 3" xfId="28378"/>
    <cellStyle name="20% - Accent3 8 6 5 3" xfId="14584"/>
    <cellStyle name="20% - Accent3 8 6 5 3 2" xfId="32205"/>
    <cellStyle name="20% - Accent3 8 6 5 4" xfId="25518"/>
    <cellStyle name="20% - Accent3 8 6 6" xfId="7629"/>
    <cellStyle name="20% - Accent3 8 6 6 2" xfId="15420"/>
    <cellStyle name="20% - Accent3 8 6 6 2 2" xfId="33041"/>
    <cellStyle name="20% - Accent3 8 6 6 3" xfId="26048"/>
    <cellStyle name="20% - Accent3 8 6 7" xfId="11198"/>
    <cellStyle name="20% - Accent3 8 6 7 2" xfId="28912"/>
    <cellStyle name="20% - Accent3 8 6 8" xfId="23187"/>
    <cellStyle name="20% - Accent3 8 6 9" xfId="51726"/>
    <cellStyle name="20% - Accent3 8 7" xfId="412"/>
    <cellStyle name="20% - Accent3 8 7 10" xfId="51727"/>
    <cellStyle name="20% - Accent3 8 7 2" xfId="413"/>
    <cellStyle name="20% - Accent3 8 7 2 2" xfId="8251"/>
    <cellStyle name="20% - Accent3 8 7 2 2 2" xfId="16041"/>
    <cellStyle name="20% - Accent3 8 7 2 2 2 2" xfId="33662"/>
    <cellStyle name="20% - Accent3 8 7 2 2 3" xfId="26651"/>
    <cellStyle name="20% - Accent3 8 7 2 3" xfId="12363"/>
    <cellStyle name="20% - Accent3 8 7 2 3 2" xfId="30020"/>
    <cellStyle name="20% - Accent3 8 7 2 4" xfId="23790"/>
    <cellStyle name="20% - Accent3 8 7 3" xfId="3637"/>
    <cellStyle name="20% - Accent3 8 7 3 2" xfId="8250"/>
    <cellStyle name="20% - Accent3 8 7 3 2 2" xfId="16040"/>
    <cellStyle name="20% - Accent3 8 7 3 2 2 2" xfId="33661"/>
    <cellStyle name="20% - Accent3 8 7 3 2 3" xfId="26650"/>
    <cellStyle name="20% - Accent3 8 7 3 3" xfId="12362"/>
    <cellStyle name="20% - Accent3 8 7 3 3 2" xfId="30019"/>
    <cellStyle name="20% - Accent3 8 7 3 4" xfId="23789"/>
    <cellStyle name="20% - Accent3 8 7 4" xfId="5636"/>
    <cellStyle name="20% - Accent3 8 7 4 2" xfId="8933"/>
    <cellStyle name="20% - Accent3 8 7 4 2 2" xfId="16722"/>
    <cellStyle name="20% - Accent3 8 7 4 2 2 2" xfId="34344"/>
    <cellStyle name="20% - Accent3 8 7 4 2 3" xfId="27307"/>
    <cellStyle name="20% - Accent3 8 7 4 3" xfId="13486"/>
    <cellStyle name="20% - Accent3 8 7 4 3 2" xfId="31112"/>
    <cellStyle name="20% - Accent3 8 7 4 4" xfId="24446"/>
    <cellStyle name="20% - Accent3 8 7 5" xfId="6266"/>
    <cellStyle name="20% - Accent3 8 7 5 2" xfId="9473"/>
    <cellStyle name="20% - Accent3 8 7 5 2 2" xfId="17261"/>
    <cellStyle name="20% - Accent3 8 7 5 2 2 2" xfId="34884"/>
    <cellStyle name="20% - Accent3 8 7 5 2 3" xfId="27843"/>
    <cellStyle name="20% - Accent3 8 7 5 3" xfId="14049"/>
    <cellStyle name="20% - Accent3 8 7 5 3 2" xfId="31670"/>
    <cellStyle name="20% - Accent3 8 7 5 4" xfId="24982"/>
    <cellStyle name="20% - Accent3 8 7 6" xfId="6803"/>
    <cellStyle name="20% - Accent3 8 7 6 2" xfId="10010"/>
    <cellStyle name="20% - Accent3 8 7 6 2 2" xfId="17797"/>
    <cellStyle name="20% - Accent3 8 7 6 2 2 2" xfId="35420"/>
    <cellStyle name="20% - Accent3 8 7 6 2 3" xfId="28379"/>
    <cellStyle name="20% - Accent3 8 7 6 3" xfId="14585"/>
    <cellStyle name="20% - Accent3 8 7 6 3 2" xfId="32206"/>
    <cellStyle name="20% - Accent3 8 7 6 4" xfId="25519"/>
    <cellStyle name="20% - Accent3 8 7 7" xfId="7630"/>
    <cellStyle name="20% - Accent3 8 7 7 2" xfId="15421"/>
    <cellStyle name="20% - Accent3 8 7 7 2 2" xfId="33042"/>
    <cellStyle name="20% - Accent3 8 7 7 3" xfId="26049"/>
    <cellStyle name="20% - Accent3 8 7 8" xfId="11199"/>
    <cellStyle name="20% - Accent3 8 7 8 2" xfId="28913"/>
    <cellStyle name="20% - Accent3 8 7 9" xfId="23188"/>
    <cellStyle name="20% - Accent3 8 8" xfId="3638"/>
    <cellStyle name="20% - Accent3 8 8 2" xfId="8252"/>
    <cellStyle name="20% - Accent3 8 8 2 2" xfId="16042"/>
    <cellStyle name="20% - Accent3 8 8 2 2 2" xfId="33663"/>
    <cellStyle name="20% - Accent3 8 8 2 3" xfId="26652"/>
    <cellStyle name="20% - Accent3 8 8 3" xfId="12364"/>
    <cellStyle name="20% - Accent3 8 8 3 2" xfId="30021"/>
    <cellStyle name="20% - Accent3 8 8 4" xfId="23791"/>
    <cellStyle name="20% - Accent3 8 9" xfId="3639"/>
    <cellStyle name="20% - Accent3 8 9 2" xfId="8253"/>
    <cellStyle name="20% - Accent3 8 9 2 2" xfId="16043"/>
    <cellStyle name="20% - Accent3 8 9 2 2 2" xfId="33664"/>
    <cellStyle name="20% - Accent3 8 9 2 3" xfId="26653"/>
    <cellStyle name="20% - Accent3 8 9 3" xfId="12365"/>
    <cellStyle name="20% - Accent3 8 9 3 2" xfId="30022"/>
    <cellStyle name="20% - Accent3 8 9 4" xfId="23792"/>
    <cellStyle name="20% - Accent3 9" xfId="414"/>
    <cellStyle name="20% - Accent3 9 10" xfId="3640"/>
    <cellStyle name="20% - Accent3 9 10 2" xfId="8254"/>
    <cellStyle name="20% - Accent3 9 10 2 2" xfId="16044"/>
    <cellStyle name="20% - Accent3 9 10 2 2 2" xfId="33665"/>
    <cellStyle name="20% - Accent3 9 10 2 3" xfId="26654"/>
    <cellStyle name="20% - Accent3 9 10 3" xfId="12366"/>
    <cellStyle name="20% - Accent3 9 10 3 2" xfId="30023"/>
    <cellStyle name="20% - Accent3 9 10 4" xfId="23793"/>
    <cellStyle name="20% - Accent3 9 11" xfId="5637"/>
    <cellStyle name="20% - Accent3 9 11 2" xfId="8934"/>
    <cellStyle name="20% - Accent3 9 11 2 2" xfId="16723"/>
    <cellStyle name="20% - Accent3 9 11 2 2 2" xfId="34345"/>
    <cellStyle name="20% - Accent3 9 11 2 3" xfId="27308"/>
    <cellStyle name="20% - Accent3 9 11 3" xfId="13487"/>
    <cellStyle name="20% - Accent3 9 11 3 2" xfId="31113"/>
    <cellStyle name="20% - Accent3 9 11 4" xfId="24447"/>
    <cellStyle name="20% - Accent3 9 12" xfId="6267"/>
    <cellStyle name="20% - Accent3 9 12 2" xfId="9474"/>
    <cellStyle name="20% - Accent3 9 12 2 2" xfId="17262"/>
    <cellStyle name="20% - Accent3 9 12 2 2 2" xfId="34885"/>
    <cellStyle name="20% - Accent3 9 12 2 3" xfId="27844"/>
    <cellStyle name="20% - Accent3 9 12 3" xfId="14050"/>
    <cellStyle name="20% - Accent3 9 12 3 2" xfId="31671"/>
    <cellStyle name="20% - Accent3 9 12 4" xfId="24983"/>
    <cellStyle name="20% - Accent3 9 13" xfId="6804"/>
    <cellStyle name="20% - Accent3 9 13 2" xfId="10011"/>
    <cellStyle name="20% - Accent3 9 13 2 2" xfId="17798"/>
    <cellStyle name="20% - Accent3 9 13 2 2 2" xfId="35421"/>
    <cellStyle name="20% - Accent3 9 13 2 3" xfId="28380"/>
    <cellStyle name="20% - Accent3 9 13 3" xfId="14586"/>
    <cellStyle name="20% - Accent3 9 13 3 2" xfId="32207"/>
    <cellStyle name="20% - Accent3 9 13 4" xfId="25520"/>
    <cellStyle name="20% - Accent3 9 14" xfId="7631"/>
    <cellStyle name="20% - Accent3 9 14 2" xfId="15422"/>
    <cellStyle name="20% - Accent3 9 14 2 2" xfId="33043"/>
    <cellStyle name="20% - Accent3 9 14 3" xfId="26050"/>
    <cellStyle name="20% - Accent3 9 15" xfId="11200"/>
    <cellStyle name="20% - Accent3 9 15 2" xfId="28914"/>
    <cellStyle name="20% - Accent3 9 16" xfId="22049"/>
    <cellStyle name="20% - Accent3 9 16 2" xfId="38744"/>
    <cellStyle name="20% - Accent3 9 17" xfId="23189"/>
    <cellStyle name="20% - Accent3 9 18" xfId="51728"/>
    <cellStyle name="20% - Accent3 9 2" xfId="415"/>
    <cellStyle name="20% - Accent3 9 2 10" xfId="51729"/>
    <cellStyle name="20% - Accent3 9 2 2" xfId="3641"/>
    <cellStyle name="20% - Accent3 9 2 2 2" xfId="8255"/>
    <cellStyle name="20% - Accent3 9 2 2 2 2" xfId="16045"/>
    <cellStyle name="20% - Accent3 9 2 2 2 2 2" xfId="33666"/>
    <cellStyle name="20% - Accent3 9 2 2 2 3" xfId="26655"/>
    <cellStyle name="20% - Accent3 9 2 2 3" xfId="12367"/>
    <cellStyle name="20% - Accent3 9 2 2 3 2" xfId="30024"/>
    <cellStyle name="20% - Accent3 9 2 2 4" xfId="23794"/>
    <cellStyle name="20% - Accent3 9 2 3" xfId="5638"/>
    <cellStyle name="20% - Accent3 9 2 3 2" xfId="8935"/>
    <cellStyle name="20% - Accent3 9 2 3 2 2" xfId="16724"/>
    <cellStyle name="20% - Accent3 9 2 3 2 2 2" xfId="34346"/>
    <cellStyle name="20% - Accent3 9 2 3 2 3" xfId="27309"/>
    <cellStyle name="20% - Accent3 9 2 3 3" xfId="13488"/>
    <cellStyle name="20% - Accent3 9 2 3 3 2" xfId="31114"/>
    <cellStyle name="20% - Accent3 9 2 3 4" xfId="24448"/>
    <cellStyle name="20% - Accent3 9 2 4" xfId="6268"/>
    <cellStyle name="20% - Accent3 9 2 4 2" xfId="9475"/>
    <cellStyle name="20% - Accent3 9 2 4 2 2" xfId="17263"/>
    <cellStyle name="20% - Accent3 9 2 4 2 2 2" xfId="34886"/>
    <cellStyle name="20% - Accent3 9 2 4 2 3" xfId="27845"/>
    <cellStyle name="20% - Accent3 9 2 4 3" xfId="14051"/>
    <cellStyle name="20% - Accent3 9 2 4 3 2" xfId="31672"/>
    <cellStyle name="20% - Accent3 9 2 4 4" xfId="24984"/>
    <cellStyle name="20% - Accent3 9 2 5" xfId="6805"/>
    <cellStyle name="20% - Accent3 9 2 5 2" xfId="10012"/>
    <cellStyle name="20% - Accent3 9 2 5 2 2" xfId="17799"/>
    <cellStyle name="20% - Accent3 9 2 5 2 2 2" xfId="35422"/>
    <cellStyle name="20% - Accent3 9 2 5 2 3" xfId="28381"/>
    <cellStyle name="20% - Accent3 9 2 5 3" xfId="14587"/>
    <cellStyle name="20% - Accent3 9 2 5 3 2" xfId="32208"/>
    <cellStyle name="20% - Accent3 9 2 5 4" xfId="25521"/>
    <cellStyle name="20% - Accent3 9 2 6" xfId="7632"/>
    <cellStyle name="20% - Accent3 9 2 6 2" xfId="15423"/>
    <cellStyle name="20% - Accent3 9 2 6 2 2" xfId="33044"/>
    <cellStyle name="20% - Accent3 9 2 6 3" xfId="26051"/>
    <cellStyle name="20% - Accent3 9 2 7" xfId="11201"/>
    <cellStyle name="20% - Accent3 9 2 7 2" xfId="28915"/>
    <cellStyle name="20% - Accent3 9 2 8" xfId="22707"/>
    <cellStyle name="20% - Accent3 9 2 8 2" xfId="38903"/>
    <cellStyle name="20% - Accent3 9 2 9" xfId="23190"/>
    <cellStyle name="20% - Accent3 9 3" xfId="416"/>
    <cellStyle name="20% - Accent3 9 3 10" xfId="23191"/>
    <cellStyle name="20% - Accent3 9 3 11" xfId="51730"/>
    <cellStyle name="20% - Accent3 9 3 2" xfId="417"/>
    <cellStyle name="20% - Accent3 9 3 2 2" xfId="3643"/>
    <cellStyle name="20% - Accent3 9 3 2 2 2" xfId="8257"/>
    <cellStyle name="20% - Accent3 9 3 2 2 2 2" xfId="16047"/>
    <cellStyle name="20% - Accent3 9 3 2 2 2 2 2" xfId="33668"/>
    <cellStyle name="20% - Accent3 9 3 2 2 2 3" xfId="26657"/>
    <cellStyle name="20% - Accent3 9 3 2 2 3" xfId="12369"/>
    <cellStyle name="20% - Accent3 9 3 2 2 3 2" xfId="30026"/>
    <cellStyle name="20% - Accent3 9 3 2 2 4" xfId="23796"/>
    <cellStyle name="20% - Accent3 9 3 2 3" xfId="5640"/>
    <cellStyle name="20% - Accent3 9 3 2 3 2" xfId="8937"/>
    <cellStyle name="20% - Accent3 9 3 2 3 2 2" xfId="16726"/>
    <cellStyle name="20% - Accent3 9 3 2 3 2 2 2" xfId="34348"/>
    <cellStyle name="20% - Accent3 9 3 2 3 2 3" xfId="27311"/>
    <cellStyle name="20% - Accent3 9 3 2 3 3" xfId="13490"/>
    <cellStyle name="20% - Accent3 9 3 2 3 3 2" xfId="31116"/>
    <cellStyle name="20% - Accent3 9 3 2 3 4" xfId="24450"/>
    <cellStyle name="20% - Accent3 9 3 2 4" xfId="6270"/>
    <cellStyle name="20% - Accent3 9 3 2 4 2" xfId="9477"/>
    <cellStyle name="20% - Accent3 9 3 2 4 2 2" xfId="17265"/>
    <cellStyle name="20% - Accent3 9 3 2 4 2 2 2" xfId="34888"/>
    <cellStyle name="20% - Accent3 9 3 2 4 2 3" xfId="27847"/>
    <cellStyle name="20% - Accent3 9 3 2 4 3" xfId="14053"/>
    <cellStyle name="20% - Accent3 9 3 2 4 3 2" xfId="31674"/>
    <cellStyle name="20% - Accent3 9 3 2 4 4" xfId="24986"/>
    <cellStyle name="20% - Accent3 9 3 2 5" xfId="6807"/>
    <cellStyle name="20% - Accent3 9 3 2 5 2" xfId="10014"/>
    <cellStyle name="20% - Accent3 9 3 2 5 2 2" xfId="17801"/>
    <cellStyle name="20% - Accent3 9 3 2 5 2 2 2" xfId="35424"/>
    <cellStyle name="20% - Accent3 9 3 2 5 2 3" xfId="28383"/>
    <cellStyle name="20% - Accent3 9 3 2 5 3" xfId="14589"/>
    <cellStyle name="20% - Accent3 9 3 2 5 3 2" xfId="32210"/>
    <cellStyle name="20% - Accent3 9 3 2 5 4" xfId="25523"/>
    <cellStyle name="20% - Accent3 9 3 2 6" xfId="7634"/>
    <cellStyle name="20% - Accent3 9 3 2 6 2" xfId="15425"/>
    <cellStyle name="20% - Accent3 9 3 2 6 2 2" xfId="33046"/>
    <cellStyle name="20% - Accent3 9 3 2 6 3" xfId="26053"/>
    <cellStyle name="20% - Accent3 9 3 2 7" xfId="11203"/>
    <cellStyle name="20% - Accent3 9 3 2 7 2" xfId="28917"/>
    <cellStyle name="20% - Accent3 9 3 2 8" xfId="23192"/>
    <cellStyle name="20% - Accent3 9 3 2 9" xfId="51731"/>
    <cellStyle name="20% - Accent3 9 3 3" xfId="3644"/>
    <cellStyle name="20% - Accent3 9 3 3 2" xfId="5641"/>
    <cellStyle name="20% - Accent3 9 3 3 2 2" xfId="8938"/>
    <cellStyle name="20% - Accent3 9 3 3 2 2 2" xfId="16727"/>
    <cellStyle name="20% - Accent3 9 3 3 2 2 2 2" xfId="34349"/>
    <cellStyle name="20% - Accent3 9 3 3 2 2 3" xfId="27312"/>
    <cellStyle name="20% - Accent3 9 3 3 2 3" xfId="13491"/>
    <cellStyle name="20% - Accent3 9 3 3 2 3 2" xfId="31117"/>
    <cellStyle name="20% - Accent3 9 3 3 2 4" xfId="24451"/>
    <cellStyle name="20% - Accent3 9 3 3 3" xfId="6271"/>
    <cellStyle name="20% - Accent3 9 3 3 3 2" xfId="9478"/>
    <cellStyle name="20% - Accent3 9 3 3 3 2 2" xfId="17266"/>
    <cellStyle name="20% - Accent3 9 3 3 3 2 2 2" xfId="34889"/>
    <cellStyle name="20% - Accent3 9 3 3 3 2 3" xfId="27848"/>
    <cellStyle name="20% - Accent3 9 3 3 3 3" xfId="14054"/>
    <cellStyle name="20% - Accent3 9 3 3 3 3 2" xfId="31675"/>
    <cellStyle name="20% - Accent3 9 3 3 3 4" xfId="24987"/>
    <cellStyle name="20% - Accent3 9 3 3 4" xfId="6808"/>
    <cellStyle name="20% - Accent3 9 3 3 4 2" xfId="10015"/>
    <cellStyle name="20% - Accent3 9 3 3 4 2 2" xfId="17802"/>
    <cellStyle name="20% - Accent3 9 3 3 4 2 2 2" xfId="35425"/>
    <cellStyle name="20% - Accent3 9 3 3 4 2 3" xfId="28384"/>
    <cellStyle name="20% - Accent3 9 3 3 4 3" xfId="14590"/>
    <cellStyle name="20% - Accent3 9 3 3 4 3 2" xfId="32211"/>
    <cellStyle name="20% - Accent3 9 3 3 4 4" xfId="25524"/>
    <cellStyle name="20% - Accent3 9 3 3 5" xfId="8258"/>
    <cellStyle name="20% - Accent3 9 3 3 5 2" xfId="16048"/>
    <cellStyle name="20% - Accent3 9 3 3 5 2 2" xfId="33669"/>
    <cellStyle name="20% - Accent3 9 3 3 5 3" xfId="26658"/>
    <cellStyle name="20% - Accent3 9 3 3 6" xfId="12370"/>
    <cellStyle name="20% - Accent3 9 3 3 6 2" xfId="30027"/>
    <cellStyle name="20% - Accent3 9 3 3 7" xfId="23797"/>
    <cellStyle name="20% - Accent3 9 3 4" xfId="3642"/>
    <cellStyle name="20% - Accent3 9 3 4 2" xfId="8256"/>
    <cellStyle name="20% - Accent3 9 3 4 2 2" xfId="16046"/>
    <cellStyle name="20% - Accent3 9 3 4 2 2 2" xfId="33667"/>
    <cellStyle name="20% - Accent3 9 3 4 2 3" xfId="26656"/>
    <cellStyle name="20% - Accent3 9 3 4 3" xfId="12368"/>
    <cellStyle name="20% - Accent3 9 3 4 3 2" xfId="30025"/>
    <cellStyle name="20% - Accent3 9 3 4 4" xfId="23795"/>
    <cellStyle name="20% - Accent3 9 3 5" xfId="5639"/>
    <cellStyle name="20% - Accent3 9 3 5 2" xfId="8936"/>
    <cellStyle name="20% - Accent3 9 3 5 2 2" xfId="16725"/>
    <cellStyle name="20% - Accent3 9 3 5 2 2 2" xfId="34347"/>
    <cellStyle name="20% - Accent3 9 3 5 2 3" xfId="27310"/>
    <cellStyle name="20% - Accent3 9 3 5 3" xfId="13489"/>
    <cellStyle name="20% - Accent3 9 3 5 3 2" xfId="31115"/>
    <cellStyle name="20% - Accent3 9 3 5 4" xfId="24449"/>
    <cellStyle name="20% - Accent3 9 3 6" xfId="6269"/>
    <cellStyle name="20% - Accent3 9 3 6 2" xfId="9476"/>
    <cellStyle name="20% - Accent3 9 3 6 2 2" xfId="17264"/>
    <cellStyle name="20% - Accent3 9 3 6 2 2 2" xfId="34887"/>
    <cellStyle name="20% - Accent3 9 3 6 2 3" xfId="27846"/>
    <cellStyle name="20% - Accent3 9 3 6 3" xfId="14052"/>
    <cellStyle name="20% - Accent3 9 3 6 3 2" xfId="31673"/>
    <cellStyle name="20% - Accent3 9 3 6 4" xfId="24985"/>
    <cellStyle name="20% - Accent3 9 3 7" xfId="6806"/>
    <cellStyle name="20% - Accent3 9 3 7 2" xfId="10013"/>
    <cellStyle name="20% - Accent3 9 3 7 2 2" xfId="17800"/>
    <cellStyle name="20% - Accent3 9 3 7 2 2 2" xfId="35423"/>
    <cellStyle name="20% - Accent3 9 3 7 2 3" xfId="28382"/>
    <cellStyle name="20% - Accent3 9 3 7 3" xfId="14588"/>
    <cellStyle name="20% - Accent3 9 3 7 3 2" xfId="32209"/>
    <cellStyle name="20% - Accent3 9 3 7 4" xfId="25522"/>
    <cellStyle name="20% - Accent3 9 3 8" xfId="7633"/>
    <cellStyle name="20% - Accent3 9 3 8 2" xfId="15424"/>
    <cellStyle name="20% - Accent3 9 3 8 2 2" xfId="33045"/>
    <cellStyle name="20% - Accent3 9 3 8 3" xfId="26052"/>
    <cellStyle name="20% - Accent3 9 3 9" xfId="11202"/>
    <cellStyle name="20% - Accent3 9 3 9 2" xfId="28916"/>
    <cellStyle name="20% - Accent3 9 4" xfId="418"/>
    <cellStyle name="20% - Accent3 9 4 2" xfId="3645"/>
    <cellStyle name="20% - Accent3 9 4 2 2" xfId="8259"/>
    <cellStyle name="20% - Accent3 9 4 2 2 2" xfId="16049"/>
    <cellStyle name="20% - Accent3 9 4 2 2 2 2" xfId="33670"/>
    <cellStyle name="20% - Accent3 9 4 2 2 3" xfId="26659"/>
    <cellStyle name="20% - Accent3 9 4 2 3" xfId="12371"/>
    <cellStyle name="20% - Accent3 9 4 2 3 2" xfId="30028"/>
    <cellStyle name="20% - Accent3 9 4 2 4" xfId="23798"/>
    <cellStyle name="20% - Accent3 9 4 3" xfId="5642"/>
    <cellStyle name="20% - Accent3 9 4 3 2" xfId="8939"/>
    <cellStyle name="20% - Accent3 9 4 3 2 2" xfId="16728"/>
    <cellStyle name="20% - Accent3 9 4 3 2 2 2" xfId="34350"/>
    <cellStyle name="20% - Accent3 9 4 3 2 3" xfId="27313"/>
    <cellStyle name="20% - Accent3 9 4 3 3" xfId="13492"/>
    <cellStyle name="20% - Accent3 9 4 3 3 2" xfId="31118"/>
    <cellStyle name="20% - Accent3 9 4 3 4" xfId="24452"/>
    <cellStyle name="20% - Accent3 9 4 4" xfId="6272"/>
    <cellStyle name="20% - Accent3 9 4 4 2" xfId="9479"/>
    <cellStyle name="20% - Accent3 9 4 4 2 2" xfId="17267"/>
    <cellStyle name="20% - Accent3 9 4 4 2 2 2" xfId="34890"/>
    <cellStyle name="20% - Accent3 9 4 4 2 3" xfId="27849"/>
    <cellStyle name="20% - Accent3 9 4 4 3" xfId="14055"/>
    <cellStyle name="20% - Accent3 9 4 4 3 2" xfId="31676"/>
    <cellStyle name="20% - Accent3 9 4 4 4" xfId="24988"/>
    <cellStyle name="20% - Accent3 9 4 5" xfId="6809"/>
    <cellStyle name="20% - Accent3 9 4 5 2" xfId="10016"/>
    <cellStyle name="20% - Accent3 9 4 5 2 2" xfId="17803"/>
    <cellStyle name="20% - Accent3 9 4 5 2 2 2" xfId="35426"/>
    <cellStyle name="20% - Accent3 9 4 5 2 3" xfId="28385"/>
    <cellStyle name="20% - Accent3 9 4 5 3" xfId="14591"/>
    <cellStyle name="20% - Accent3 9 4 5 3 2" xfId="32212"/>
    <cellStyle name="20% - Accent3 9 4 5 4" xfId="25525"/>
    <cellStyle name="20% - Accent3 9 4 6" xfId="7635"/>
    <cellStyle name="20% - Accent3 9 4 6 2" xfId="15426"/>
    <cellStyle name="20% - Accent3 9 4 6 2 2" xfId="33047"/>
    <cellStyle name="20% - Accent3 9 4 6 3" xfId="26054"/>
    <cellStyle name="20% - Accent3 9 4 7" xfId="11204"/>
    <cellStyle name="20% - Accent3 9 4 7 2" xfId="28918"/>
    <cellStyle name="20% - Accent3 9 4 8" xfId="23193"/>
    <cellStyle name="20% - Accent3 9 4 9" xfId="51732"/>
    <cellStyle name="20% - Accent3 9 5" xfId="419"/>
    <cellStyle name="20% - Accent3 9 5 2" xfId="3646"/>
    <cellStyle name="20% - Accent3 9 5 2 2" xfId="8260"/>
    <cellStyle name="20% - Accent3 9 5 2 2 2" xfId="16050"/>
    <cellStyle name="20% - Accent3 9 5 2 2 2 2" xfId="33671"/>
    <cellStyle name="20% - Accent3 9 5 2 2 3" xfId="26660"/>
    <cellStyle name="20% - Accent3 9 5 2 3" xfId="12372"/>
    <cellStyle name="20% - Accent3 9 5 2 3 2" xfId="30029"/>
    <cellStyle name="20% - Accent3 9 5 2 4" xfId="23799"/>
    <cellStyle name="20% - Accent3 9 5 3" xfId="5643"/>
    <cellStyle name="20% - Accent3 9 5 3 2" xfId="8940"/>
    <cellStyle name="20% - Accent3 9 5 3 2 2" xfId="16729"/>
    <cellStyle name="20% - Accent3 9 5 3 2 2 2" xfId="34351"/>
    <cellStyle name="20% - Accent3 9 5 3 2 3" xfId="27314"/>
    <cellStyle name="20% - Accent3 9 5 3 3" xfId="13493"/>
    <cellStyle name="20% - Accent3 9 5 3 3 2" xfId="31119"/>
    <cellStyle name="20% - Accent3 9 5 3 4" xfId="24453"/>
    <cellStyle name="20% - Accent3 9 5 4" xfId="6273"/>
    <cellStyle name="20% - Accent3 9 5 4 2" xfId="9480"/>
    <cellStyle name="20% - Accent3 9 5 4 2 2" xfId="17268"/>
    <cellStyle name="20% - Accent3 9 5 4 2 2 2" xfId="34891"/>
    <cellStyle name="20% - Accent3 9 5 4 2 3" xfId="27850"/>
    <cellStyle name="20% - Accent3 9 5 4 3" xfId="14056"/>
    <cellStyle name="20% - Accent3 9 5 4 3 2" xfId="31677"/>
    <cellStyle name="20% - Accent3 9 5 4 4" xfId="24989"/>
    <cellStyle name="20% - Accent3 9 5 5" xfId="6810"/>
    <cellStyle name="20% - Accent3 9 5 5 2" xfId="10017"/>
    <cellStyle name="20% - Accent3 9 5 5 2 2" xfId="17804"/>
    <cellStyle name="20% - Accent3 9 5 5 2 2 2" xfId="35427"/>
    <cellStyle name="20% - Accent3 9 5 5 2 3" xfId="28386"/>
    <cellStyle name="20% - Accent3 9 5 5 3" xfId="14592"/>
    <cellStyle name="20% - Accent3 9 5 5 3 2" xfId="32213"/>
    <cellStyle name="20% - Accent3 9 5 5 4" xfId="25526"/>
    <cellStyle name="20% - Accent3 9 5 6" xfId="7636"/>
    <cellStyle name="20% - Accent3 9 5 6 2" xfId="15427"/>
    <cellStyle name="20% - Accent3 9 5 6 2 2" xfId="33048"/>
    <cellStyle name="20% - Accent3 9 5 6 3" xfId="26055"/>
    <cellStyle name="20% - Accent3 9 5 7" xfId="11205"/>
    <cellStyle name="20% - Accent3 9 5 7 2" xfId="28919"/>
    <cellStyle name="20% - Accent3 9 5 8" xfId="23194"/>
    <cellStyle name="20% - Accent3 9 5 9" xfId="51733"/>
    <cellStyle name="20% - Accent3 9 6" xfId="420"/>
    <cellStyle name="20% - Accent3 9 6 2" xfId="3647"/>
    <cellStyle name="20% - Accent3 9 6 2 2" xfId="8261"/>
    <cellStyle name="20% - Accent3 9 6 2 2 2" xfId="16051"/>
    <cellStyle name="20% - Accent3 9 6 2 2 2 2" xfId="33672"/>
    <cellStyle name="20% - Accent3 9 6 2 2 3" xfId="26661"/>
    <cellStyle name="20% - Accent3 9 6 2 3" xfId="12373"/>
    <cellStyle name="20% - Accent3 9 6 2 3 2" xfId="30030"/>
    <cellStyle name="20% - Accent3 9 6 2 4" xfId="23800"/>
    <cellStyle name="20% - Accent3 9 6 3" xfId="5644"/>
    <cellStyle name="20% - Accent3 9 6 3 2" xfId="8941"/>
    <cellStyle name="20% - Accent3 9 6 3 2 2" xfId="16730"/>
    <cellStyle name="20% - Accent3 9 6 3 2 2 2" xfId="34352"/>
    <cellStyle name="20% - Accent3 9 6 3 2 3" xfId="27315"/>
    <cellStyle name="20% - Accent3 9 6 3 3" xfId="13494"/>
    <cellStyle name="20% - Accent3 9 6 3 3 2" xfId="31120"/>
    <cellStyle name="20% - Accent3 9 6 3 4" xfId="24454"/>
    <cellStyle name="20% - Accent3 9 6 4" xfId="6274"/>
    <cellStyle name="20% - Accent3 9 6 4 2" xfId="9481"/>
    <cellStyle name="20% - Accent3 9 6 4 2 2" xfId="17269"/>
    <cellStyle name="20% - Accent3 9 6 4 2 2 2" xfId="34892"/>
    <cellStyle name="20% - Accent3 9 6 4 2 3" xfId="27851"/>
    <cellStyle name="20% - Accent3 9 6 4 3" xfId="14057"/>
    <cellStyle name="20% - Accent3 9 6 4 3 2" xfId="31678"/>
    <cellStyle name="20% - Accent3 9 6 4 4" xfId="24990"/>
    <cellStyle name="20% - Accent3 9 6 5" xfId="6811"/>
    <cellStyle name="20% - Accent3 9 6 5 2" xfId="10018"/>
    <cellStyle name="20% - Accent3 9 6 5 2 2" xfId="17805"/>
    <cellStyle name="20% - Accent3 9 6 5 2 2 2" xfId="35428"/>
    <cellStyle name="20% - Accent3 9 6 5 2 3" xfId="28387"/>
    <cellStyle name="20% - Accent3 9 6 5 3" xfId="14593"/>
    <cellStyle name="20% - Accent3 9 6 5 3 2" xfId="32214"/>
    <cellStyle name="20% - Accent3 9 6 5 4" xfId="25527"/>
    <cellStyle name="20% - Accent3 9 6 6" xfId="7637"/>
    <cellStyle name="20% - Accent3 9 6 6 2" xfId="15428"/>
    <cellStyle name="20% - Accent3 9 6 6 2 2" xfId="33049"/>
    <cellStyle name="20% - Accent3 9 6 6 3" xfId="26056"/>
    <cellStyle name="20% - Accent3 9 6 7" xfId="11206"/>
    <cellStyle name="20% - Accent3 9 6 7 2" xfId="28920"/>
    <cellStyle name="20% - Accent3 9 6 8" xfId="23195"/>
    <cellStyle name="20% - Accent3 9 6 9" xfId="51734"/>
    <cellStyle name="20% - Accent3 9 7" xfId="421"/>
    <cellStyle name="20% - Accent3 9 7 10" xfId="51735"/>
    <cellStyle name="20% - Accent3 9 7 2" xfId="422"/>
    <cellStyle name="20% - Accent3 9 7 2 2" xfId="8263"/>
    <cellStyle name="20% - Accent3 9 7 2 2 2" xfId="16053"/>
    <cellStyle name="20% - Accent3 9 7 2 2 2 2" xfId="33674"/>
    <cellStyle name="20% - Accent3 9 7 2 2 3" xfId="26663"/>
    <cellStyle name="20% - Accent3 9 7 2 3" xfId="12375"/>
    <cellStyle name="20% - Accent3 9 7 2 3 2" xfId="30032"/>
    <cellStyle name="20% - Accent3 9 7 2 4" xfId="23802"/>
    <cellStyle name="20% - Accent3 9 7 3" xfId="3648"/>
    <cellStyle name="20% - Accent3 9 7 3 2" xfId="8262"/>
    <cellStyle name="20% - Accent3 9 7 3 2 2" xfId="16052"/>
    <cellStyle name="20% - Accent3 9 7 3 2 2 2" xfId="33673"/>
    <cellStyle name="20% - Accent3 9 7 3 2 3" xfId="26662"/>
    <cellStyle name="20% - Accent3 9 7 3 3" xfId="12374"/>
    <cellStyle name="20% - Accent3 9 7 3 3 2" xfId="30031"/>
    <cellStyle name="20% - Accent3 9 7 3 4" xfId="23801"/>
    <cellStyle name="20% - Accent3 9 7 4" xfId="5645"/>
    <cellStyle name="20% - Accent3 9 7 4 2" xfId="8942"/>
    <cellStyle name="20% - Accent3 9 7 4 2 2" xfId="16731"/>
    <cellStyle name="20% - Accent3 9 7 4 2 2 2" xfId="34353"/>
    <cellStyle name="20% - Accent3 9 7 4 2 3" xfId="27316"/>
    <cellStyle name="20% - Accent3 9 7 4 3" xfId="13495"/>
    <cellStyle name="20% - Accent3 9 7 4 3 2" xfId="31121"/>
    <cellStyle name="20% - Accent3 9 7 4 4" xfId="24455"/>
    <cellStyle name="20% - Accent3 9 7 5" xfId="6275"/>
    <cellStyle name="20% - Accent3 9 7 5 2" xfId="9482"/>
    <cellStyle name="20% - Accent3 9 7 5 2 2" xfId="17270"/>
    <cellStyle name="20% - Accent3 9 7 5 2 2 2" xfId="34893"/>
    <cellStyle name="20% - Accent3 9 7 5 2 3" xfId="27852"/>
    <cellStyle name="20% - Accent3 9 7 5 3" xfId="14058"/>
    <cellStyle name="20% - Accent3 9 7 5 3 2" xfId="31679"/>
    <cellStyle name="20% - Accent3 9 7 5 4" xfId="24991"/>
    <cellStyle name="20% - Accent3 9 7 6" xfId="6812"/>
    <cellStyle name="20% - Accent3 9 7 6 2" xfId="10019"/>
    <cellStyle name="20% - Accent3 9 7 6 2 2" xfId="17806"/>
    <cellStyle name="20% - Accent3 9 7 6 2 2 2" xfId="35429"/>
    <cellStyle name="20% - Accent3 9 7 6 2 3" xfId="28388"/>
    <cellStyle name="20% - Accent3 9 7 6 3" xfId="14594"/>
    <cellStyle name="20% - Accent3 9 7 6 3 2" xfId="32215"/>
    <cellStyle name="20% - Accent3 9 7 6 4" xfId="25528"/>
    <cellStyle name="20% - Accent3 9 7 7" xfId="7638"/>
    <cellStyle name="20% - Accent3 9 7 7 2" xfId="15429"/>
    <cellStyle name="20% - Accent3 9 7 7 2 2" xfId="33050"/>
    <cellStyle name="20% - Accent3 9 7 7 3" xfId="26057"/>
    <cellStyle name="20% - Accent3 9 7 8" xfId="11207"/>
    <cellStyle name="20% - Accent3 9 7 8 2" xfId="28921"/>
    <cellStyle name="20% - Accent3 9 7 9" xfId="23196"/>
    <cellStyle name="20% - Accent3 9 8" xfId="3649"/>
    <cellStyle name="20% - Accent3 9 8 2" xfId="8264"/>
    <cellStyle name="20% - Accent3 9 8 2 2" xfId="16054"/>
    <cellStyle name="20% - Accent3 9 8 2 2 2" xfId="33675"/>
    <cellStyle name="20% - Accent3 9 8 2 3" xfId="26664"/>
    <cellStyle name="20% - Accent3 9 8 3" xfId="12376"/>
    <cellStyle name="20% - Accent3 9 8 3 2" xfId="30033"/>
    <cellStyle name="20% - Accent3 9 8 4" xfId="23803"/>
    <cellStyle name="20% - Accent3 9 9" xfId="3650"/>
    <cellStyle name="20% - Accent3 9 9 2" xfId="8265"/>
    <cellStyle name="20% - Accent3 9 9 2 2" xfId="16055"/>
    <cellStyle name="20% - Accent3 9 9 2 2 2" xfId="33676"/>
    <cellStyle name="20% - Accent3 9 9 2 3" xfId="26665"/>
    <cellStyle name="20% - Accent3 9 9 3" xfId="12377"/>
    <cellStyle name="20% - Accent3 9 9 3 2" xfId="30034"/>
    <cellStyle name="20% - Accent3 9 9 4" xfId="23804"/>
    <cellStyle name="20% - Accent4" xfId="176" builtinId="42" customBuiltin="1"/>
    <cellStyle name="20% - Accent4 10" xfId="423"/>
    <cellStyle name="20% - Accent4 10 2" xfId="424"/>
    <cellStyle name="20% - Accent4 10 3" xfId="425"/>
    <cellStyle name="20% - Accent4 10 3 2" xfId="8266"/>
    <cellStyle name="20% - Accent4 10 3 2 2" xfId="16056"/>
    <cellStyle name="20% - Accent4 10 3 2 2 2" xfId="33677"/>
    <cellStyle name="20% - Accent4 10 3 2 3" xfId="26666"/>
    <cellStyle name="20% - Accent4 10 3 3" xfId="12378"/>
    <cellStyle name="20% - Accent4 10 3 3 2" xfId="30035"/>
    <cellStyle name="20% - Accent4 10 3 4" xfId="23805"/>
    <cellStyle name="20% - Accent4 10 3 5" xfId="51736"/>
    <cellStyle name="20% - Accent4 10 4" xfId="7639"/>
    <cellStyle name="20% - Accent4 10 4 2" xfId="15430"/>
    <cellStyle name="20% - Accent4 10 4 2 2" xfId="33051"/>
    <cellStyle name="20% - Accent4 10 4 3" xfId="26058"/>
    <cellStyle name="20% - Accent4 10 5" xfId="11208"/>
    <cellStyle name="20% - Accent4 10 5 2" xfId="28922"/>
    <cellStyle name="20% - Accent4 10 6" xfId="22051"/>
    <cellStyle name="20% - Accent4 10 6 2" xfId="38745"/>
    <cellStyle name="20% - Accent4 10 7" xfId="23197"/>
    <cellStyle name="20% - Accent4 11" xfId="426"/>
    <cellStyle name="20% - Accent4 11 10" xfId="3651"/>
    <cellStyle name="20% - Accent4 11 10 2" xfId="8267"/>
    <cellStyle name="20% - Accent4 11 10 2 2" xfId="16057"/>
    <cellStyle name="20% - Accent4 11 10 2 2 2" xfId="33678"/>
    <cellStyle name="20% - Accent4 11 10 2 3" xfId="26667"/>
    <cellStyle name="20% - Accent4 11 10 3" xfId="12379"/>
    <cellStyle name="20% - Accent4 11 10 3 2" xfId="30036"/>
    <cellStyle name="20% - Accent4 11 10 4" xfId="23806"/>
    <cellStyle name="20% - Accent4 11 11" xfId="5646"/>
    <cellStyle name="20% - Accent4 11 11 2" xfId="8943"/>
    <cellStyle name="20% - Accent4 11 11 2 2" xfId="16732"/>
    <cellStyle name="20% - Accent4 11 11 2 2 2" xfId="34354"/>
    <cellStyle name="20% - Accent4 11 11 2 3" xfId="27317"/>
    <cellStyle name="20% - Accent4 11 11 3" xfId="13496"/>
    <cellStyle name="20% - Accent4 11 11 3 2" xfId="31122"/>
    <cellStyle name="20% - Accent4 11 11 4" xfId="24456"/>
    <cellStyle name="20% - Accent4 11 12" xfId="6276"/>
    <cellStyle name="20% - Accent4 11 12 2" xfId="9483"/>
    <cellStyle name="20% - Accent4 11 12 2 2" xfId="17271"/>
    <cellStyle name="20% - Accent4 11 12 2 2 2" xfId="34894"/>
    <cellStyle name="20% - Accent4 11 12 2 3" xfId="27853"/>
    <cellStyle name="20% - Accent4 11 12 3" xfId="14059"/>
    <cellStyle name="20% - Accent4 11 12 3 2" xfId="31680"/>
    <cellStyle name="20% - Accent4 11 12 4" xfId="24992"/>
    <cellStyle name="20% - Accent4 11 13" xfId="6813"/>
    <cellStyle name="20% - Accent4 11 13 2" xfId="10020"/>
    <cellStyle name="20% - Accent4 11 13 2 2" xfId="17807"/>
    <cellStyle name="20% - Accent4 11 13 2 2 2" xfId="35430"/>
    <cellStyle name="20% - Accent4 11 13 2 3" xfId="28389"/>
    <cellStyle name="20% - Accent4 11 13 3" xfId="14595"/>
    <cellStyle name="20% - Accent4 11 13 3 2" xfId="32216"/>
    <cellStyle name="20% - Accent4 11 13 4" xfId="25529"/>
    <cellStyle name="20% - Accent4 11 14" xfId="7640"/>
    <cellStyle name="20% - Accent4 11 14 2" xfId="15431"/>
    <cellStyle name="20% - Accent4 11 14 2 2" xfId="33052"/>
    <cellStyle name="20% - Accent4 11 14 3" xfId="26059"/>
    <cellStyle name="20% - Accent4 11 15" xfId="11209"/>
    <cellStyle name="20% - Accent4 11 15 2" xfId="28923"/>
    <cellStyle name="20% - Accent4 11 16" xfId="22052"/>
    <cellStyle name="20% - Accent4 11 16 2" xfId="38746"/>
    <cellStyle name="20% - Accent4 11 17" xfId="23198"/>
    <cellStyle name="20% - Accent4 11 18" xfId="51737"/>
    <cellStyle name="20% - Accent4 11 2" xfId="427"/>
    <cellStyle name="20% - Accent4 11 2 2" xfId="3652"/>
    <cellStyle name="20% - Accent4 11 2 2 2" xfId="8268"/>
    <cellStyle name="20% - Accent4 11 2 2 2 2" xfId="16058"/>
    <cellStyle name="20% - Accent4 11 2 2 2 2 2" xfId="33679"/>
    <cellStyle name="20% - Accent4 11 2 2 2 3" xfId="26668"/>
    <cellStyle name="20% - Accent4 11 2 2 3" xfId="12380"/>
    <cellStyle name="20% - Accent4 11 2 2 3 2" xfId="30037"/>
    <cellStyle name="20% - Accent4 11 2 2 4" xfId="23807"/>
    <cellStyle name="20% - Accent4 11 2 3" xfId="5647"/>
    <cellStyle name="20% - Accent4 11 2 3 2" xfId="8944"/>
    <cellStyle name="20% - Accent4 11 2 3 2 2" xfId="16733"/>
    <cellStyle name="20% - Accent4 11 2 3 2 2 2" xfId="34355"/>
    <cellStyle name="20% - Accent4 11 2 3 2 3" xfId="27318"/>
    <cellStyle name="20% - Accent4 11 2 3 3" xfId="13497"/>
    <cellStyle name="20% - Accent4 11 2 3 3 2" xfId="31123"/>
    <cellStyle name="20% - Accent4 11 2 3 4" xfId="24457"/>
    <cellStyle name="20% - Accent4 11 2 4" xfId="6277"/>
    <cellStyle name="20% - Accent4 11 2 4 2" xfId="9484"/>
    <cellStyle name="20% - Accent4 11 2 4 2 2" xfId="17272"/>
    <cellStyle name="20% - Accent4 11 2 4 2 2 2" xfId="34895"/>
    <cellStyle name="20% - Accent4 11 2 4 2 3" xfId="27854"/>
    <cellStyle name="20% - Accent4 11 2 4 3" xfId="14060"/>
    <cellStyle name="20% - Accent4 11 2 4 3 2" xfId="31681"/>
    <cellStyle name="20% - Accent4 11 2 4 4" xfId="24993"/>
    <cellStyle name="20% - Accent4 11 2 5" xfId="6814"/>
    <cellStyle name="20% - Accent4 11 2 5 2" xfId="10021"/>
    <cellStyle name="20% - Accent4 11 2 5 2 2" xfId="17808"/>
    <cellStyle name="20% - Accent4 11 2 5 2 2 2" xfId="35431"/>
    <cellStyle name="20% - Accent4 11 2 5 2 3" xfId="28390"/>
    <cellStyle name="20% - Accent4 11 2 5 3" xfId="14596"/>
    <cellStyle name="20% - Accent4 11 2 5 3 2" xfId="32217"/>
    <cellStyle name="20% - Accent4 11 2 5 4" xfId="25530"/>
    <cellStyle name="20% - Accent4 11 2 6" xfId="7641"/>
    <cellStyle name="20% - Accent4 11 2 6 2" xfId="15432"/>
    <cellStyle name="20% - Accent4 11 2 6 2 2" xfId="33053"/>
    <cellStyle name="20% - Accent4 11 2 6 3" xfId="26060"/>
    <cellStyle name="20% - Accent4 11 2 7" xfId="11210"/>
    <cellStyle name="20% - Accent4 11 2 7 2" xfId="28924"/>
    <cellStyle name="20% - Accent4 11 2 8" xfId="23199"/>
    <cellStyle name="20% - Accent4 11 2 9" xfId="51738"/>
    <cellStyle name="20% - Accent4 11 3" xfId="428"/>
    <cellStyle name="20% - Accent4 11 3 10" xfId="23200"/>
    <cellStyle name="20% - Accent4 11 3 11" xfId="51739"/>
    <cellStyle name="20% - Accent4 11 3 2" xfId="429"/>
    <cellStyle name="20% - Accent4 11 3 2 2" xfId="3654"/>
    <cellStyle name="20% - Accent4 11 3 2 2 2" xfId="8270"/>
    <cellStyle name="20% - Accent4 11 3 2 2 2 2" xfId="16060"/>
    <cellStyle name="20% - Accent4 11 3 2 2 2 2 2" xfId="33681"/>
    <cellStyle name="20% - Accent4 11 3 2 2 2 3" xfId="26670"/>
    <cellStyle name="20% - Accent4 11 3 2 2 3" xfId="12382"/>
    <cellStyle name="20% - Accent4 11 3 2 2 3 2" xfId="30039"/>
    <cellStyle name="20% - Accent4 11 3 2 2 4" xfId="23809"/>
    <cellStyle name="20% - Accent4 11 3 2 3" xfId="5649"/>
    <cellStyle name="20% - Accent4 11 3 2 3 2" xfId="8946"/>
    <cellStyle name="20% - Accent4 11 3 2 3 2 2" xfId="16735"/>
    <cellStyle name="20% - Accent4 11 3 2 3 2 2 2" xfId="34357"/>
    <cellStyle name="20% - Accent4 11 3 2 3 2 3" xfId="27320"/>
    <cellStyle name="20% - Accent4 11 3 2 3 3" xfId="13499"/>
    <cellStyle name="20% - Accent4 11 3 2 3 3 2" xfId="31125"/>
    <cellStyle name="20% - Accent4 11 3 2 3 4" xfId="24459"/>
    <cellStyle name="20% - Accent4 11 3 2 4" xfId="6279"/>
    <cellStyle name="20% - Accent4 11 3 2 4 2" xfId="9486"/>
    <cellStyle name="20% - Accent4 11 3 2 4 2 2" xfId="17274"/>
    <cellStyle name="20% - Accent4 11 3 2 4 2 2 2" xfId="34897"/>
    <cellStyle name="20% - Accent4 11 3 2 4 2 3" xfId="27856"/>
    <cellStyle name="20% - Accent4 11 3 2 4 3" xfId="14062"/>
    <cellStyle name="20% - Accent4 11 3 2 4 3 2" xfId="31683"/>
    <cellStyle name="20% - Accent4 11 3 2 4 4" xfId="24995"/>
    <cellStyle name="20% - Accent4 11 3 2 5" xfId="6816"/>
    <cellStyle name="20% - Accent4 11 3 2 5 2" xfId="10023"/>
    <cellStyle name="20% - Accent4 11 3 2 5 2 2" xfId="17810"/>
    <cellStyle name="20% - Accent4 11 3 2 5 2 2 2" xfId="35433"/>
    <cellStyle name="20% - Accent4 11 3 2 5 2 3" xfId="28392"/>
    <cellStyle name="20% - Accent4 11 3 2 5 3" xfId="14598"/>
    <cellStyle name="20% - Accent4 11 3 2 5 3 2" xfId="32219"/>
    <cellStyle name="20% - Accent4 11 3 2 5 4" xfId="25532"/>
    <cellStyle name="20% - Accent4 11 3 2 6" xfId="7643"/>
    <cellStyle name="20% - Accent4 11 3 2 6 2" xfId="15434"/>
    <cellStyle name="20% - Accent4 11 3 2 6 2 2" xfId="33055"/>
    <cellStyle name="20% - Accent4 11 3 2 6 3" xfId="26062"/>
    <cellStyle name="20% - Accent4 11 3 2 7" xfId="11212"/>
    <cellStyle name="20% - Accent4 11 3 2 7 2" xfId="28926"/>
    <cellStyle name="20% - Accent4 11 3 2 8" xfId="23201"/>
    <cellStyle name="20% - Accent4 11 3 2 9" xfId="51740"/>
    <cellStyle name="20% - Accent4 11 3 3" xfId="3655"/>
    <cellStyle name="20% - Accent4 11 3 3 2" xfId="5650"/>
    <cellStyle name="20% - Accent4 11 3 3 2 2" xfId="8947"/>
    <cellStyle name="20% - Accent4 11 3 3 2 2 2" xfId="16736"/>
    <cellStyle name="20% - Accent4 11 3 3 2 2 2 2" xfId="34358"/>
    <cellStyle name="20% - Accent4 11 3 3 2 2 3" xfId="27321"/>
    <cellStyle name="20% - Accent4 11 3 3 2 3" xfId="13500"/>
    <cellStyle name="20% - Accent4 11 3 3 2 3 2" xfId="31126"/>
    <cellStyle name="20% - Accent4 11 3 3 2 4" xfId="24460"/>
    <cellStyle name="20% - Accent4 11 3 3 3" xfId="6280"/>
    <cellStyle name="20% - Accent4 11 3 3 3 2" xfId="9487"/>
    <cellStyle name="20% - Accent4 11 3 3 3 2 2" xfId="17275"/>
    <cellStyle name="20% - Accent4 11 3 3 3 2 2 2" xfId="34898"/>
    <cellStyle name="20% - Accent4 11 3 3 3 2 3" xfId="27857"/>
    <cellStyle name="20% - Accent4 11 3 3 3 3" xfId="14063"/>
    <cellStyle name="20% - Accent4 11 3 3 3 3 2" xfId="31684"/>
    <cellStyle name="20% - Accent4 11 3 3 3 4" xfId="24996"/>
    <cellStyle name="20% - Accent4 11 3 3 4" xfId="6817"/>
    <cellStyle name="20% - Accent4 11 3 3 4 2" xfId="10024"/>
    <cellStyle name="20% - Accent4 11 3 3 4 2 2" xfId="17811"/>
    <cellStyle name="20% - Accent4 11 3 3 4 2 2 2" xfId="35434"/>
    <cellStyle name="20% - Accent4 11 3 3 4 2 3" xfId="28393"/>
    <cellStyle name="20% - Accent4 11 3 3 4 3" xfId="14599"/>
    <cellStyle name="20% - Accent4 11 3 3 4 3 2" xfId="32220"/>
    <cellStyle name="20% - Accent4 11 3 3 4 4" xfId="25533"/>
    <cellStyle name="20% - Accent4 11 3 3 5" xfId="8271"/>
    <cellStyle name="20% - Accent4 11 3 3 5 2" xfId="16061"/>
    <cellStyle name="20% - Accent4 11 3 3 5 2 2" xfId="33682"/>
    <cellStyle name="20% - Accent4 11 3 3 5 3" xfId="26671"/>
    <cellStyle name="20% - Accent4 11 3 3 6" xfId="12383"/>
    <cellStyle name="20% - Accent4 11 3 3 6 2" xfId="30040"/>
    <cellStyle name="20% - Accent4 11 3 3 7" xfId="23810"/>
    <cellStyle name="20% - Accent4 11 3 4" xfId="3653"/>
    <cellStyle name="20% - Accent4 11 3 4 2" xfId="8269"/>
    <cellStyle name="20% - Accent4 11 3 4 2 2" xfId="16059"/>
    <cellStyle name="20% - Accent4 11 3 4 2 2 2" xfId="33680"/>
    <cellStyle name="20% - Accent4 11 3 4 2 3" xfId="26669"/>
    <cellStyle name="20% - Accent4 11 3 4 3" xfId="12381"/>
    <cellStyle name="20% - Accent4 11 3 4 3 2" xfId="30038"/>
    <cellStyle name="20% - Accent4 11 3 4 4" xfId="23808"/>
    <cellStyle name="20% - Accent4 11 3 5" xfId="5648"/>
    <cellStyle name="20% - Accent4 11 3 5 2" xfId="8945"/>
    <cellStyle name="20% - Accent4 11 3 5 2 2" xfId="16734"/>
    <cellStyle name="20% - Accent4 11 3 5 2 2 2" xfId="34356"/>
    <cellStyle name="20% - Accent4 11 3 5 2 3" xfId="27319"/>
    <cellStyle name="20% - Accent4 11 3 5 3" xfId="13498"/>
    <cellStyle name="20% - Accent4 11 3 5 3 2" xfId="31124"/>
    <cellStyle name="20% - Accent4 11 3 5 4" xfId="24458"/>
    <cellStyle name="20% - Accent4 11 3 6" xfId="6278"/>
    <cellStyle name="20% - Accent4 11 3 6 2" xfId="9485"/>
    <cellStyle name="20% - Accent4 11 3 6 2 2" xfId="17273"/>
    <cellStyle name="20% - Accent4 11 3 6 2 2 2" xfId="34896"/>
    <cellStyle name="20% - Accent4 11 3 6 2 3" xfId="27855"/>
    <cellStyle name="20% - Accent4 11 3 6 3" xfId="14061"/>
    <cellStyle name="20% - Accent4 11 3 6 3 2" xfId="31682"/>
    <cellStyle name="20% - Accent4 11 3 6 4" xfId="24994"/>
    <cellStyle name="20% - Accent4 11 3 7" xfId="6815"/>
    <cellStyle name="20% - Accent4 11 3 7 2" xfId="10022"/>
    <cellStyle name="20% - Accent4 11 3 7 2 2" xfId="17809"/>
    <cellStyle name="20% - Accent4 11 3 7 2 2 2" xfId="35432"/>
    <cellStyle name="20% - Accent4 11 3 7 2 3" xfId="28391"/>
    <cellStyle name="20% - Accent4 11 3 7 3" xfId="14597"/>
    <cellStyle name="20% - Accent4 11 3 7 3 2" xfId="32218"/>
    <cellStyle name="20% - Accent4 11 3 7 4" xfId="25531"/>
    <cellStyle name="20% - Accent4 11 3 8" xfId="7642"/>
    <cellStyle name="20% - Accent4 11 3 8 2" xfId="15433"/>
    <cellStyle name="20% - Accent4 11 3 8 2 2" xfId="33054"/>
    <cellStyle name="20% - Accent4 11 3 8 3" xfId="26061"/>
    <cellStyle name="20% - Accent4 11 3 9" xfId="11211"/>
    <cellStyle name="20% - Accent4 11 3 9 2" xfId="28925"/>
    <cellStyle name="20% - Accent4 11 4" xfId="430"/>
    <cellStyle name="20% - Accent4 11 4 2" xfId="3656"/>
    <cellStyle name="20% - Accent4 11 4 2 2" xfId="8272"/>
    <cellStyle name="20% - Accent4 11 4 2 2 2" xfId="16062"/>
    <cellStyle name="20% - Accent4 11 4 2 2 2 2" xfId="33683"/>
    <cellStyle name="20% - Accent4 11 4 2 2 3" xfId="26672"/>
    <cellStyle name="20% - Accent4 11 4 2 3" xfId="12384"/>
    <cellStyle name="20% - Accent4 11 4 2 3 2" xfId="30041"/>
    <cellStyle name="20% - Accent4 11 4 2 4" xfId="23811"/>
    <cellStyle name="20% - Accent4 11 4 3" xfId="5651"/>
    <cellStyle name="20% - Accent4 11 4 3 2" xfId="8948"/>
    <cellStyle name="20% - Accent4 11 4 3 2 2" xfId="16737"/>
    <cellStyle name="20% - Accent4 11 4 3 2 2 2" xfId="34359"/>
    <cellStyle name="20% - Accent4 11 4 3 2 3" xfId="27322"/>
    <cellStyle name="20% - Accent4 11 4 3 3" xfId="13501"/>
    <cellStyle name="20% - Accent4 11 4 3 3 2" xfId="31127"/>
    <cellStyle name="20% - Accent4 11 4 3 4" xfId="24461"/>
    <cellStyle name="20% - Accent4 11 4 4" xfId="6281"/>
    <cellStyle name="20% - Accent4 11 4 4 2" xfId="9488"/>
    <cellStyle name="20% - Accent4 11 4 4 2 2" xfId="17276"/>
    <cellStyle name="20% - Accent4 11 4 4 2 2 2" xfId="34899"/>
    <cellStyle name="20% - Accent4 11 4 4 2 3" xfId="27858"/>
    <cellStyle name="20% - Accent4 11 4 4 3" xfId="14064"/>
    <cellStyle name="20% - Accent4 11 4 4 3 2" xfId="31685"/>
    <cellStyle name="20% - Accent4 11 4 4 4" xfId="24997"/>
    <cellStyle name="20% - Accent4 11 4 5" xfId="6818"/>
    <cellStyle name="20% - Accent4 11 4 5 2" xfId="10025"/>
    <cellStyle name="20% - Accent4 11 4 5 2 2" xfId="17812"/>
    <cellStyle name="20% - Accent4 11 4 5 2 2 2" xfId="35435"/>
    <cellStyle name="20% - Accent4 11 4 5 2 3" xfId="28394"/>
    <cellStyle name="20% - Accent4 11 4 5 3" xfId="14600"/>
    <cellStyle name="20% - Accent4 11 4 5 3 2" xfId="32221"/>
    <cellStyle name="20% - Accent4 11 4 5 4" xfId="25534"/>
    <cellStyle name="20% - Accent4 11 4 6" xfId="7644"/>
    <cellStyle name="20% - Accent4 11 4 6 2" xfId="15435"/>
    <cellStyle name="20% - Accent4 11 4 6 2 2" xfId="33056"/>
    <cellStyle name="20% - Accent4 11 4 6 3" xfId="26063"/>
    <cellStyle name="20% - Accent4 11 4 7" xfId="11213"/>
    <cellStyle name="20% - Accent4 11 4 7 2" xfId="28927"/>
    <cellStyle name="20% - Accent4 11 4 8" xfId="23202"/>
    <cellStyle name="20% - Accent4 11 4 9" xfId="51741"/>
    <cellStyle name="20% - Accent4 11 5" xfId="431"/>
    <cellStyle name="20% - Accent4 11 5 2" xfId="3657"/>
    <cellStyle name="20% - Accent4 11 5 2 2" xfId="8273"/>
    <cellStyle name="20% - Accent4 11 5 2 2 2" xfId="16063"/>
    <cellStyle name="20% - Accent4 11 5 2 2 2 2" xfId="33684"/>
    <cellStyle name="20% - Accent4 11 5 2 2 3" xfId="26673"/>
    <cellStyle name="20% - Accent4 11 5 2 3" xfId="12385"/>
    <cellStyle name="20% - Accent4 11 5 2 3 2" xfId="30042"/>
    <cellStyle name="20% - Accent4 11 5 2 4" xfId="23812"/>
    <cellStyle name="20% - Accent4 11 5 3" xfId="5652"/>
    <cellStyle name="20% - Accent4 11 5 3 2" xfId="8949"/>
    <cellStyle name="20% - Accent4 11 5 3 2 2" xfId="16738"/>
    <cellStyle name="20% - Accent4 11 5 3 2 2 2" xfId="34360"/>
    <cellStyle name="20% - Accent4 11 5 3 2 3" xfId="27323"/>
    <cellStyle name="20% - Accent4 11 5 3 3" xfId="13502"/>
    <cellStyle name="20% - Accent4 11 5 3 3 2" xfId="31128"/>
    <cellStyle name="20% - Accent4 11 5 3 4" xfId="24462"/>
    <cellStyle name="20% - Accent4 11 5 4" xfId="6282"/>
    <cellStyle name="20% - Accent4 11 5 4 2" xfId="9489"/>
    <cellStyle name="20% - Accent4 11 5 4 2 2" xfId="17277"/>
    <cellStyle name="20% - Accent4 11 5 4 2 2 2" xfId="34900"/>
    <cellStyle name="20% - Accent4 11 5 4 2 3" xfId="27859"/>
    <cellStyle name="20% - Accent4 11 5 4 3" xfId="14065"/>
    <cellStyle name="20% - Accent4 11 5 4 3 2" xfId="31686"/>
    <cellStyle name="20% - Accent4 11 5 4 4" xfId="24998"/>
    <cellStyle name="20% - Accent4 11 5 5" xfId="6819"/>
    <cellStyle name="20% - Accent4 11 5 5 2" xfId="10026"/>
    <cellStyle name="20% - Accent4 11 5 5 2 2" xfId="17813"/>
    <cellStyle name="20% - Accent4 11 5 5 2 2 2" xfId="35436"/>
    <cellStyle name="20% - Accent4 11 5 5 2 3" xfId="28395"/>
    <cellStyle name="20% - Accent4 11 5 5 3" xfId="14601"/>
    <cellStyle name="20% - Accent4 11 5 5 3 2" xfId="32222"/>
    <cellStyle name="20% - Accent4 11 5 5 4" xfId="25535"/>
    <cellStyle name="20% - Accent4 11 5 6" xfId="7645"/>
    <cellStyle name="20% - Accent4 11 5 6 2" xfId="15436"/>
    <cellStyle name="20% - Accent4 11 5 6 2 2" xfId="33057"/>
    <cellStyle name="20% - Accent4 11 5 6 3" xfId="26064"/>
    <cellStyle name="20% - Accent4 11 5 7" xfId="11214"/>
    <cellStyle name="20% - Accent4 11 5 7 2" xfId="28928"/>
    <cellStyle name="20% - Accent4 11 5 8" xfId="23203"/>
    <cellStyle name="20% - Accent4 11 5 9" xfId="51742"/>
    <cellStyle name="20% - Accent4 11 6" xfId="432"/>
    <cellStyle name="20% - Accent4 11 6 2" xfId="3658"/>
    <cellStyle name="20% - Accent4 11 6 2 2" xfId="8274"/>
    <cellStyle name="20% - Accent4 11 6 2 2 2" xfId="16064"/>
    <cellStyle name="20% - Accent4 11 6 2 2 2 2" xfId="33685"/>
    <cellStyle name="20% - Accent4 11 6 2 2 3" xfId="26674"/>
    <cellStyle name="20% - Accent4 11 6 2 3" xfId="12386"/>
    <cellStyle name="20% - Accent4 11 6 2 3 2" xfId="30043"/>
    <cellStyle name="20% - Accent4 11 6 2 4" xfId="23813"/>
    <cellStyle name="20% - Accent4 11 6 3" xfId="5653"/>
    <cellStyle name="20% - Accent4 11 6 3 2" xfId="8950"/>
    <cellStyle name="20% - Accent4 11 6 3 2 2" xfId="16739"/>
    <cellStyle name="20% - Accent4 11 6 3 2 2 2" xfId="34361"/>
    <cellStyle name="20% - Accent4 11 6 3 2 3" xfId="27324"/>
    <cellStyle name="20% - Accent4 11 6 3 3" xfId="13503"/>
    <cellStyle name="20% - Accent4 11 6 3 3 2" xfId="31129"/>
    <cellStyle name="20% - Accent4 11 6 3 4" xfId="24463"/>
    <cellStyle name="20% - Accent4 11 6 4" xfId="6283"/>
    <cellStyle name="20% - Accent4 11 6 4 2" xfId="9490"/>
    <cellStyle name="20% - Accent4 11 6 4 2 2" xfId="17278"/>
    <cellStyle name="20% - Accent4 11 6 4 2 2 2" xfId="34901"/>
    <cellStyle name="20% - Accent4 11 6 4 2 3" xfId="27860"/>
    <cellStyle name="20% - Accent4 11 6 4 3" xfId="14066"/>
    <cellStyle name="20% - Accent4 11 6 4 3 2" xfId="31687"/>
    <cellStyle name="20% - Accent4 11 6 4 4" xfId="24999"/>
    <cellStyle name="20% - Accent4 11 6 5" xfId="6820"/>
    <cellStyle name="20% - Accent4 11 6 5 2" xfId="10027"/>
    <cellStyle name="20% - Accent4 11 6 5 2 2" xfId="17814"/>
    <cellStyle name="20% - Accent4 11 6 5 2 2 2" xfId="35437"/>
    <cellStyle name="20% - Accent4 11 6 5 2 3" xfId="28396"/>
    <cellStyle name="20% - Accent4 11 6 5 3" xfId="14602"/>
    <cellStyle name="20% - Accent4 11 6 5 3 2" xfId="32223"/>
    <cellStyle name="20% - Accent4 11 6 5 4" xfId="25536"/>
    <cellStyle name="20% - Accent4 11 6 6" xfId="7646"/>
    <cellStyle name="20% - Accent4 11 6 6 2" xfId="15437"/>
    <cellStyle name="20% - Accent4 11 6 6 2 2" xfId="33058"/>
    <cellStyle name="20% - Accent4 11 6 6 3" xfId="26065"/>
    <cellStyle name="20% - Accent4 11 6 7" xfId="11215"/>
    <cellStyle name="20% - Accent4 11 6 7 2" xfId="28929"/>
    <cellStyle name="20% - Accent4 11 6 8" xfId="23204"/>
    <cellStyle name="20% - Accent4 11 6 9" xfId="51743"/>
    <cellStyle name="20% - Accent4 11 7" xfId="433"/>
    <cellStyle name="20% - Accent4 11 7 10" xfId="51744"/>
    <cellStyle name="20% - Accent4 11 7 2" xfId="434"/>
    <cellStyle name="20% - Accent4 11 7 2 2" xfId="8276"/>
    <cellStyle name="20% - Accent4 11 7 2 2 2" xfId="16066"/>
    <cellStyle name="20% - Accent4 11 7 2 2 2 2" xfId="33687"/>
    <cellStyle name="20% - Accent4 11 7 2 2 3" xfId="26676"/>
    <cellStyle name="20% - Accent4 11 7 2 3" xfId="12388"/>
    <cellStyle name="20% - Accent4 11 7 2 3 2" xfId="30045"/>
    <cellStyle name="20% - Accent4 11 7 2 4" xfId="23815"/>
    <cellStyle name="20% - Accent4 11 7 3" xfId="3659"/>
    <cellStyle name="20% - Accent4 11 7 3 2" xfId="8275"/>
    <cellStyle name="20% - Accent4 11 7 3 2 2" xfId="16065"/>
    <cellStyle name="20% - Accent4 11 7 3 2 2 2" xfId="33686"/>
    <cellStyle name="20% - Accent4 11 7 3 2 3" xfId="26675"/>
    <cellStyle name="20% - Accent4 11 7 3 3" xfId="12387"/>
    <cellStyle name="20% - Accent4 11 7 3 3 2" xfId="30044"/>
    <cellStyle name="20% - Accent4 11 7 3 4" xfId="23814"/>
    <cellStyle name="20% - Accent4 11 7 4" xfId="5654"/>
    <cellStyle name="20% - Accent4 11 7 4 2" xfId="8951"/>
    <cellStyle name="20% - Accent4 11 7 4 2 2" xfId="16740"/>
    <cellStyle name="20% - Accent4 11 7 4 2 2 2" xfId="34362"/>
    <cellStyle name="20% - Accent4 11 7 4 2 3" xfId="27325"/>
    <cellStyle name="20% - Accent4 11 7 4 3" xfId="13504"/>
    <cellStyle name="20% - Accent4 11 7 4 3 2" xfId="31130"/>
    <cellStyle name="20% - Accent4 11 7 4 4" xfId="24464"/>
    <cellStyle name="20% - Accent4 11 7 5" xfId="6284"/>
    <cellStyle name="20% - Accent4 11 7 5 2" xfId="9491"/>
    <cellStyle name="20% - Accent4 11 7 5 2 2" xfId="17279"/>
    <cellStyle name="20% - Accent4 11 7 5 2 2 2" xfId="34902"/>
    <cellStyle name="20% - Accent4 11 7 5 2 3" xfId="27861"/>
    <cellStyle name="20% - Accent4 11 7 5 3" xfId="14067"/>
    <cellStyle name="20% - Accent4 11 7 5 3 2" xfId="31688"/>
    <cellStyle name="20% - Accent4 11 7 5 4" xfId="25000"/>
    <cellStyle name="20% - Accent4 11 7 6" xfId="6821"/>
    <cellStyle name="20% - Accent4 11 7 6 2" xfId="10028"/>
    <cellStyle name="20% - Accent4 11 7 6 2 2" xfId="17815"/>
    <cellStyle name="20% - Accent4 11 7 6 2 2 2" xfId="35438"/>
    <cellStyle name="20% - Accent4 11 7 6 2 3" xfId="28397"/>
    <cellStyle name="20% - Accent4 11 7 6 3" xfId="14603"/>
    <cellStyle name="20% - Accent4 11 7 6 3 2" xfId="32224"/>
    <cellStyle name="20% - Accent4 11 7 6 4" xfId="25537"/>
    <cellStyle name="20% - Accent4 11 7 7" xfId="7647"/>
    <cellStyle name="20% - Accent4 11 7 7 2" xfId="15438"/>
    <cellStyle name="20% - Accent4 11 7 7 2 2" xfId="33059"/>
    <cellStyle name="20% - Accent4 11 7 7 3" xfId="26066"/>
    <cellStyle name="20% - Accent4 11 7 8" xfId="11216"/>
    <cellStyle name="20% - Accent4 11 7 8 2" xfId="28930"/>
    <cellStyle name="20% - Accent4 11 7 9" xfId="23205"/>
    <cellStyle name="20% - Accent4 11 8" xfId="3660"/>
    <cellStyle name="20% - Accent4 11 8 2" xfId="8277"/>
    <cellStyle name="20% - Accent4 11 8 2 2" xfId="16067"/>
    <cellStyle name="20% - Accent4 11 8 2 2 2" xfId="33688"/>
    <cellStyle name="20% - Accent4 11 8 2 3" xfId="26677"/>
    <cellStyle name="20% - Accent4 11 8 3" xfId="12389"/>
    <cellStyle name="20% - Accent4 11 8 3 2" xfId="30046"/>
    <cellStyle name="20% - Accent4 11 8 4" xfId="23816"/>
    <cellStyle name="20% - Accent4 11 9" xfId="3661"/>
    <cellStyle name="20% - Accent4 11 9 2" xfId="8278"/>
    <cellStyle name="20% - Accent4 11 9 2 2" xfId="16068"/>
    <cellStyle name="20% - Accent4 11 9 2 2 2" xfId="33689"/>
    <cellStyle name="20% - Accent4 11 9 2 3" xfId="26678"/>
    <cellStyle name="20% - Accent4 11 9 3" xfId="12390"/>
    <cellStyle name="20% - Accent4 11 9 3 2" xfId="30047"/>
    <cellStyle name="20% - Accent4 11 9 4" xfId="23817"/>
    <cellStyle name="20% - Accent4 12" xfId="435"/>
    <cellStyle name="20% - Accent4 12 2" xfId="3662"/>
    <cellStyle name="20% - Accent4 12 2 2" xfId="8279"/>
    <cellStyle name="20% - Accent4 12 2 2 2" xfId="16069"/>
    <cellStyle name="20% - Accent4 12 2 2 2 2" xfId="33690"/>
    <cellStyle name="20% - Accent4 12 2 2 3" xfId="26679"/>
    <cellStyle name="20% - Accent4 12 2 3" xfId="12391"/>
    <cellStyle name="20% - Accent4 12 2 3 2" xfId="30048"/>
    <cellStyle name="20% - Accent4 12 2 4" xfId="22054"/>
    <cellStyle name="20% - Accent4 12 2 4 2" xfId="38748"/>
    <cellStyle name="20% - Accent4 12 2 5" xfId="23818"/>
    <cellStyle name="20% - Accent4 12 3" xfId="7648"/>
    <cellStyle name="20% - Accent4 12 3 2" xfId="15439"/>
    <cellStyle name="20% - Accent4 12 3 2 2" xfId="33060"/>
    <cellStyle name="20% - Accent4 12 3 3" xfId="26067"/>
    <cellStyle name="20% - Accent4 12 4" xfId="11217"/>
    <cellStyle name="20% - Accent4 12 4 2" xfId="28931"/>
    <cellStyle name="20% - Accent4 12 5" xfId="22053"/>
    <cellStyle name="20% - Accent4 12 5 2" xfId="38747"/>
    <cellStyle name="20% - Accent4 12 6" xfId="23206"/>
    <cellStyle name="20% - Accent4 12 7" xfId="51745"/>
    <cellStyle name="20% - Accent4 13" xfId="18862"/>
    <cellStyle name="20% - Accent4 13 2" xfId="22055"/>
    <cellStyle name="20% - Accent4 13 2 2" xfId="38749"/>
    <cellStyle name="20% - Accent4 13 3" xfId="36485"/>
    <cellStyle name="20% - Accent4 14" xfId="15290"/>
    <cellStyle name="20% - Accent4 14 2" xfId="22056"/>
    <cellStyle name="20% - Accent4 14 3" xfId="32911"/>
    <cellStyle name="20% - Accent4 15" xfId="22673"/>
    <cellStyle name="20% - Accent4 15 2" xfId="38879"/>
    <cellStyle name="20% - Accent4 16" xfId="22050"/>
    <cellStyle name="20% - Accent4 17" xfId="23060"/>
    <cellStyle name="20% - Accent4 18" xfId="51458"/>
    <cellStyle name="20% - Accent4 19" xfId="51471"/>
    <cellStyle name="20% - Accent4 2" xfId="10"/>
    <cellStyle name="20% - Accent4 2 10" xfId="437"/>
    <cellStyle name="20% - Accent4 2 11" xfId="438"/>
    <cellStyle name="20% - Accent4 2 12" xfId="439"/>
    <cellStyle name="20% - Accent4 2 13" xfId="440"/>
    <cellStyle name="20% - Accent4 2 14" xfId="441"/>
    <cellStyle name="20% - Accent4 2 15" xfId="3663"/>
    <cellStyle name="20% - Accent4 2 16" xfId="3664"/>
    <cellStyle name="20% - Accent4 2 17" xfId="3665"/>
    <cellStyle name="20% - Accent4 2 18" xfId="436"/>
    <cellStyle name="20% - Accent4 2 2" xfId="442"/>
    <cellStyle name="20% - Accent4 2 2 2" xfId="443"/>
    <cellStyle name="20% - Accent4 2 2 3" xfId="444"/>
    <cellStyle name="20% - Accent4 2 2 4" xfId="3666"/>
    <cellStyle name="20% - Accent4 2 2 5" xfId="3667"/>
    <cellStyle name="20% - Accent4 2 2_Sheet1" xfId="445"/>
    <cellStyle name="20% - Accent4 2 3" xfId="446"/>
    <cellStyle name="20% - Accent4 2 4" xfId="447"/>
    <cellStyle name="20% - Accent4 2 5" xfId="448"/>
    <cellStyle name="20% - Accent4 2 6" xfId="449"/>
    <cellStyle name="20% - Accent4 2 7" xfId="450"/>
    <cellStyle name="20% - Accent4 2 8" xfId="451"/>
    <cellStyle name="20% - Accent4 2 9" xfId="452"/>
    <cellStyle name="20% - Accent4 2_BallGrid" xfId="453"/>
    <cellStyle name="20% - Accent4 20" xfId="51484"/>
    <cellStyle name="20% - Accent4 3" xfId="11"/>
    <cellStyle name="20% - Accent4 3 10" xfId="454"/>
    <cellStyle name="20% - Accent4 3 2" xfId="455"/>
    <cellStyle name="20% - Accent4 3 3" xfId="456"/>
    <cellStyle name="20% - Accent4 3 4" xfId="457"/>
    <cellStyle name="20% - Accent4 3 5" xfId="458"/>
    <cellStyle name="20% - Accent4 3 6" xfId="459"/>
    <cellStyle name="20% - Accent4 3 7" xfId="3668"/>
    <cellStyle name="20% - Accent4 3 8" xfId="3669"/>
    <cellStyle name="20% - Accent4 3 9" xfId="3670"/>
    <cellStyle name="20% - Accent4 3_BallGrid" xfId="460"/>
    <cellStyle name="20% - Accent4 4" xfId="12"/>
    <cellStyle name="20% - Accent4 4 2" xfId="462"/>
    <cellStyle name="20% - Accent4 4 2 2" xfId="22825"/>
    <cellStyle name="20% - Accent4 4 3" xfId="463"/>
    <cellStyle name="20% - Accent4 4 3 2" xfId="22057"/>
    <cellStyle name="20% - Accent4 4 4" xfId="464"/>
    <cellStyle name="20% - Accent4 4 5" xfId="465"/>
    <cellStyle name="20% - Accent4 4 6" xfId="3671"/>
    <cellStyle name="20% - Accent4 4 7" xfId="3672"/>
    <cellStyle name="20% - Accent4 4 8" xfId="3673"/>
    <cellStyle name="20% - Accent4 4 9" xfId="461"/>
    <cellStyle name="20% - Accent4 5" xfId="466"/>
    <cellStyle name="20% - Accent4 5 10" xfId="3675"/>
    <cellStyle name="20% - Accent4 5 10 2" xfId="8281"/>
    <cellStyle name="20% - Accent4 5 10 2 2" xfId="16071"/>
    <cellStyle name="20% - Accent4 5 10 2 2 2" xfId="33692"/>
    <cellStyle name="20% - Accent4 5 10 2 3" xfId="26681"/>
    <cellStyle name="20% - Accent4 5 10 3" xfId="12395"/>
    <cellStyle name="20% - Accent4 5 10 3 2" xfId="30052"/>
    <cellStyle name="20% - Accent4 5 10 4" xfId="23820"/>
    <cellStyle name="20% - Accent4 5 11" xfId="3674"/>
    <cellStyle name="20% - Accent4 5 11 2" xfId="8280"/>
    <cellStyle name="20% - Accent4 5 11 2 2" xfId="16070"/>
    <cellStyle name="20% - Accent4 5 11 2 2 2" xfId="33691"/>
    <cellStyle name="20% - Accent4 5 11 2 3" xfId="26680"/>
    <cellStyle name="20% - Accent4 5 11 3" xfId="12394"/>
    <cellStyle name="20% - Accent4 5 11 3 2" xfId="30051"/>
    <cellStyle name="20% - Accent4 5 11 4" xfId="23819"/>
    <cellStyle name="20% - Accent4 5 12" xfId="5655"/>
    <cellStyle name="20% - Accent4 5 12 2" xfId="8952"/>
    <cellStyle name="20% - Accent4 5 12 2 2" xfId="16741"/>
    <cellStyle name="20% - Accent4 5 12 2 2 2" xfId="34363"/>
    <cellStyle name="20% - Accent4 5 12 2 3" xfId="27326"/>
    <cellStyle name="20% - Accent4 5 12 3" xfId="13505"/>
    <cellStyle name="20% - Accent4 5 12 3 2" xfId="31131"/>
    <cellStyle name="20% - Accent4 5 12 4" xfId="24465"/>
    <cellStyle name="20% - Accent4 5 13" xfId="6285"/>
    <cellStyle name="20% - Accent4 5 13 2" xfId="9492"/>
    <cellStyle name="20% - Accent4 5 13 2 2" xfId="17280"/>
    <cellStyle name="20% - Accent4 5 13 2 2 2" xfId="34903"/>
    <cellStyle name="20% - Accent4 5 13 2 3" xfId="27862"/>
    <cellStyle name="20% - Accent4 5 13 3" xfId="14068"/>
    <cellStyle name="20% - Accent4 5 13 3 2" xfId="31689"/>
    <cellStyle name="20% - Accent4 5 13 4" xfId="25001"/>
    <cellStyle name="20% - Accent4 5 14" xfId="6822"/>
    <cellStyle name="20% - Accent4 5 14 2" xfId="10029"/>
    <cellStyle name="20% - Accent4 5 14 2 2" xfId="17816"/>
    <cellStyle name="20% - Accent4 5 14 2 2 2" xfId="35439"/>
    <cellStyle name="20% - Accent4 5 14 2 3" xfId="28398"/>
    <cellStyle name="20% - Accent4 5 14 3" xfId="14604"/>
    <cellStyle name="20% - Accent4 5 14 3 2" xfId="32225"/>
    <cellStyle name="20% - Accent4 5 14 4" xfId="25538"/>
    <cellStyle name="20% - Accent4 5 15" xfId="7649"/>
    <cellStyle name="20% - Accent4 5 15 2" xfId="15440"/>
    <cellStyle name="20% - Accent4 5 15 2 2" xfId="33061"/>
    <cellStyle name="20% - Accent4 5 15 3" xfId="26068"/>
    <cellStyle name="20% - Accent4 5 16" xfId="11220"/>
    <cellStyle name="20% - Accent4 5 16 2" xfId="28934"/>
    <cellStyle name="20% - Accent4 5 17" xfId="21929"/>
    <cellStyle name="20% - Accent4 5 17 2" xfId="38668"/>
    <cellStyle name="20% - Accent4 5 18" xfId="23207"/>
    <cellStyle name="20% - Accent4 5 19" xfId="51746"/>
    <cellStyle name="20% - Accent4 5 2" xfId="467"/>
    <cellStyle name="20% - Accent4 5 2 10" xfId="51747"/>
    <cellStyle name="20% - Accent4 5 2 2" xfId="3676"/>
    <cellStyle name="20% - Accent4 5 2 2 2" xfId="8282"/>
    <cellStyle name="20% - Accent4 5 2 2 2 2" xfId="16072"/>
    <cellStyle name="20% - Accent4 5 2 2 2 2 2" xfId="33693"/>
    <cellStyle name="20% - Accent4 5 2 2 2 3" xfId="26682"/>
    <cellStyle name="20% - Accent4 5 2 2 3" xfId="12396"/>
    <cellStyle name="20% - Accent4 5 2 2 3 2" xfId="30053"/>
    <cellStyle name="20% - Accent4 5 2 2 4" xfId="23821"/>
    <cellStyle name="20% - Accent4 5 2 3" xfId="5656"/>
    <cellStyle name="20% - Accent4 5 2 3 2" xfId="8953"/>
    <cellStyle name="20% - Accent4 5 2 3 2 2" xfId="16742"/>
    <cellStyle name="20% - Accent4 5 2 3 2 2 2" xfId="34364"/>
    <cellStyle name="20% - Accent4 5 2 3 2 3" xfId="27327"/>
    <cellStyle name="20% - Accent4 5 2 3 3" xfId="13506"/>
    <cellStyle name="20% - Accent4 5 2 3 3 2" xfId="31132"/>
    <cellStyle name="20% - Accent4 5 2 3 4" xfId="24466"/>
    <cellStyle name="20% - Accent4 5 2 4" xfId="6286"/>
    <cellStyle name="20% - Accent4 5 2 4 2" xfId="9493"/>
    <cellStyle name="20% - Accent4 5 2 4 2 2" xfId="17281"/>
    <cellStyle name="20% - Accent4 5 2 4 2 2 2" xfId="34904"/>
    <cellStyle name="20% - Accent4 5 2 4 2 3" xfId="27863"/>
    <cellStyle name="20% - Accent4 5 2 4 3" xfId="14069"/>
    <cellStyle name="20% - Accent4 5 2 4 3 2" xfId="31690"/>
    <cellStyle name="20% - Accent4 5 2 4 4" xfId="25002"/>
    <cellStyle name="20% - Accent4 5 2 5" xfId="6823"/>
    <cellStyle name="20% - Accent4 5 2 5 2" xfId="10030"/>
    <cellStyle name="20% - Accent4 5 2 5 2 2" xfId="17817"/>
    <cellStyle name="20% - Accent4 5 2 5 2 2 2" xfId="35440"/>
    <cellStyle name="20% - Accent4 5 2 5 2 3" xfId="28399"/>
    <cellStyle name="20% - Accent4 5 2 5 3" xfId="14605"/>
    <cellStyle name="20% - Accent4 5 2 5 3 2" xfId="32226"/>
    <cellStyle name="20% - Accent4 5 2 5 4" xfId="25539"/>
    <cellStyle name="20% - Accent4 5 2 6" xfId="7650"/>
    <cellStyle name="20% - Accent4 5 2 6 2" xfId="15441"/>
    <cellStyle name="20% - Accent4 5 2 6 2 2" xfId="33062"/>
    <cellStyle name="20% - Accent4 5 2 6 3" xfId="26069"/>
    <cellStyle name="20% - Accent4 5 2 7" xfId="11221"/>
    <cellStyle name="20% - Accent4 5 2 7 2" xfId="28935"/>
    <cellStyle name="20% - Accent4 5 2 8" xfId="22826"/>
    <cellStyle name="20% - Accent4 5 2 8 2" xfId="38989"/>
    <cellStyle name="20% - Accent4 5 2 9" xfId="23208"/>
    <cellStyle name="20% - Accent4 5 3" xfId="468"/>
    <cellStyle name="20% - Accent4 5 3 10" xfId="22058"/>
    <cellStyle name="20% - Accent4 5 3 11" xfId="23209"/>
    <cellStyle name="20% - Accent4 5 3 12" xfId="51748"/>
    <cellStyle name="20% - Accent4 5 3 2" xfId="469"/>
    <cellStyle name="20% - Accent4 5 3 2 2" xfId="3678"/>
    <cellStyle name="20% - Accent4 5 3 2 2 2" xfId="8284"/>
    <cellStyle name="20% - Accent4 5 3 2 2 2 2" xfId="16074"/>
    <cellStyle name="20% - Accent4 5 3 2 2 2 2 2" xfId="33695"/>
    <cellStyle name="20% - Accent4 5 3 2 2 2 3" xfId="26684"/>
    <cellStyle name="20% - Accent4 5 3 2 2 3" xfId="12398"/>
    <cellStyle name="20% - Accent4 5 3 2 2 3 2" xfId="30055"/>
    <cellStyle name="20% - Accent4 5 3 2 2 4" xfId="23823"/>
    <cellStyle name="20% - Accent4 5 3 2 3" xfId="5658"/>
    <cellStyle name="20% - Accent4 5 3 2 3 2" xfId="8955"/>
    <cellStyle name="20% - Accent4 5 3 2 3 2 2" xfId="16744"/>
    <cellStyle name="20% - Accent4 5 3 2 3 2 2 2" xfId="34366"/>
    <cellStyle name="20% - Accent4 5 3 2 3 2 3" xfId="27329"/>
    <cellStyle name="20% - Accent4 5 3 2 3 3" xfId="13508"/>
    <cellStyle name="20% - Accent4 5 3 2 3 3 2" xfId="31134"/>
    <cellStyle name="20% - Accent4 5 3 2 3 4" xfId="24468"/>
    <cellStyle name="20% - Accent4 5 3 2 4" xfId="6288"/>
    <cellStyle name="20% - Accent4 5 3 2 4 2" xfId="9495"/>
    <cellStyle name="20% - Accent4 5 3 2 4 2 2" xfId="17283"/>
    <cellStyle name="20% - Accent4 5 3 2 4 2 2 2" xfId="34906"/>
    <cellStyle name="20% - Accent4 5 3 2 4 2 3" xfId="27865"/>
    <cellStyle name="20% - Accent4 5 3 2 4 3" xfId="14071"/>
    <cellStyle name="20% - Accent4 5 3 2 4 3 2" xfId="31692"/>
    <cellStyle name="20% - Accent4 5 3 2 4 4" xfId="25004"/>
    <cellStyle name="20% - Accent4 5 3 2 5" xfId="6825"/>
    <cellStyle name="20% - Accent4 5 3 2 5 2" xfId="10032"/>
    <cellStyle name="20% - Accent4 5 3 2 5 2 2" xfId="17819"/>
    <cellStyle name="20% - Accent4 5 3 2 5 2 2 2" xfId="35442"/>
    <cellStyle name="20% - Accent4 5 3 2 5 2 3" xfId="28401"/>
    <cellStyle name="20% - Accent4 5 3 2 5 3" xfId="14607"/>
    <cellStyle name="20% - Accent4 5 3 2 5 3 2" xfId="32228"/>
    <cellStyle name="20% - Accent4 5 3 2 5 4" xfId="25541"/>
    <cellStyle name="20% - Accent4 5 3 2 6" xfId="7652"/>
    <cellStyle name="20% - Accent4 5 3 2 6 2" xfId="15443"/>
    <cellStyle name="20% - Accent4 5 3 2 6 2 2" xfId="33064"/>
    <cellStyle name="20% - Accent4 5 3 2 6 3" xfId="26071"/>
    <cellStyle name="20% - Accent4 5 3 2 7" xfId="11223"/>
    <cellStyle name="20% - Accent4 5 3 2 7 2" xfId="28937"/>
    <cellStyle name="20% - Accent4 5 3 2 8" xfId="23210"/>
    <cellStyle name="20% - Accent4 5 3 2 9" xfId="51749"/>
    <cellStyle name="20% - Accent4 5 3 3" xfId="3679"/>
    <cellStyle name="20% - Accent4 5 3 3 2" xfId="5659"/>
    <cellStyle name="20% - Accent4 5 3 3 2 2" xfId="8956"/>
    <cellStyle name="20% - Accent4 5 3 3 2 2 2" xfId="16745"/>
    <cellStyle name="20% - Accent4 5 3 3 2 2 2 2" xfId="34367"/>
    <cellStyle name="20% - Accent4 5 3 3 2 2 3" xfId="27330"/>
    <cellStyle name="20% - Accent4 5 3 3 2 3" xfId="13509"/>
    <cellStyle name="20% - Accent4 5 3 3 2 3 2" xfId="31135"/>
    <cellStyle name="20% - Accent4 5 3 3 2 4" xfId="24469"/>
    <cellStyle name="20% - Accent4 5 3 3 3" xfId="6289"/>
    <cellStyle name="20% - Accent4 5 3 3 3 2" xfId="9496"/>
    <cellStyle name="20% - Accent4 5 3 3 3 2 2" xfId="17284"/>
    <cellStyle name="20% - Accent4 5 3 3 3 2 2 2" xfId="34907"/>
    <cellStyle name="20% - Accent4 5 3 3 3 2 3" xfId="27866"/>
    <cellStyle name="20% - Accent4 5 3 3 3 3" xfId="14072"/>
    <cellStyle name="20% - Accent4 5 3 3 3 3 2" xfId="31693"/>
    <cellStyle name="20% - Accent4 5 3 3 3 4" xfId="25005"/>
    <cellStyle name="20% - Accent4 5 3 3 4" xfId="6826"/>
    <cellStyle name="20% - Accent4 5 3 3 4 2" xfId="10033"/>
    <cellStyle name="20% - Accent4 5 3 3 4 2 2" xfId="17820"/>
    <cellStyle name="20% - Accent4 5 3 3 4 2 2 2" xfId="35443"/>
    <cellStyle name="20% - Accent4 5 3 3 4 2 3" xfId="28402"/>
    <cellStyle name="20% - Accent4 5 3 3 4 3" xfId="14608"/>
    <cellStyle name="20% - Accent4 5 3 3 4 3 2" xfId="32229"/>
    <cellStyle name="20% - Accent4 5 3 3 4 4" xfId="25542"/>
    <cellStyle name="20% - Accent4 5 3 3 5" xfId="8285"/>
    <cellStyle name="20% - Accent4 5 3 3 5 2" xfId="16075"/>
    <cellStyle name="20% - Accent4 5 3 3 5 2 2" xfId="33696"/>
    <cellStyle name="20% - Accent4 5 3 3 5 3" xfId="26685"/>
    <cellStyle name="20% - Accent4 5 3 3 6" xfId="12399"/>
    <cellStyle name="20% - Accent4 5 3 3 6 2" xfId="30056"/>
    <cellStyle name="20% - Accent4 5 3 3 7" xfId="23824"/>
    <cellStyle name="20% - Accent4 5 3 4" xfId="3677"/>
    <cellStyle name="20% - Accent4 5 3 4 2" xfId="8283"/>
    <cellStyle name="20% - Accent4 5 3 4 2 2" xfId="16073"/>
    <cellStyle name="20% - Accent4 5 3 4 2 2 2" xfId="33694"/>
    <cellStyle name="20% - Accent4 5 3 4 2 3" xfId="26683"/>
    <cellStyle name="20% - Accent4 5 3 4 3" xfId="12397"/>
    <cellStyle name="20% - Accent4 5 3 4 3 2" xfId="30054"/>
    <cellStyle name="20% - Accent4 5 3 4 4" xfId="23822"/>
    <cellStyle name="20% - Accent4 5 3 5" xfId="5657"/>
    <cellStyle name="20% - Accent4 5 3 5 2" xfId="8954"/>
    <cellStyle name="20% - Accent4 5 3 5 2 2" xfId="16743"/>
    <cellStyle name="20% - Accent4 5 3 5 2 2 2" xfId="34365"/>
    <cellStyle name="20% - Accent4 5 3 5 2 3" xfId="27328"/>
    <cellStyle name="20% - Accent4 5 3 5 3" xfId="13507"/>
    <cellStyle name="20% - Accent4 5 3 5 3 2" xfId="31133"/>
    <cellStyle name="20% - Accent4 5 3 5 4" xfId="24467"/>
    <cellStyle name="20% - Accent4 5 3 6" xfId="6287"/>
    <cellStyle name="20% - Accent4 5 3 6 2" xfId="9494"/>
    <cellStyle name="20% - Accent4 5 3 6 2 2" xfId="17282"/>
    <cellStyle name="20% - Accent4 5 3 6 2 2 2" xfId="34905"/>
    <cellStyle name="20% - Accent4 5 3 6 2 3" xfId="27864"/>
    <cellStyle name="20% - Accent4 5 3 6 3" xfId="14070"/>
    <cellStyle name="20% - Accent4 5 3 6 3 2" xfId="31691"/>
    <cellStyle name="20% - Accent4 5 3 6 4" xfId="25003"/>
    <cellStyle name="20% - Accent4 5 3 7" xfId="6824"/>
    <cellStyle name="20% - Accent4 5 3 7 2" xfId="10031"/>
    <cellStyle name="20% - Accent4 5 3 7 2 2" xfId="17818"/>
    <cellStyle name="20% - Accent4 5 3 7 2 2 2" xfId="35441"/>
    <cellStyle name="20% - Accent4 5 3 7 2 3" xfId="28400"/>
    <cellStyle name="20% - Accent4 5 3 7 3" xfId="14606"/>
    <cellStyle name="20% - Accent4 5 3 7 3 2" xfId="32227"/>
    <cellStyle name="20% - Accent4 5 3 7 4" xfId="25540"/>
    <cellStyle name="20% - Accent4 5 3 8" xfId="7651"/>
    <cellStyle name="20% - Accent4 5 3 8 2" xfId="15442"/>
    <cellStyle name="20% - Accent4 5 3 8 2 2" xfId="33063"/>
    <cellStyle name="20% - Accent4 5 3 8 3" xfId="26070"/>
    <cellStyle name="20% - Accent4 5 3 9" xfId="11222"/>
    <cellStyle name="20% - Accent4 5 3 9 2" xfId="28936"/>
    <cellStyle name="20% - Accent4 5 4" xfId="470"/>
    <cellStyle name="20% - Accent4 5 4 10" xfId="52882"/>
    <cellStyle name="20% - Accent4 5 4 2" xfId="3680"/>
    <cellStyle name="20% - Accent4 5 4 2 2" xfId="8286"/>
    <cellStyle name="20% - Accent4 5 4 2 2 2" xfId="16076"/>
    <cellStyle name="20% - Accent4 5 4 2 2 2 2" xfId="33697"/>
    <cellStyle name="20% - Accent4 5 4 2 2 3" xfId="26686"/>
    <cellStyle name="20% - Accent4 5 4 2 3" xfId="12400"/>
    <cellStyle name="20% - Accent4 5 4 2 3 2" xfId="30057"/>
    <cellStyle name="20% - Accent4 5 4 2 4" xfId="23825"/>
    <cellStyle name="20% - Accent4 5 4 3" xfId="5660"/>
    <cellStyle name="20% - Accent4 5 4 3 2" xfId="8957"/>
    <cellStyle name="20% - Accent4 5 4 3 2 2" xfId="16746"/>
    <cellStyle name="20% - Accent4 5 4 3 2 2 2" xfId="34368"/>
    <cellStyle name="20% - Accent4 5 4 3 2 3" xfId="27331"/>
    <cellStyle name="20% - Accent4 5 4 3 3" xfId="13510"/>
    <cellStyle name="20% - Accent4 5 4 3 3 2" xfId="31136"/>
    <cellStyle name="20% - Accent4 5 4 3 4" xfId="24470"/>
    <cellStyle name="20% - Accent4 5 4 4" xfId="6290"/>
    <cellStyle name="20% - Accent4 5 4 4 2" xfId="9497"/>
    <cellStyle name="20% - Accent4 5 4 4 2 2" xfId="17285"/>
    <cellStyle name="20% - Accent4 5 4 4 2 2 2" xfId="34908"/>
    <cellStyle name="20% - Accent4 5 4 4 2 3" xfId="27867"/>
    <cellStyle name="20% - Accent4 5 4 4 3" xfId="14073"/>
    <cellStyle name="20% - Accent4 5 4 4 3 2" xfId="31694"/>
    <cellStyle name="20% - Accent4 5 4 4 4" xfId="25006"/>
    <cellStyle name="20% - Accent4 5 4 5" xfId="6827"/>
    <cellStyle name="20% - Accent4 5 4 5 2" xfId="10034"/>
    <cellStyle name="20% - Accent4 5 4 5 2 2" xfId="17821"/>
    <cellStyle name="20% - Accent4 5 4 5 2 2 2" xfId="35444"/>
    <cellStyle name="20% - Accent4 5 4 5 2 3" xfId="28403"/>
    <cellStyle name="20% - Accent4 5 4 5 3" xfId="14609"/>
    <cellStyle name="20% - Accent4 5 4 5 3 2" xfId="32230"/>
    <cellStyle name="20% - Accent4 5 4 5 4" xfId="25543"/>
    <cellStyle name="20% - Accent4 5 4 6" xfId="7653"/>
    <cellStyle name="20% - Accent4 5 4 6 2" xfId="15444"/>
    <cellStyle name="20% - Accent4 5 4 6 2 2" xfId="33065"/>
    <cellStyle name="20% - Accent4 5 4 6 3" xfId="26072"/>
    <cellStyle name="20% - Accent4 5 4 7" xfId="11224"/>
    <cellStyle name="20% - Accent4 5 4 7 2" xfId="28938"/>
    <cellStyle name="20% - Accent4 5 4 8" xfId="23211"/>
    <cellStyle name="20% - Accent4 5 4 9" xfId="51750"/>
    <cellStyle name="20% - Accent4 5 5" xfId="471"/>
    <cellStyle name="20% - Accent4 5 5 2" xfId="3681"/>
    <cellStyle name="20% - Accent4 5 5 2 2" xfId="8287"/>
    <cellStyle name="20% - Accent4 5 5 2 2 2" xfId="16077"/>
    <cellStyle name="20% - Accent4 5 5 2 2 2 2" xfId="33698"/>
    <cellStyle name="20% - Accent4 5 5 2 2 3" xfId="26687"/>
    <cellStyle name="20% - Accent4 5 5 2 3" xfId="12401"/>
    <cellStyle name="20% - Accent4 5 5 2 3 2" xfId="30058"/>
    <cellStyle name="20% - Accent4 5 5 2 4" xfId="23826"/>
    <cellStyle name="20% - Accent4 5 5 3" xfId="5661"/>
    <cellStyle name="20% - Accent4 5 5 3 2" xfId="8958"/>
    <cellStyle name="20% - Accent4 5 5 3 2 2" xfId="16747"/>
    <cellStyle name="20% - Accent4 5 5 3 2 2 2" xfId="34369"/>
    <cellStyle name="20% - Accent4 5 5 3 2 3" xfId="27332"/>
    <cellStyle name="20% - Accent4 5 5 3 3" xfId="13511"/>
    <cellStyle name="20% - Accent4 5 5 3 3 2" xfId="31137"/>
    <cellStyle name="20% - Accent4 5 5 3 4" xfId="24471"/>
    <cellStyle name="20% - Accent4 5 5 4" xfId="6291"/>
    <cellStyle name="20% - Accent4 5 5 4 2" xfId="9498"/>
    <cellStyle name="20% - Accent4 5 5 4 2 2" xfId="17286"/>
    <cellStyle name="20% - Accent4 5 5 4 2 2 2" xfId="34909"/>
    <cellStyle name="20% - Accent4 5 5 4 2 3" xfId="27868"/>
    <cellStyle name="20% - Accent4 5 5 4 3" xfId="14074"/>
    <cellStyle name="20% - Accent4 5 5 4 3 2" xfId="31695"/>
    <cellStyle name="20% - Accent4 5 5 4 4" xfId="25007"/>
    <cellStyle name="20% - Accent4 5 5 5" xfId="6828"/>
    <cellStyle name="20% - Accent4 5 5 5 2" xfId="10035"/>
    <cellStyle name="20% - Accent4 5 5 5 2 2" xfId="17822"/>
    <cellStyle name="20% - Accent4 5 5 5 2 2 2" xfId="35445"/>
    <cellStyle name="20% - Accent4 5 5 5 2 3" xfId="28404"/>
    <cellStyle name="20% - Accent4 5 5 5 3" xfId="14610"/>
    <cellStyle name="20% - Accent4 5 5 5 3 2" xfId="32231"/>
    <cellStyle name="20% - Accent4 5 5 5 4" xfId="25544"/>
    <cellStyle name="20% - Accent4 5 5 6" xfId="7654"/>
    <cellStyle name="20% - Accent4 5 5 6 2" xfId="15445"/>
    <cellStyle name="20% - Accent4 5 5 6 2 2" xfId="33066"/>
    <cellStyle name="20% - Accent4 5 5 6 3" xfId="26073"/>
    <cellStyle name="20% - Accent4 5 5 7" xfId="11225"/>
    <cellStyle name="20% - Accent4 5 5 7 2" xfId="28939"/>
    <cellStyle name="20% - Accent4 5 5 8" xfId="23212"/>
    <cellStyle name="20% - Accent4 5 5 9" xfId="51751"/>
    <cellStyle name="20% - Accent4 5 6" xfId="472"/>
    <cellStyle name="20% - Accent4 5 6 2" xfId="3682"/>
    <cellStyle name="20% - Accent4 5 6 2 2" xfId="8288"/>
    <cellStyle name="20% - Accent4 5 6 2 2 2" xfId="16078"/>
    <cellStyle name="20% - Accent4 5 6 2 2 2 2" xfId="33699"/>
    <cellStyle name="20% - Accent4 5 6 2 2 3" xfId="26688"/>
    <cellStyle name="20% - Accent4 5 6 2 3" xfId="12402"/>
    <cellStyle name="20% - Accent4 5 6 2 3 2" xfId="30059"/>
    <cellStyle name="20% - Accent4 5 6 2 4" xfId="23827"/>
    <cellStyle name="20% - Accent4 5 6 3" xfId="5662"/>
    <cellStyle name="20% - Accent4 5 6 3 2" xfId="8959"/>
    <cellStyle name="20% - Accent4 5 6 3 2 2" xfId="16748"/>
    <cellStyle name="20% - Accent4 5 6 3 2 2 2" xfId="34370"/>
    <cellStyle name="20% - Accent4 5 6 3 2 3" xfId="27333"/>
    <cellStyle name="20% - Accent4 5 6 3 3" xfId="13512"/>
    <cellStyle name="20% - Accent4 5 6 3 3 2" xfId="31138"/>
    <cellStyle name="20% - Accent4 5 6 3 4" xfId="24472"/>
    <cellStyle name="20% - Accent4 5 6 4" xfId="6292"/>
    <cellStyle name="20% - Accent4 5 6 4 2" xfId="9499"/>
    <cellStyle name="20% - Accent4 5 6 4 2 2" xfId="17287"/>
    <cellStyle name="20% - Accent4 5 6 4 2 2 2" xfId="34910"/>
    <cellStyle name="20% - Accent4 5 6 4 2 3" xfId="27869"/>
    <cellStyle name="20% - Accent4 5 6 4 3" xfId="14075"/>
    <cellStyle name="20% - Accent4 5 6 4 3 2" xfId="31696"/>
    <cellStyle name="20% - Accent4 5 6 4 4" xfId="25008"/>
    <cellStyle name="20% - Accent4 5 6 5" xfId="6829"/>
    <cellStyle name="20% - Accent4 5 6 5 2" xfId="10036"/>
    <cellStyle name="20% - Accent4 5 6 5 2 2" xfId="17823"/>
    <cellStyle name="20% - Accent4 5 6 5 2 2 2" xfId="35446"/>
    <cellStyle name="20% - Accent4 5 6 5 2 3" xfId="28405"/>
    <cellStyle name="20% - Accent4 5 6 5 3" xfId="14611"/>
    <cellStyle name="20% - Accent4 5 6 5 3 2" xfId="32232"/>
    <cellStyle name="20% - Accent4 5 6 5 4" xfId="25545"/>
    <cellStyle name="20% - Accent4 5 6 6" xfId="7655"/>
    <cellStyle name="20% - Accent4 5 6 6 2" xfId="15446"/>
    <cellStyle name="20% - Accent4 5 6 6 2 2" xfId="33067"/>
    <cellStyle name="20% - Accent4 5 6 6 3" xfId="26074"/>
    <cellStyle name="20% - Accent4 5 6 7" xfId="11226"/>
    <cellStyle name="20% - Accent4 5 6 7 2" xfId="28940"/>
    <cellStyle name="20% - Accent4 5 6 8" xfId="23213"/>
    <cellStyle name="20% - Accent4 5 6 9" xfId="51752"/>
    <cellStyle name="20% - Accent4 5 7" xfId="473"/>
    <cellStyle name="20% - Accent4 5 7 10" xfId="51753"/>
    <cellStyle name="20% - Accent4 5 7 2" xfId="474"/>
    <cellStyle name="20% - Accent4 5 7 2 2" xfId="8290"/>
    <cellStyle name="20% - Accent4 5 7 2 2 2" xfId="16080"/>
    <cellStyle name="20% - Accent4 5 7 2 2 2 2" xfId="33701"/>
    <cellStyle name="20% - Accent4 5 7 2 2 3" xfId="26690"/>
    <cellStyle name="20% - Accent4 5 7 2 3" xfId="12404"/>
    <cellStyle name="20% - Accent4 5 7 2 3 2" xfId="30061"/>
    <cellStyle name="20% - Accent4 5 7 2 4" xfId="23829"/>
    <cellStyle name="20% - Accent4 5 7 3" xfId="3683"/>
    <cellStyle name="20% - Accent4 5 7 3 2" xfId="8289"/>
    <cellStyle name="20% - Accent4 5 7 3 2 2" xfId="16079"/>
    <cellStyle name="20% - Accent4 5 7 3 2 2 2" xfId="33700"/>
    <cellStyle name="20% - Accent4 5 7 3 2 3" xfId="26689"/>
    <cellStyle name="20% - Accent4 5 7 3 3" xfId="12403"/>
    <cellStyle name="20% - Accent4 5 7 3 3 2" xfId="30060"/>
    <cellStyle name="20% - Accent4 5 7 3 4" xfId="23828"/>
    <cellStyle name="20% - Accent4 5 7 4" xfId="5663"/>
    <cellStyle name="20% - Accent4 5 7 4 2" xfId="8960"/>
    <cellStyle name="20% - Accent4 5 7 4 2 2" xfId="16749"/>
    <cellStyle name="20% - Accent4 5 7 4 2 2 2" xfId="34371"/>
    <cellStyle name="20% - Accent4 5 7 4 2 3" xfId="27334"/>
    <cellStyle name="20% - Accent4 5 7 4 3" xfId="13513"/>
    <cellStyle name="20% - Accent4 5 7 4 3 2" xfId="31139"/>
    <cellStyle name="20% - Accent4 5 7 4 4" xfId="24473"/>
    <cellStyle name="20% - Accent4 5 7 5" xfId="6293"/>
    <cellStyle name="20% - Accent4 5 7 5 2" xfId="9500"/>
    <cellStyle name="20% - Accent4 5 7 5 2 2" xfId="17288"/>
    <cellStyle name="20% - Accent4 5 7 5 2 2 2" xfId="34911"/>
    <cellStyle name="20% - Accent4 5 7 5 2 3" xfId="27870"/>
    <cellStyle name="20% - Accent4 5 7 5 3" xfId="14076"/>
    <cellStyle name="20% - Accent4 5 7 5 3 2" xfId="31697"/>
    <cellStyle name="20% - Accent4 5 7 5 4" xfId="25009"/>
    <cellStyle name="20% - Accent4 5 7 6" xfId="6830"/>
    <cellStyle name="20% - Accent4 5 7 6 2" xfId="10037"/>
    <cellStyle name="20% - Accent4 5 7 6 2 2" xfId="17824"/>
    <cellStyle name="20% - Accent4 5 7 6 2 2 2" xfId="35447"/>
    <cellStyle name="20% - Accent4 5 7 6 2 3" xfId="28406"/>
    <cellStyle name="20% - Accent4 5 7 6 3" xfId="14612"/>
    <cellStyle name="20% - Accent4 5 7 6 3 2" xfId="32233"/>
    <cellStyle name="20% - Accent4 5 7 6 4" xfId="25546"/>
    <cellStyle name="20% - Accent4 5 7 7" xfId="7656"/>
    <cellStyle name="20% - Accent4 5 7 7 2" xfId="15447"/>
    <cellStyle name="20% - Accent4 5 7 7 2 2" xfId="33068"/>
    <cellStyle name="20% - Accent4 5 7 7 3" xfId="26075"/>
    <cellStyle name="20% - Accent4 5 7 8" xfId="11227"/>
    <cellStyle name="20% - Accent4 5 7 8 2" xfId="28941"/>
    <cellStyle name="20% - Accent4 5 7 9" xfId="23214"/>
    <cellStyle name="20% - Accent4 5 8" xfId="3684"/>
    <cellStyle name="20% - Accent4 5 8 2" xfId="8291"/>
    <cellStyle name="20% - Accent4 5 8 2 2" xfId="16081"/>
    <cellStyle name="20% - Accent4 5 8 2 2 2" xfId="33702"/>
    <cellStyle name="20% - Accent4 5 8 2 3" xfId="26691"/>
    <cellStyle name="20% - Accent4 5 8 3" xfId="12405"/>
    <cellStyle name="20% - Accent4 5 8 3 2" xfId="30062"/>
    <cellStyle name="20% - Accent4 5 8 4" xfId="23830"/>
    <cellStyle name="20% - Accent4 5 9" xfId="3685"/>
    <cellStyle name="20% - Accent4 6" xfId="475"/>
    <cellStyle name="20% - Accent4 6 10" xfId="3686"/>
    <cellStyle name="20% - Accent4 6 10 2" xfId="8292"/>
    <cellStyle name="20% - Accent4 6 10 2 2" xfId="16082"/>
    <cellStyle name="20% - Accent4 6 10 2 2 2" xfId="33703"/>
    <cellStyle name="20% - Accent4 6 10 2 3" xfId="26692"/>
    <cellStyle name="20% - Accent4 6 10 3" xfId="12406"/>
    <cellStyle name="20% - Accent4 6 10 3 2" xfId="30063"/>
    <cellStyle name="20% - Accent4 6 10 4" xfId="23831"/>
    <cellStyle name="20% - Accent4 6 11" xfId="5664"/>
    <cellStyle name="20% - Accent4 6 11 2" xfId="8961"/>
    <cellStyle name="20% - Accent4 6 11 2 2" xfId="16750"/>
    <cellStyle name="20% - Accent4 6 11 2 2 2" xfId="34372"/>
    <cellStyle name="20% - Accent4 6 11 2 3" xfId="27335"/>
    <cellStyle name="20% - Accent4 6 11 3" xfId="13514"/>
    <cellStyle name="20% - Accent4 6 11 3 2" xfId="31140"/>
    <cellStyle name="20% - Accent4 6 11 4" xfId="24474"/>
    <cellStyle name="20% - Accent4 6 12" xfId="6294"/>
    <cellStyle name="20% - Accent4 6 12 2" xfId="9501"/>
    <cellStyle name="20% - Accent4 6 12 2 2" xfId="17289"/>
    <cellStyle name="20% - Accent4 6 12 2 2 2" xfId="34912"/>
    <cellStyle name="20% - Accent4 6 12 2 3" xfId="27871"/>
    <cellStyle name="20% - Accent4 6 12 3" xfId="14077"/>
    <cellStyle name="20% - Accent4 6 12 3 2" xfId="31698"/>
    <cellStyle name="20% - Accent4 6 12 4" xfId="25010"/>
    <cellStyle name="20% - Accent4 6 13" xfId="6831"/>
    <cellStyle name="20% - Accent4 6 13 2" xfId="10038"/>
    <cellStyle name="20% - Accent4 6 13 2 2" xfId="17825"/>
    <cellStyle name="20% - Accent4 6 13 2 2 2" xfId="35448"/>
    <cellStyle name="20% - Accent4 6 13 2 3" xfId="28407"/>
    <cellStyle name="20% - Accent4 6 13 3" xfId="14613"/>
    <cellStyle name="20% - Accent4 6 13 3 2" xfId="32234"/>
    <cellStyle name="20% - Accent4 6 13 4" xfId="25547"/>
    <cellStyle name="20% - Accent4 6 14" xfId="7657"/>
    <cellStyle name="20% - Accent4 6 14 2" xfId="15448"/>
    <cellStyle name="20% - Accent4 6 14 2 2" xfId="33069"/>
    <cellStyle name="20% - Accent4 6 14 3" xfId="26076"/>
    <cellStyle name="20% - Accent4 6 15" xfId="11228"/>
    <cellStyle name="20% - Accent4 6 15 2" xfId="28942"/>
    <cellStyle name="20% - Accent4 6 16" xfId="21930"/>
    <cellStyle name="20% - Accent4 6 16 2" xfId="38669"/>
    <cellStyle name="20% - Accent4 6 17" xfId="23215"/>
    <cellStyle name="20% - Accent4 6 18" xfId="51754"/>
    <cellStyle name="20% - Accent4 6 2" xfId="476"/>
    <cellStyle name="20% - Accent4 6 2 10" xfId="51755"/>
    <cellStyle name="20% - Accent4 6 2 2" xfId="3687"/>
    <cellStyle name="20% - Accent4 6 2 2 2" xfId="8293"/>
    <cellStyle name="20% - Accent4 6 2 2 2 2" xfId="16083"/>
    <cellStyle name="20% - Accent4 6 2 2 2 2 2" xfId="33704"/>
    <cellStyle name="20% - Accent4 6 2 2 2 3" xfId="26693"/>
    <cellStyle name="20% - Accent4 6 2 2 3" xfId="12407"/>
    <cellStyle name="20% - Accent4 6 2 2 3 2" xfId="30064"/>
    <cellStyle name="20% - Accent4 6 2 2 4" xfId="23832"/>
    <cellStyle name="20% - Accent4 6 2 3" xfId="5665"/>
    <cellStyle name="20% - Accent4 6 2 3 2" xfId="8962"/>
    <cellStyle name="20% - Accent4 6 2 3 2 2" xfId="16751"/>
    <cellStyle name="20% - Accent4 6 2 3 2 2 2" xfId="34373"/>
    <cellStyle name="20% - Accent4 6 2 3 2 3" xfId="27336"/>
    <cellStyle name="20% - Accent4 6 2 3 3" xfId="13515"/>
    <cellStyle name="20% - Accent4 6 2 3 3 2" xfId="31141"/>
    <cellStyle name="20% - Accent4 6 2 3 4" xfId="24475"/>
    <cellStyle name="20% - Accent4 6 2 4" xfId="6295"/>
    <cellStyle name="20% - Accent4 6 2 4 2" xfId="9502"/>
    <cellStyle name="20% - Accent4 6 2 4 2 2" xfId="17290"/>
    <cellStyle name="20% - Accent4 6 2 4 2 2 2" xfId="34913"/>
    <cellStyle name="20% - Accent4 6 2 4 2 3" xfId="27872"/>
    <cellStyle name="20% - Accent4 6 2 4 3" xfId="14078"/>
    <cellStyle name="20% - Accent4 6 2 4 3 2" xfId="31699"/>
    <cellStyle name="20% - Accent4 6 2 4 4" xfId="25011"/>
    <cellStyle name="20% - Accent4 6 2 5" xfId="6832"/>
    <cellStyle name="20% - Accent4 6 2 5 2" xfId="10039"/>
    <cellStyle name="20% - Accent4 6 2 5 2 2" xfId="17826"/>
    <cellStyle name="20% - Accent4 6 2 5 2 2 2" xfId="35449"/>
    <cellStyle name="20% - Accent4 6 2 5 2 3" xfId="28408"/>
    <cellStyle name="20% - Accent4 6 2 5 3" xfId="14614"/>
    <cellStyle name="20% - Accent4 6 2 5 3 2" xfId="32235"/>
    <cellStyle name="20% - Accent4 6 2 5 4" xfId="25548"/>
    <cellStyle name="20% - Accent4 6 2 6" xfId="7658"/>
    <cellStyle name="20% - Accent4 6 2 6 2" xfId="15449"/>
    <cellStyle name="20% - Accent4 6 2 6 2 2" xfId="33070"/>
    <cellStyle name="20% - Accent4 6 2 6 3" xfId="26077"/>
    <cellStyle name="20% - Accent4 6 2 7" xfId="11229"/>
    <cellStyle name="20% - Accent4 6 2 7 2" xfId="28943"/>
    <cellStyle name="20% - Accent4 6 2 8" xfId="22827"/>
    <cellStyle name="20% - Accent4 6 2 8 2" xfId="38990"/>
    <cellStyle name="20% - Accent4 6 2 9" xfId="23216"/>
    <cellStyle name="20% - Accent4 6 3" xfId="477"/>
    <cellStyle name="20% - Accent4 6 3 10" xfId="22059"/>
    <cellStyle name="20% - Accent4 6 3 11" xfId="23217"/>
    <cellStyle name="20% - Accent4 6 3 12" xfId="51756"/>
    <cellStyle name="20% - Accent4 6 3 2" xfId="478"/>
    <cellStyle name="20% - Accent4 6 3 2 2" xfId="3689"/>
    <cellStyle name="20% - Accent4 6 3 2 2 2" xfId="8295"/>
    <cellStyle name="20% - Accent4 6 3 2 2 2 2" xfId="16085"/>
    <cellStyle name="20% - Accent4 6 3 2 2 2 2 2" xfId="33706"/>
    <cellStyle name="20% - Accent4 6 3 2 2 2 3" xfId="26695"/>
    <cellStyle name="20% - Accent4 6 3 2 2 3" xfId="12409"/>
    <cellStyle name="20% - Accent4 6 3 2 2 3 2" xfId="30066"/>
    <cellStyle name="20% - Accent4 6 3 2 2 4" xfId="23834"/>
    <cellStyle name="20% - Accent4 6 3 2 3" xfId="5667"/>
    <cellStyle name="20% - Accent4 6 3 2 3 2" xfId="8964"/>
    <cellStyle name="20% - Accent4 6 3 2 3 2 2" xfId="16753"/>
    <cellStyle name="20% - Accent4 6 3 2 3 2 2 2" xfId="34375"/>
    <cellStyle name="20% - Accent4 6 3 2 3 2 3" xfId="27338"/>
    <cellStyle name="20% - Accent4 6 3 2 3 3" xfId="13517"/>
    <cellStyle name="20% - Accent4 6 3 2 3 3 2" xfId="31143"/>
    <cellStyle name="20% - Accent4 6 3 2 3 4" xfId="24477"/>
    <cellStyle name="20% - Accent4 6 3 2 4" xfId="6297"/>
    <cellStyle name="20% - Accent4 6 3 2 4 2" xfId="9504"/>
    <cellStyle name="20% - Accent4 6 3 2 4 2 2" xfId="17292"/>
    <cellStyle name="20% - Accent4 6 3 2 4 2 2 2" xfId="34915"/>
    <cellStyle name="20% - Accent4 6 3 2 4 2 3" xfId="27874"/>
    <cellStyle name="20% - Accent4 6 3 2 4 3" xfId="14080"/>
    <cellStyle name="20% - Accent4 6 3 2 4 3 2" xfId="31701"/>
    <cellStyle name="20% - Accent4 6 3 2 4 4" xfId="25013"/>
    <cellStyle name="20% - Accent4 6 3 2 5" xfId="6834"/>
    <cellStyle name="20% - Accent4 6 3 2 5 2" xfId="10041"/>
    <cellStyle name="20% - Accent4 6 3 2 5 2 2" xfId="17828"/>
    <cellStyle name="20% - Accent4 6 3 2 5 2 2 2" xfId="35451"/>
    <cellStyle name="20% - Accent4 6 3 2 5 2 3" xfId="28410"/>
    <cellStyle name="20% - Accent4 6 3 2 5 3" xfId="14616"/>
    <cellStyle name="20% - Accent4 6 3 2 5 3 2" xfId="32237"/>
    <cellStyle name="20% - Accent4 6 3 2 5 4" xfId="25550"/>
    <cellStyle name="20% - Accent4 6 3 2 6" xfId="7660"/>
    <cellStyle name="20% - Accent4 6 3 2 6 2" xfId="15451"/>
    <cellStyle name="20% - Accent4 6 3 2 6 2 2" xfId="33072"/>
    <cellStyle name="20% - Accent4 6 3 2 6 3" xfId="26079"/>
    <cellStyle name="20% - Accent4 6 3 2 7" xfId="11231"/>
    <cellStyle name="20% - Accent4 6 3 2 7 2" xfId="28945"/>
    <cellStyle name="20% - Accent4 6 3 2 8" xfId="23218"/>
    <cellStyle name="20% - Accent4 6 3 2 9" xfId="51757"/>
    <cellStyle name="20% - Accent4 6 3 3" xfId="3690"/>
    <cellStyle name="20% - Accent4 6 3 3 2" xfId="5668"/>
    <cellStyle name="20% - Accent4 6 3 3 2 2" xfId="8965"/>
    <cellStyle name="20% - Accent4 6 3 3 2 2 2" xfId="16754"/>
    <cellStyle name="20% - Accent4 6 3 3 2 2 2 2" xfId="34376"/>
    <cellStyle name="20% - Accent4 6 3 3 2 2 3" xfId="27339"/>
    <cellStyle name="20% - Accent4 6 3 3 2 3" xfId="13518"/>
    <cellStyle name="20% - Accent4 6 3 3 2 3 2" xfId="31144"/>
    <cellStyle name="20% - Accent4 6 3 3 2 4" xfId="24478"/>
    <cellStyle name="20% - Accent4 6 3 3 3" xfId="6298"/>
    <cellStyle name="20% - Accent4 6 3 3 3 2" xfId="9505"/>
    <cellStyle name="20% - Accent4 6 3 3 3 2 2" xfId="17293"/>
    <cellStyle name="20% - Accent4 6 3 3 3 2 2 2" xfId="34916"/>
    <cellStyle name="20% - Accent4 6 3 3 3 2 3" xfId="27875"/>
    <cellStyle name="20% - Accent4 6 3 3 3 3" xfId="14081"/>
    <cellStyle name="20% - Accent4 6 3 3 3 3 2" xfId="31702"/>
    <cellStyle name="20% - Accent4 6 3 3 3 4" xfId="25014"/>
    <cellStyle name="20% - Accent4 6 3 3 4" xfId="6835"/>
    <cellStyle name="20% - Accent4 6 3 3 4 2" xfId="10042"/>
    <cellStyle name="20% - Accent4 6 3 3 4 2 2" xfId="17829"/>
    <cellStyle name="20% - Accent4 6 3 3 4 2 2 2" xfId="35452"/>
    <cellStyle name="20% - Accent4 6 3 3 4 2 3" xfId="28411"/>
    <cellStyle name="20% - Accent4 6 3 3 4 3" xfId="14617"/>
    <cellStyle name="20% - Accent4 6 3 3 4 3 2" xfId="32238"/>
    <cellStyle name="20% - Accent4 6 3 3 4 4" xfId="25551"/>
    <cellStyle name="20% - Accent4 6 3 3 5" xfId="8296"/>
    <cellStyle name="20% - Accent4 6 3 3 5 2" xfId="16086"/>
    <cellStyle name="20% - Accent4 6 3 3 5 2 2" xfId="33707"/>
    <cellStyle name="20% - Accent4 6 3 3 5 3" xfId="26696"/>
    <cellStyle name="20% - Accent4 6 3 3 6" xfId="12410"/>
    <cellStyle name="20% - Accent4 6 3 3 6 2" xfId="30067"/>
    <cellStyle name="20% - Accent4 6 3 3 7" xfId="23835"/>
    <cellStyle name="20% - Accent4 6 3 4" xfId="3688"/>
    <cellStyle name="20% - Accent4 6 3 4 2" xfId="8294"/>
    <cellStyle name="20% - Accent4 6 3 4 2 2" xfId="16084"/>
    <cellStyle name="20% - Accent4 6 3 4 2 2 2" xfId="33705"/>
    <cellStyle name="20% - Accent4 6 3 4 2 3" xfId="26694"/>
    <cellStyle name="20% - Accent4 6 3 4 3" xfId="12408"/>
    <cellStyle name="20% - Accent4 6 3 4 3 2" xfId="30065"/>
    <cellStyle name="20% - Accent4 6 3 4 4" xfId="23833"/>
    <cellStyle name="20% - Accent4 6 3 5" xfId="5666"/>
    <cellStyle name="20% - Accent4 6 3 5 2" xfId="8963"/>
    <cellStyle name="20% - Accent4 6 3 5 2 2" xfId="16752"/>
    <cellStyle name="20% - Accent4 6 3 5 2 2 2" xfId="34374"/>
    <cellStyle name="20% - Accent4 6 3 5 2 3" xfId="27337"/>
    <cellStyle name="20% - Accent4 6 3 5 3" xfId="13516"/>
    <cellStyle name="20% - Accent4 6 3 5 3 2" xfId="31142"/>
    <cellStyle name="20% - Accent4 6 3 5 4" xfId="24476"/>
    <cellStyle name="20% - Accent4 6 3 6" xfId="6296"/>
    <cellStyle name="20% - Accent4 6 3 6 2" xfId="9503"/>
    <cellStyle name="20% - Accent4 6 3 6 2 2" xfId="17291"/>
    <cellStyle name="20% - Accent4 6 3 6 2 2 2" xfId="34914"/>
    <cellStyle name="20% - Accent4 6 3 6 2 3" xfId="27873"/>
    <cellStyle name="20% - Accent4 6 3 6 3" xfId="14079"/>
    <cellStyle name="20% - Accent4 6 3 6 3 2" xfId="31700"/>
    <cellStyle name="20% - Accent4 6 3 6 4" xfId="25012"/>
    <cellStyle name="20% - Accent4 6 3 7" xfId="6833"/>
    <cellStyle name="20% - Accent4 6 3 7 2" xfId="10040"/>
    <cellStyle name="20% - Accent4 6 3 7 2 2" xfId="17827"/>
    <cellStyle name="20% - Accent4 6 3 7 2 2 2" xfId="35450"/>
    <cellStyle name="20% - Accent4 6 3 7 2 3" xfId="28409"/>
    <cellStyle name="20% - Accent4 6 3 7 3" xfId="14615"/>
    <cellStyle name="20% - Accent4 6 3 7 3 2" xfId="32236"/>
    <cellStyle name="20% - Accent4 6 3 7 4" xfId="25549"/>
    <cellStyle name="20% - Accent4 6 3 8" xfId="7659"/>
    <cellStyle name="20% - Accent4 6 3 8 2" xfId="15450"/>
    <cellStyle name="20% - Accent4 6 3 8 2 2" xfId="33071"/>
    <cellStyle name="20% - Accent4 6 3 8 3" xfId="26078"/>
    <cellStyle name="20% - Accent4 6 3 9" xfId="11230"/>
    <cellStyle name="20% - Accent4 6 3 9 2" xfId="28944"/>
    <cellStyle name="20% - Accent4 6 4" xfId="479"/>
    <cellStyle name="20% - Accent4 6 4 10" xfId="52883"/>
    <cellStyle name="20% - Accent4 6 4 2" xfId="3691"/>
    <cellStyle name="20% - Accent4 6 4 2 2" xfId="8297"/>
    <cellStyle name="20% - Accent4 6 4 2 2 2" xfId="16087"/>
    <cellStyle name="20% - Accent4 6 4 2 2 2 2" xfId="33708"/>
    <cellStyle name="20% - Accent4 6 4 2 2 3" xfId="26697"/>
    <cellStyle name="20% - Accent4 6 4 2 3" xfId="12411"/>
    <cellStyle name="20% - Accent4 6 4 2 3 2" xfId="30068"/>
    <cellStyle name="20% - Accent4 6 4 2 4" xfId="23836"/>
    <cellStyle name="20% - Accent4 6 4 3" xfId="5669"/>
    <cellStyle name="20% - Accent4 6 4 3 2" xfId="8966"/>
    <cellStyle name="20% - Accent4 6 4 3 2 2" xfId="16755"/>
    <cellStyle name="20% - Accent4 6 4 3 2 2 2" xfId="34377"/>
    <cellStyle name="20% - Accent4 6 4 3 2 3" xfId="27340"/>
    <cellStyle name="20% - Accent4 6 4 3 3" xfId="13519"/>
    <cellStyle name="20% - Accent4 6 4 3 3 2" xfId="31145"/>
    <cellStyle name="20% - Accent4 6 4 3 4" xfId="24479"/>
    <cellStyle name="20% - Accent4 6 4 4" xfId="6299"/>
    <cellStyle name="20% - Accent4 6 4 4 2" xfId="9506"/>
    <cellStyle name="20% - Accent4 6 4 4 2 2" xfId="17294"/>
    <cellStyle name="20% - Accent4 6 4 4 2 2 2" xfId="34917"/>
    <cellStyle name="20% - Accent4 6 4 4 2 3" xfId="27876"/>
    <cellStyle name="20% - Accent4 6 4 4 3" xfId="14082"/>
    <cellStyle name="20% - Accent4 6 4 4 3 2" xfId="31703"/>
    <cellStyle name="20% - Accent4 6 4 4 4" xfId="25015"/>
    <cellStyle name="20% - Accent4 6 4 5" xfId="6836"/>
    <cellStyle name="20% - Accent4 6 4 5 2" xfId="10043"/>
    <cellStyle name="20% - Accent4 6 4 5 2 2" xfId="17830"/>
    <cellStyle name="20% - Accent4 6 4 5 2 2 2" xfId="35453"/>
    <cellStyle name="20% - Accent4 6 4 5 2 3" xfId="28412"/>
    <cellStyle name="20% - Accent4 6 4 5 3" xfId="14618"/>
    <cellStyle name="20% - Accent4 6 4 5 3 2" xfId="32239"/>
    <cellStyle name="20% - Accent4 6 4 5 4" xfId="25552"/>
    <cellStyle name="20% - Accent4 6 4 6" xfId="7661"/>
    <cellStyle name="20% - Accent4 6 4 6 2" xfId="15452"/>
    <cellStyle name="20% - Accent4 6 4 6 2 2" xfId="33073"/>
    <cellStyle name="20% - Accent4 6 4 6 3" xfId="26080"/>
    <cellStyle name="20% - Accent4 6 4 7" xfId="11232"/>
    <cellStyle name="20% - Accent4 6 4 7 2" xfId="28946"/>
    <cellStyle name="20% - Accent4 6 4 8" xfId="23219"/>
    <cellStyle name="20% - Accent4 6 4 9" xfId="51758"/>
    <cellStyle name="20% - Accent4 6 5" xfId="480"/>
    <cellStyle name="20% - Accent4 6 5 2" xfId="3692"/>
    <cellStyle name="20% - Accent4 6 5 2 2" xfId="8298"/>
    <cellStyle name="20% - Accent4 6 5 2 2 2" xfId="16088"/>
    <cellStyle name="20% - Accent4 6 5 2 2 2 2" xfId="33709"/>
    <cellStyle name="20% - Accent4 6 5 2 2 3" xfId="26698"/>
    <cellStyle name="20% - Accent4 6 5 2 3" xfId="12412"/>
    <cellStyle name="20% - Accent4 6 5 2 3 2" xfId="30069"/>
    <cellStyle name="20% - Accent4 6 5 2 4" xfId="23837"/>
    <cellStyle name="20% - Accent4 6 5 3" xfId="5670"/>
    <cellStyle name="20% - Accent4 6 5 3 2" xfId="8967"/>
    <cellStyle name="20% - Accent4 6 5 3 2 2" xfId="16756"/>
    <cellStyle name="20% - Accent4 6 5 3 2 2 2" xfId="34378"/>
    <cellStyle name="20% - Accent4 6 5 3 2 3" xfId="27341"/>
    <cellStyle name="20% - Accent4 6 5 3 3" xfId="13520"/>
    <cellStyle name="20% - Accent4 6 5 3 3 2" xfId="31146"/>
    <cellStyle name="20% - Accent4 6 5 3 4" xfId="24480"/>
    <cellStyle name="20% - Accent4 6 5 4" xfId="6300"/>
    <cellStyle name="20% - Accent4 6 5 4 2" xfId="9507"/>
    <cellStyle name="20% - Accent4 6 5 4 2 2" xfId="17295"/>
    <cellStyle name="20% - Accent4 6 5 4 2 2 2" xfId="34918"/>
    <cellStyle name="20% - Accent4 6 5 4 2 3" xfId="27877"/>
    <cellStyle name="20% - Accent4 6 5 4 3" xfId="14083"/>
    <cellStyle name="20% - Accent4 6 5 4 3 2" xfId="31704"/>
    <cellStyle name="20% - Accent4 6 5 4 4" xfId="25016"/>
    <cellStyle name="20% - Accent4 6 5 5" xfId="6837"/>
    <cellStyle name="20% - Accent4 6 5 5 2" xfId="10044"/>
    <cellStyle name="20% - Accent4 6 5 5 2 2" xfId="17831"/>
    <cellStyle name="20% - Accent4 6 5 5 2 2 2" xfId="35454"/>
    <cellStyle name="20% - Accent4 6 5 5 2 3" xfId="28413"/>
    <cellStyle name="20% - Accent4 6 5 5 3" xfId="14619"/>
    <cellStyle name="20% - Accent4 6 5 5 3 2" xfId="32240"/>
    <cellStyle name="20% - Accent4 6 5 5 4" xfId="25553"/>
    <cellStyle name="20% - Accent4 6 5 6" xfId="7662"/>
    <cellStyle name="20% - Accent4 6 5 6 2" xfId="15453"/>
    <cellStyle name="20% - Accent4 6 5 6 2 2" xfId="33074"/>
    <cellStyle name="20% - Accent4 6 5 6 3" xfId="26081"/>
    <cellStyle name="20% - Accent4 6 5 7" xfId="11233"/>
    <cellStyle name="20% - Accent4 6 5 7 2" xfId="28947"/>
    <cellStyle name="20% - Accent4 6 5 8" xfId="23220"/>
    <cellStyle name="20% - Accent4 6 5 9" xfId="51759"/>
    <cellStyle name="20% - Accent4 6 6" xfId="481"/>
    <cellStyle name="20% - Accent4 6 6 2" xfId="3693"/>
    <cellStyle name="20% - Accent4 6 6 2 2" xfId="8299"/>
    <cellStyle name="20% - Accent4 6 6 2 2 2" xfId="16089"/>
    <cellStyle name="20% - Accent4 6 6 2 2 2 2" xfId="33710"/>
    <cellStyle name="20% - Accent4 6 6 2 2 3" xfId="26699"/>
    <cellStyle name="20% - Accent4 6 6 2 3" xfId="12413"/>
    <cellStyle name="20% - Accent4 6 6 2 3 2" xfId="30070"/>
    <cellStyle name="20% - Accent4 6 6 2 4" xfId="23838"/>
    <cellStyle name="20% - Accent4 6 6 3" xfId="5671"/>
    <cellStyle name="20% - Accent4 6 6 3 2" xfId="8968"/>
    <cellStyle name="20% - Accent4 6 6 3 2 2" xfId="16757"/>
    <cellStyle name="20% - Accent4 6 6 3 2 2 2" xfId="34379"/>
    <cellStyle name="20% - Accent4 6 6 3 2 3" xfId="27342"/>
    <cellStyle name="20% - Accent4 6 6 3 3" xfId="13521"/>
    <cellStyle name="20% - Accent4 6 6 3 3 2" xfId="31147"/>
    <cellStyle name="20% - Accent4 6 6 3 4" xfId="24481"/>
    <cellStyle name="20% - Accent4 6 6 4" xfId="6301"/>
    <cellStyle name="20% - Accent4 6 6 4 2" xfId="9508"/>
    <cellStyle name="20% - Accent4 6 6 4 2 2" xfId="17296"/>
    <cellStyle name="20% - Accent4 6 6 4 2 2 2" xfId="34919"/>
    <cellStyle name="20% - Accent4 6 6 4 2 3" xfId="27878"/>
    <cellStyle name="20% - Accent4 6 6 4 3" xfId="14084"/>
    <cellStyle name="20% - Accent4 6 6 4 3 2" xfId="31705"/>
    <cellStyle name="20% - Accent4 6 6 4 4" xfId="25017"/>
    <cellStyle name="20% - Accent4 6 6 5" xfId="6838"/>
    <cellStyle name="20% - Accent4 6 6 5 2" xfId="10045"/>
    <cellStyle name="20% - Accent4 6 6 5 2 2" xfId="17832"/>
    <cellStyle name="20% - Accent4 6 6 5 2 2 2" xfId="35455"/>
    <cellStyle name="20% - Accent4 6 6 5 2 3" xfId="28414"/>
    <cellStyle name="20% - Accent4 6 6 5 3" xfId="14620"/>
    <cellStyle name="20% - Accent4 6 6 5 3 2" xfId="32241"/>
    <cellStyle name="20% - Accent4 6 6 5 4" xfId="25554"/>
    <cellStyle name="20% - Accent4 6 6 6" xfId="7663"/>
    <cellStyle name="20% - Accent4 6 6 6 2" xfId="15454"/>
    <cellStyle name="20% - Accent4 6 6 6 2 2" xfId="33075"/>
    <cellStyle name="20% - Accent4 6 6 6 3" xfId="26082"/>
    <cellStyle name="20% - Accent4 6 6 7" xfId="11234"/>
    <cellStyle name="20% - Accent4 6 6 7 2" xfId="28948"/>
    <cellStyle name="20% - Accent4 6 6 8" xfId="23221"/>
    <cellStyle name="20% - Accent4 6 6 9" xfId="51760"/>
    <cellStyle name="20% - Accent4 6 7" xfId="482"/>
    <cellStyle name="20% - Accent4 6 7 10" xfId="51761"/>
    <cellStyle name="20% - Accent4 6 7 2" xfId="483"/>
    <cellStyle name="20% - Accent4 6 7 2 2" xfId="8301"/>
    <cellStyle name="20% - Accent4 6 7 2 2 2" xfId="16091"/>
    <cellStyle name="20% - Accent4 6 7 2 2 2 2" xfId="33712"/>
    <cellStyle name="20% - Accent4 6 7 2 2 3" xfId="26701"/>
    <cellStyle name="20% - Accent4 6 7 2 3" xfId="12415"/>
    <cellStyle name="20% - Accent4 6 7 2 3 2" xfId="30072"/>
    <cellStyle name="20% - Accent4 6 7 2 4" xfId="23840"/>
    <cellStyle name="20% - Accent4 6 7 3" xfId="3694"/>
    <cellStyle name="20% - Accent4 6 7 3 2" xfId="8300"/>
    <cellStyle name="20% - Accent4 6 7 3 2 2" xfId="16090"/>
    <cellStyle name="20% - Accent4 6 7 3 2 2 2" xfId="33711"/>
    <cellStyle name="20% - Accent4 6 7 3 2 3" xfId="26700"/>
    <cellStyle name="20% - Accent4 6 7 3 3" xfId="12414"/>
    <cellStyle name="20% - Accent4 6 7 3 3 2" xfId="30071"/>
    <cellStyle name="20% - Accent4 6 7 3 4" xfId="23839"/>
    <cellStyle name="20% - Accent4 6 7 4" xfId="5672"/>
    <cellStyle name="20% - Accent4 6 7 4 2" xfId="8969"/>
    <cellStyle name="20% - Accent4 6 7 4 2 2" xfId="16758"/>
    <cellStyle name="20% - Accent4 6 7 4 2 2 2" xfId="34380"/>
    <cellStyle name="20% - Accent4 6 7 4 2 3" xfId="27343"/>
    <cellStyle name="20% - Accent4 6 7 4 3" xfId="13522"/>
    <cellStyle name="20% - Accent4 6 7 4 3 2" xfId="31148"/>
    <cellStyle name="20% - Accent4 6 7 4 4" xfId="24482"/>
    <cellStyle name="20% - Accent4 6 7 5" xfId="6302"/>
    <cellStyle name="20% - Accent4 6 7 5 2" xfId="9509"/>
    <cellStyle name="20% - Accent4 6 7 5 2 2" xfId="17297"/>
    <cellStyle name="20% - Accent4 6 7 5 2 2 2" xfId="34920"/>
    <cellStyle name="20% - Accent4 6 7 5 2 3" xfId="27879"/>
    <cellStyle name="20% - Accent4 6 7 5 3" xfId="14085"/>
    <cellStyle name="20% - Accent4 6 7 5 3 2" xfId="31706"/>
    <cellStyle name="20% - Accent4 6 7 5 4" xfId="25018"/>
    <cellStyle name="20% - Accent4 6 7 6" xfId="6839"/>
    <cellStyle name="20% - Accent4 6 7 6 2" xfId="10046"/>
    <cellStyle name="20% - Accent4 6 7 6 2 2" xfId="17833"/>
    <cellStyle name="20% - Accent4 6 7 6 2 2 2" xfId="35456"/>
    <cellStyle name="20% - Accent4 6 7 6 2 3" xfId="28415"/>
    <cellStyle name="20% - Accent4 6 7 6 3" xfId="14621"/>
    <cellStyle name="20% - Accent4 6 7 6 3 2" xfId="32242"/>
    <cellStyle name="20% - Accent4 6 7 6 4" xfId="25555"/>
    <cellStyle name="20% - Accent4 6 7 7" xfId="7664"/>
    <cellStyle name="20% - Accent4 6 7 7 2" xfId="15455"/>
    <cellStyle name="20% - Accent4 6 7 7 2 2" xfId="33076"/>
    <cellStyle name="20% - Accent4 6 7 7 3" xfId="26083"/>
    <cellStyle name="20% - Accent4 6 7 8" xfId="11235"/>
    <cellStyle name="20% - Accent4 6 7 8 2" xfId="28949"/>
    <cellStyle name="20% - Accent4 6 7 9" xfId="23222"/>
    <cellStyle name="20% - Accent4 6 8" xfId="3695"/>
    <cellStyle name="20% - Accent4 6 8 2" xfId="8302"/>
    <cellStyle name="20% - Accent4 6 8 2 2" xfId="16092"/>
    <cellStyle name="20% - Accent4 6 8 2 2 2" xfId="33713"/>
    <cellStyle name="20% - Accent4 6 8 2 3" xfId="26702"/>
    <cellStyle name="20% - Accent4 6 8 3" xfId="12416"/>
    <cellStyle name="20% - Accent4 6 8 3 2" xfId="30073"/>
    <cellStyle name="20% - Accent4 6 8 4" xfId="23841"/>
    <cellStyle name="20% - Accent4 6 9" xfId="3696"/>
    <cellStyle name="20% - Accent4 6 9 2" xfId="8303"/>
    <cellStyle name="20% - Accent4 6 9 2 2" xfId="16093"/>
    <cellStyle name="20% - Accent4 6 9 2 2 2" xfId="33714"/>
    <cellStyle name="20% - Accent4 6 9 2 3" xfId="26703"/>
    <cellStyle name="20% - Accent4 6 9 3" xfId="12417"/>
    <cellStyle name="20% - Accent4 6 9 3 2" xfId="30074"/>
    <cellStyle name="20% - Accent4 6 9 4" xfId="23842"/>
    <cellStyle name="20% - Accent4 7" xfId="484"/>
    <cellStyle name="20% - Accent4 7 10" xfId="3697"/>
    <cellStyle name="20% - Accent4 7 10 2" xfId="8304"/>
    <cellStyle name="20% - Accent4 7 10 2 2" xfId="16094"/>
    <cellStyle name="20% - Accent4 7 10 2 2 2" xfId="33715"/>
    <cellStyle name="20% - Accent4 7 10 2 3" xfId="26704"/>
    <cellStyle name="20% - Accent4 7 10 3" xfId="12418"/>
    <cellStyle name="20% - Accent4 7 10 3 2" xfId="30075"/>
    <cellStyle name="20% - Accent4 7 10 4" xfId="23843"/>
    <cellStyle name="20% - Accent4 7 11" xfId="5673"/>
    <cellStyle name="20% - Accent4 7 11 2" xfId="8970"/>
    <cellStyle name="20% - Accent4 7 11 2 2" xfId="16759"/>
    <cellStyle name="20% - Accent4 7 11 2 2 2" xfId="34381"/>
    <cellStyle name="20% - Accent4 7 11 2 3" xfId="27344"/>
    <cellStyle name="20% - Accent4 7 11 3" xfId="13523"/>
    <cellStyle name="20% - Accent4 7 11 3 2" xfId="31149"/>
    <cellStyle name="20% - Accent4 7 11 4" xfId="24483"/>
    <cellStyle name="20% - Accent4 7 12" xfId="6303"/>
    <cellStyle name="20% - Accent4 7 12 2" xfId="9510"/>
    <cellStyle name="20% - Accent4 7 12 2 2" xfId="17298"/>
    <cellStyle name="20% - Accent4 7 12 2 2 2" xfId="34921"/>
    <cellStyle name="20% - Accent4 7 12 2 3" xfId="27880"/>
    <cellStyle name="20% - Accent4 7 12 3" xfId="14086"/>
    <cellStyle name="20% - Accent4 7 12 3 2" xfId="31707"/>
    <cellStyle name="20% - Accent4 7 12 4" xfId="25019"/>
    <cellStyle name="20% - Accent4 7 13" xfId="6840"/>
    <cellStyle name="20% - Accent4 7 13 2" xfId="10047"/>
    <cellStyle name="20% - Accent4 7 13 2 2" xfId="17834"/>
    <cellStyle name="20% - Accent4 7 13 2 2 2" xfId="35457"/>
    <cellStyle name="20% - Accent4 7 13 2 3" xfId="28416"/>
    <cellStyle name="20% - Accent4 7 13 3" xfId="14622"/>
    <cellStyle name="20% - Accent4 7 13 3 2" xfId="32243"/>
    <cellStyle name="20% - Accent4 7 13 4" xfId="25556"/>
    <cellStyle name="20% - Accent4 7 14" xfId="7665"/>
    <cellStyle name="20% - Accent4 7 14 2" xfId="15456"/>
    <cellStyle name="20% - Accent4 7 14 2 2" xfId="33077"/>
    <cellStyle name="20% - Accent4 7 14 3" xfId="26084"/>
    <cellStyle name="20% - Accent4 7 15" xfId="11236"/>
    <cellStyle name="20% - Accent4 7 15 2" xfId="28950"/>
    <cellStyle name="20% - Accent4 7 16" xfId="22060"/>
    <cellStyle name="20% - Accent4 7 16 2" xfId="38750"/>
    <cellStyle name="20% - Accent4 7 17" xfId="23223"/>
    <cellStyle name="20% - Accent4 7 18" xfId="51762"/>
    <cellStyle name="20% - Accent4 7 2" xfId="485"/>
    <cellStyle name="20% - Accent4 7 2 10" xfId="51763"/>
    <cellStyle name="20% - Accent4 7 2 2" xfId="3698"/>
    <cellStyle name="20% - Accent4 7 2 2 2" xfId="8305"/>
    <cellStyle name="20% - Accent4 7 2 2 2 2" xfId="16095"/>
    <cellStyle name="20% - Accent4 7 2 2 2 2 2" xfId="33716"/>
    <cellStyle name="20% - Accent4 7 2 2 2 3" xfId="26705"/>
    <cellStyle name="20% - Accent4 7 2 2 3" xfId="12419"/>
    <cellStyle name="20% - Accent4 7 2 2 3 2" xfId="30076"/>
    <cellStyle name="20% - Accent4 7 2 2 4" xfId="23844"/>
    <cellStyle name="20% - Accent4 7 2 3" xfId="5674"/>
    <cellStyle name="20% - Accent4 7 2 3 2" xfId="8971"/>
    <cellStyle name="20% - Accent4 7 2 3 2 2" xfId="16760"/>
    <cellStyle name="20% - Accent4 7 2 3 2 2 2" xfId="34382"/>
    <cellStyle name="20% - Accent4 7 2 3 2 3" xfId="27345"/>
    <cellStyle name="20% - Accent4 7 2 3 3" xfId="13524"/>
    <cellStyle name="20% - Accent4 7 2 3 3 2" xfId="31150"/>
    <cellStyle name="20% - Accent4 7 2 3 4" xfId="24484"/>
    <cellStyle name="20% - Accent4 7 2 4" xfId="6304"/>
    <cellStyle name="20% - Accent4 7 2 4 2" xfId="9511"/>
    <cellStyle name="20% - Accent4 7 2 4 2 2" xfId="17299"/>
    <cellStyle name="20% - Accent4 7 2 4 2 2 2" xfId="34922"/>
    <cellStyle name="20% - Accent4 7 2 4 2 3" xfId="27881"/>
    <cellStyle name="20% - Accent4 7 2 4 3" xfId="14087"/>
    <cellStyle name="20% - Accent4 7 2 4 3 2" xfId="31708"/>
    <cellStyle name="20% - Accent4 7 2 4 4" xfId="25020"/>
    <cellStyle name="20% - Accent4 7 2 5" xfId="6841"/>
    <cellStyle name="20% - Accent4 7 2 5 2" xfId="10048"/>
    <cellStyle name="20% - Accent4 7 2 5 2 2" xfId="17835"/>
    <cellStyle name="20% - Accent4 7 2 5 2 2 2" xfId="35458"/>
    <cellStyle name="20% - Accent4 7 2 5 2 3" xfId="28417"/>
    <cellStyle name="20% - Accent4 7 2 5 3" xfId="14623"/>
    <cellStyle name="20% - Accent4 7 2 5 3 2" xfId="32244"/>
    <cellStyle name="20% - Accent4 7 2 5 4" xfId="25557"/>
    <cellStyle name="20% - Accent4 7 2 6" xfId="7666"/>
    <cellStyle name="20% - Accent4 7 2 6 2" xfId="15457"/>
    <cellStyle name="20% - Accent4 7 2 6 2 2" xfId="33078"/>
    <cellStyle name="20% - Accent4 7 2 6 3" xfId="26085"/>
    <cellStyle name="20% - Accent4 7 2 7" xfId="11237"/>
    <cellStyle name="20% - Accent4 7 2 7 2" xfId="28951"/>
    <cellStyle name="20% - Accent4 7 2 8" xfId="22708"/>
    <cellStyle name="20% - Accent4 7 2 8 2" xfId="38904"/>
    <cellStyle name="20% - Accent4 7 2 9" xfId="23224"/>
    <cellStyle name="20% - Accent4 7 3" xfId="486"/>
    <cellStyle name="20% - Accent4 7 3 10" xfId="23225"/>
    <cellStyle name="20% - Accent4 7 3 11" xfId="51764"/>
    <cellStyle name="20% - Accent4 7 3 2" xfId="487"/>
    <cellStyle name="20% - Accent4 7 3 2 2" xfId="3700"/>
    <cellStyle name="20% - Accent4 7 3 2 2 2" xfId="8307"/>
    <cellStyle name="20% - Accent4 7 3 2 2 2 2" xfId="16097"/>
    <cellStyle name="20% - Accent4 7 3 2 2 2 2 2" xfId="33718"/>
    <cellStyle name="20% - Accent4 7 3 2 2 2 3" xfId="26707"/>
    <cellStyle name="20% - Accent4 7 3 2 2 3" xfId="12421"/>
    <cellStyle name="20% - Accent4 7 3 2 2 3 2" xfId="30078"/>
    <cellStyle name="20% - Accent4 7 3 2 2 4" xfId="23846"/>
    <cellStyle name="20% - Accent4 7 3 2 3" xfId="5676"/>
    <cellStyle name="20% - Accent4 7 3 2 3 2" xfId="8973"/>
    <cellStyle name="20% - Accent4 7 3 2 3 2 2" xfId="16762"/>
    <cellStyle name="20% - Accent4 7 3 2 3 2 2 2" xfId="34384"/>
    <cellStyle name="20% - Accent4 7 3 2 3 2 3" xfId="27347"/>
    <cellStyle name="20% - Accent4 7 3 2 3 3" xfId="13526"/>
    <cellStyle name="20% - Accent4 7 3 2 3 3 2" xfId="31152"/>
    <cellStyle name="20% - Accent4 7 3 2 3 4" xfId="24486"/>
    <cellStyle name="20% - Accent4 7 3 2 4" xfId="6306"/>
    <cellStyle name="20% - Accent4 7 3 2 4 2" xfId="9513"/>
    <cellStyle name="20% - Accent4 7 3 2 4 2 2" xfId="17301"/>
    <cellStyle name="20% - Accent4 7 3 2 4 2 2 2" xfId="34924"/>
    <cellStyle name="20% - Accent4 7 3 2 4 2 3" xfId="27883"/>
    <cellStyle name="20% - Accent4 7 3 2 4 3" xfId="14089"/>
    <cellStyle name="20% - Accent4 7 3 2 4 3 2" xfId="31710"/>
    <cellStyle name="20% - Accent4 7 3 2 4 4" xfId="25022"/>
    <cellStyle name="20% - Accent4 7 3 2 5" xfId="6843"/>
    <cellStyle name="20% - Accent4 7 3 2 5 2" xfId="10050"/>
    <cellStyle name="20% - Accent4 7 3 2 5 2 2" xfId="17837"/>
    <cellStyle name="20% - Accent4 7 3 2 5 2 2 2" xfId="35460"/>
    <cellStyle name="20% - Accent4 7 3 2 5 2 3" xfId="28419"/>
    <cellStyle name="20% - Accent4 7 3 2 5 3" xfId="14625"/>
    <cellStyle name="20% - Accent4 7 3 2 5 3 2" xfId="32246"/>
    <cellStyle name="20% - Accent4 7 3 2 5 4" xfId="25559"/>
    <cellStyle name="20% - Accent4 7 3 2 6" xfId="7668"/>
    <cellStyle name="20% - Accent4 7 3 2 6 2" xfId="15459"/>
    <cellStyle name="20% - Accent4 7 3 2 6 2 2" xfId="33080"/>
    <cellStyle name="20% - Accent4 7 3 2 6 3" xfId="26087"/>
    <cellStyle name="20% - Accent4 7 3 2 7" xfId="11239"/>
    <cellStyle name="20% - Accent4 7 3 2 7 2" xfId="28953"/>
    <cellStyle name="20% - Accent4 7 3 2 8" xfId="23226"/>
    <cellStyle name="20% - Accent4 7 3 2 9" xfId="51765"/>
    <cellStyle name="20% - Accent4 7 3 3" xfId="3701"/>
    <cellStyle name="20% - Accent4 7 3 3 2" xfId="5677"/>
    <cellStyle name="20% - Accent4 7 3 3 2 2" xfId="8974"/>
    <cellStyle name="20% - Accent4 7 3 3 2 2 2" xfId="16763"/>
    <cellStyle name="20% - Accent4 7 3 3 2 2 2 2" xfId="34385"/>
    <cellStyle name="20% - Accent4 7 3 3 2 2 3" xfId="27348"/>
    <cellStyle name="20% - Accent4 7 3 3 2 3" xfId="13527"/>
    <cellStyle name="20% - Accent4 7 3 3 2 3 2" xfId="31153"/>
    <cellStyle name="20% - Accent4 7 3 3 2 4" xfId="24487"/>
    <cellStyle name="20% - Accent4 7 3 3 3" xfId="6307"/>
    <cellStyle name="20% - Accent4 7 3 3 3 2" xfId="9514"/>
    <cellStyle name="20% - Accent4 7 3 3 3 2 2" xfId="17302"/>
    <cellStyle name="20% - Accent4 7 3 3 3 2 2 2" xfId="34925"/>
    <cellStyle name="20% - Accent4 7 3 3 3 2 3" xfId="27884"/>
    <cellStyle name="20% - Accent4 7 3 3 3 3" xfId="14090"/>
    <cellStyle name="20% - Accent4 7 3 3 3 3 2" xfId="31711"/>
    <cellStyle name="20% - Accent4 7 3 3 3 4" xfId="25023"/>
    <cellStyle name="20% - Accent4 7 3 3 4" xfId="6844"/>
    <cellStyle name="20% - Accent4 7 3 3 4 2" xfId="10051"/>
    <cellStyle name="20% - Accent4 7 3 3 4 2 2" xfId="17838"/>
    <cellStyle name="20% - Accent4 7 3 3 4 2 2 2" xfId="35461"/>
    <cellStyle name="20% - Accent4 7 3 3 4 2 3" xfId="28420"/>
    <cellStyle name="20% - Accent4 7 3 3 4 3" xfId="14626"/>
    <cellStyle name="20% - Accent4 7 3 3 4 3 2" xfId="32247"/>
    <cellStyle name="20% - Accent4 7 3 3 4 4" xfId="25560"/>
    <cellStyle name="20% - Accent4 7 3 3 5" xfId="8308"/>
    <cellStyle name="20% - Accent4 7 3 3 5 2" xfId="16098"/>
    <cellStyle name="20% - Accent4 7 3 3 5 2 2" xfId="33719"/>
    <cellStyle name="20% - Accent4 7 3 3 5 3" xfId="26708"/>
    <cellStyle name="20% - Accent4 7 3 3 6" xfId="12422"/>
    <cellStyle name="20% - Accent4 7 3 3 6 2" xfId="30079"/>
    <cellStyle name="20% - Accent4 7 3 3 7" xfId="23847"/>
    <cellStyle name="20% - Accent4 7 3 4" xfId="3699"/>
    <cellStyle name="20% - Accent4 7 3 4 2" xfId="8306"/>
    <cellStyle name="20% - Accent4 7 3 4 2 2" xfId="16096"/>
    <cellStyle name="20% - Accent4 7 3 4 2 2 2" xfId="33717"/>
    <cellStyle name="20% - Accent4 7 3 4 2 3" xfId="26706"/>
    <cellStyle name="20% - Accent4 7 3 4 3" xfId="12420"/>
    <cellStyle name="20% - Accent4 7 3 4 3 2" xfId="30077"/>
    <cellStyle name="20% - Accent4 7 3 4 4" xfId="23845"/>
    <cellStyle name="20% - Accent4 7 3 5" xfId="5675"/>
    <cellStyle name="20% - Accent4 7 3 5 2" xfId="8972"/>
    <cellStyle name="20% - Accent4 7 3 5 2 2" xfId="16761"/>
    <cellStyle name="20% - Accent4 7 3 5 2 2 2" xfId="34383"/>
    <cellStyle name="20% - Accent4 7 3 5 2 3" xfId="27346"/>
    <cellStyle name="20% - Accent4 7 3 5 3" xfId="13525"/>
    <cellStyle name="20% - Accent4 7 3 5 3 2" xfId="31151"/>
    <cellStyle name="20% - Accent4 7 3 5 4" xfId="24485"/>
    <cellStyle name="20% - Accent4 7 3 6" xfId="6305"/>
    <cellStyle name="20% - Accent4 7 3 6 2" xfId="9512"/>
    <cellStyle name="20% - Accent4 7 3 6 2 2" xfId="17300"/>
    <cellStyle name="20% - Accent4 7 3 6 2 2 2" xfId="34923"/>
    <cellStyle name="20% - Accent4 7 3 6 2 3" xfId="27882"/>
    <cellStyle name="20% - Accent4 7 3 6 3" xfId="14088"/>
    <cellStyle name="20% - Accent4 7 3 6 3 2" xfId="31709"/>
    <cellStyle name="20% - Accent4 7 3 6 4" xfId="25021"/>
    <cellStyle name="20% - Accent4 7 3 7" xfId="6842"/>
    <cellStyle name="20% - Accent4 7 3 7 2" xfId="10049"/>
    <cellStyle name="20% - Accent4 7 3 7 2 2" xfId="17836"/>
    <cellStyle name="20% - Accent4 7 3 7 2 2 2" xfId="35459"/>
    <cellStyle name="20% - Accent4 7 3 7 2 3" xfId="28418"/>
    <cellStyle name="20% - Accent4 7 3 7 3" xfId="14624"/>
    <cellStyle name="20% - Accent4 7 3 7 3 2" xfId="32245"/>
    <cellStyle name="20% - Accent4 7 3 7 4" xfId="25558"/>
    <cellStyle name="20% - Accent4 7 3 8" xfId="7667"/>
    <cellStyle name="20% - Accent4 7 3 8 2" xfId="15458"/>
    <cellStyle name="20% - Accent4 7 3 8 2 2" xfId="33079"/>
    <cellStyle name="20% - Accent4 7 3 8 3" xfId="26086"/>
    <cellStyle name="20% - Accent4 7 3 9" xfId="11238"/>
    <cellStyle name="20% - Accent4 7 3 9 2" xfId="28952"/>
    <cellStyle name="20% - Accent4 7 4" xfId="488"/>
    <cellStyle name="20% - Accent4 7 4 2" xfId="3702"/>
    <cellStyle name="20% - Accent4 7 4 2 2" xfId="8309"/>
    <cellStyle name="20% - Accent4 7 4 2 2 2" xfId="16099"/>
    <cellStyle name="20% - Accent4 7 4 2 2 2 2" xfId="33720"/>
    <cellStyle name="20% - Accent4 7 4 2 2 3" xfId="26709"/>
    <cellStyle name="20% - Accent4 7 4 2 3" xfId="12423"/>
    <cellStyle name="20% - Accent4 7 4 2 3 2" xfId="30080"/>
    <cellStyle name="20% - Accent4 7 4 2 4" xfId="23848"/>
    <cellStyle name="20% - Accent4 7 4 3" xfId="5678"/>
    <cellStyle name="20% - Accent4 7 4 3 2" xfId="8975"/>
    <cellStyle name="20% - Accent4 7 4 3 2 2" xfId="16764"/>
    <cellStyle name="20% - Accent4 7 4 3 2 2 2" xfId="34386"/>
    <cellStyle name="20% - Accent4 7 4 3 2 3" xfId="27349"/>
    <cellStyle name="20% - Accent4 7 4 3 3" xfId="13528"/>
    <cellStyle name="20% - Accent4 7 4 3 3 2" xfId="31154"/>
    <cellStyle name="20% - Accent4 7 4 3 4" xfId="24488"/>
    <cellStyle name="20% - Accent4 7 4 4" xfId="6308"/>
    <cellStyle name="20% - Accent4 7 4 4 2" xfId="9515"/>
    <cellStyle name="20% - Accent4 7 4 4 2 2" xfId="17303"/>
    <cellStyle name="20% - Accent4 7 4 4 2 2 2" xfId="34926"/>
    <cellStyle name="20% - Accent4 7 4 4 2 3" xfId="27885"/>
    <cellStyle name="20% - Accent4 7 4 4 3" xfId="14091"/>
    <cellStyle name="20% - Accent4 7 4 4 3 2" xfId="31712"/>
    <cellStyle name="20% - Accent4 7 4 4 4" xfId="25024"/>
    <cellStyle name="20% - Accent4 7 4 5" xfId="6845"/>
    <cellStyle name="20% - Accent4 7 4 5 2" xfId="10052"/>
    <cellStyle name="20% - Accent4 7 4 5 2 2" xfId="17839"/>
    <cellStyle name="20% - Accent4 7 4 5 2 2 2" xfId="35462"/>
    <cellStyle name="20% - Accent4 7 4 5 2 3" xfId="28421"/>
    <cellStyle name="20% - Accent4 7 4 5 3" xfId="14627"/>
    <cellStyle name="20% - Accent4 7 4 5 3 2" xfId="32248"/>
    <cellStyle name="20% - Accent4 7 4 5 4" xfId="25561"/>
    <cellStyle name="20% - Accent4 7 4 6" xfId="7669"/>
    <cellStyle name="20% - Accent4 7 4 6 2" xfId="15460"/>
    <cellStyle name="20% - Accent4 7 4 6 2 2" xfId="33081"/>
    <cellStyle name="20% - Accent4 7 4 6 3" xfId="26088"/>
    <cellStyle name="20% - Accent4 7 4 7" xfId="11240"/>
    <cellStyle name="20% - Accent4 7 4 7 2" xfId="28954"/>
    <cellStyle name="20% - Accent4 7 4 8" xfId="23227"/>
    <cellStyle name="20% - Accent4 7 4 9" xfId="51766"/>
    <cellStyle name="20% - Accent4 7 5" xfId="489"/>
    <cellStyle name="20% - Accent4 7 5 2" xfId="3703"/>
    <cellStyle name="20% - Accent4 7 5 2 2" xfId="8310"/>
    <cellStyle name="20% - Accent4 7 5 2 2 2" xfId="16100"/>
    <cellStyle name="20% - Accent4 7 5 2 2 2 2" xfId="33721"/>
    <cellStyle name="20% - Accent4 7 5 2 2 3" xfId="26710"/>
    <cellStyle name="20% - Accent4 7 5 2 3" xfId="12424"/>
    <cellStyle name="20% - Accent4 7 5 2 3 2" xfId="30081"/>
    <cellStyle name="20% - Accent4 7 5 2 4" xfId="23849"/>
    <cellStyle name="20% - Accent4 7 5 3" xfId="5679"/>
    <cellStyle name="20% - Accent4 7 5 3 2" xfId="8976"/>
    <cellStyle name="20% - Accent4 7 5 3 2 2" xfId="16765"/>
    <cellStyle name="20% - Accent4 7 5 3 2 2 2" xfId="34387"/>
    <cellStyle name="20% - Accent4 7 5 3 2 3" xfId="27350"/>
    <cellStyle name="20% - Accent4 7 5 3 3" xfId="13529"/>
    <cellStyle name="20% - Accent4 7 5 3 3 2" xfId="31155"/>
    <cellStyle name="20% - Accent4 7 5 3 4" xfId="24489"/>
    <cellStyle name="20% - Accent4 7 5 4" xfId="6309"/>
    <cellStyle name="20% - Accent4 7 5 4 2" xfId="9516"/>
    <cellStyle name="20% - Accent4 7 5 4 2 2" xfId="17304"/>
    <cellStyle name="20% - Accent4 7 5 4 2 2 2" xfId="34927"/>
    <cellStyle name="20% - Accent4 7 5 4 2 3" xfId="27886"/>
    <cellStyle name="20% - Accent4 7 5 4 3" xfId="14092"/>
    <cellStyle name="20% - Accent4 7 5 4 3 2" xfId="31713"/>
    <cellStyle name="20% - Accent4 7 5 4 4" xfId="25025"/>
    <cellStyle name="20% - Accent4 7 5 5" xfId="6846"/>
    <cellStyle name="20% - Accent4 7 5 5 2" xfId="10053"/>
    <cellStyle name="20% - Accent4 7 5 5 2 2" xfId="17840"/>
    <cellStyle name="20% - Accent4 7 5 5 2 2 2" xfId="35463"/>
    <cellStyle name="20% - Accent4 7 5 5 2 3" xfId="28422"/>
    <cellStyle name="20% - Accent4 7 5 5 3" xfId="14628"/>
    <cellStyle name="20% - Accent4 7 5 5 3 2" xfId="32249"/>
    <cellStyle name="20% - Accent4 7 5 5 4" xfId="25562"/>
    <cellStyle name="20% - Accent4 7 5 6" xfId="7670"/>
    <cellStyle name="20% - Accent4 7 5 6 2" xfId="15461"/>
    <cellStyle name="20% - Accent4 7 5 6 2 2" xfId="33082"/>
    <cellStyle name="20% - Accent4 7 5 6 3" xfId="26089"/>
    <cellStyle name="20% - Accent4 7 5 7" xfId="11241"/>
    <cellStyle name="20% - Accent4 7 5 7 2" xfId="28955"/>
    <cellStyle name="20% - Accent4 7 5 8" xfId="23228"/>
    <cellStyle name="20% - Accent4 7 5 9" xfId="51767"/>
    <cellStyle name="20% - Accent4 7 6" xfId="490"/>
    <cellStyle name="20% - Accent4 7 6 2" xfId="3704"/>
    <cellStyle name="20% - Accent4 7 6 2 2" xfId="8311"/>
    <cellStyle name="20% - Accent4 7 6 2 2 2" xfId="16101"/>
    <cellStyle name="20% - Accent4 7 6 2 2 2 2" xfId="33722"/>
    <cellStyle name="20% - Accent4 7 6 2 2 3" xfId="26711"/>
    <cellStyle name="20% - Accent4 7 6 2 3" xfId="12425"/>
    <cellStyle name="20% - Accent4 7 6 2 3 2" xfId="30082"/>
    <cellStyle name="20% - Accent4 7 6 2 4" xfId="23850"/>
    <cellStyle name="20% - Accent4 7 6 3" xfId="5680"/>
    <cellStyle name="20% - Accent4 7 6 3 2" xfId="8977"/>
    <cellStyle name="20% - Accent4 7 6 3 2 2" xfId="16766"/>
    <cellStyle name="20% - Accent4 7 6 3 2 2 2" xfId="34388"/>
    <cellStyle name="20% - Accent4 7 6 3 2 3" xfId="27351"/>
    <cellStyle name="20% - Accent4 7 6 3 3" xfId="13530"/>
    <cellStyle name="20% - Accent4 7 6 3 3 2" xfId="31156"/>
    <cellStyle name="20% - Accent4 7 6 3 4" xfId="24490"/>
    <cellStyle name="20% - Accent4 7 6 4" xfId="6310"/>
    <cellStyle name="20% - Accent4 7 6 4 2" xfId="9517"/>
    <cellStyle name="20% - Accent4 7 6 4 2 2" xfId="17305"/>
    <cellStyle name="20% - Accent4 7 6 4 2 2 2" xfId="34928"/>
    <cellStyle name="20% - Accent4 7 6 4 2 3" xfId="27887"/>
    <cellStyle name="20% - Accent4 7 6 4 3" xfId="14093"/>
    <cellStyle name="20% - Accent4 7 6 4 3 2" xfId="31714"/>
    <cellStyle name="20% - Accent4 7 6 4 4" xfId="25026"/>
    <cellStyle name="20% - Accent4 7 6 5" xfId="6847"/>
    <cellStyle name="20% - Accent4 7 6 5 2" xfId="10054"/>
    <cellStyle name="20% - Accent4 7 6 5 2 2" xfId="17841"/>
    <cellStyle name="20% - Accent4 7 6 5 2 2 2" xfId="35464"/>
    <cellStyle name="20% - Accent4 7 6 5 2 3" xfId="28423"/>
    <cellStyle name="20% - Accent4 7 6 5 3" xfId="14629"/>
    <cellStyle name="20% - Accent4 7 6 5 3 2" xfId="32250"/>
    <cellStyle name="20% - Accent4 7 6 5 4" xfId="25563"/>
    <cellStyle name="20% - Accent4 7 6 6" xfId="7671"/>
    <cellStyle name="20% - Accent4 7 6 6 2" xfId="15462"/>
    <cellStyle name="20% - Accent4 7 6 6 2 2" xfId="33083"/>
    <cellStyle name="20% - Accent4 7 6 6 3" xfId="26090"/>
    <cellStyle name="20% - Accent4 7 6 7" xfId="11242"/>
    <cellStyle name="20% - Accent4 7 6 7 2" xfId="28956"/>
    <cellStyle name="20% - Accent4 7 6 8" xfId="23229"/>
    <cellStyle name="20% - Accent4 7 6 9" xfId="51768"/>
    <cellStyle name="20% - Accent4 7 7" xfId="491"/>
    <cellStyle name="20% - Accent4 7 7 10" xfId="51769"/>
    <cellStyle name="20% - Accent4 7 7 2" xfId="492"/>
    <cellStyle name="20% - Accent4 7 7 2 2" xfId="8313"/>
    <cellStyle name="20% - Accent4 7 7 2 2 2" xfId="16103"/>
    <cellStyle name="20% - Accent4 7 7 2 2 2 2" xfId="33724"/>
    <cellStyle name="20% - Accent4 7 7 2 2 3" xfId="26713"/>
    <cellStyle name="20% - Accent4 7 7 2 3" xfId="12427"/>
    <cellStyle name="20% - Accent4 7 7 2 3 2" xfId="30084"/>
    <cellStyle name="20% - Accent4 7 7 2 4" xfId="23852"/>
    <cellStyle name="20% - Accent4 7 7 3" xfId="3705"/>
    <cellStyle name="20% - Accent4 7 7 3 2" xfId="8312"/>
    <cellStyle name="20% - Accent4 7 7 3 2 2" xfId="16102"/>
    <cellStyle name="20% - Accent4 7 7 3 2 2 2" xfId="33723"/>
    <cellStyle name="20% - Accent4 7 7 3 2 3" xfId="26712"/>
    <cellStyle name="20% - Accent4 7 7 3 3" xfId="12426"/>
    <cellStyle name="20% - Accent4 7 7 3 3 2" xfId="30083"/>
    <cellStyle name="20% - Accent4 7 7 3 4" xfId="23851"/>
    <cellStyle name="20% - Accent4 7 7 4" xfId="5681"/>
    <cellStyle name="20% - Accent4 7 7 4 2" xfId="8978"/>
    <cellStyle name="20% - Accent4 7 7 4 2 2" xfId="16767"/>
    <cellStyle name="20% - Accent4 7 7 4 2 2 2" xfId="34389"/>
    <cellStyle name="20% - Accent4 7 7 4 2 3" xfId="27352"/>
    <cellStyle name="20% - Accent4 7 7 4 3" xfId="13531"/>
    <cellStyle name="20% - Accent4 7 7 4 3 2" xfId="31157"/>
    <cellStyle name="20% - Accent4 7 7 4 4" xfId="24491"/>
    <cellStyle name="20% - Accent4 7 7 5" xfId="6311"/>
    <cellStyle name="20% - Accent4 7 7 5 2" xfId="9518"/>
    <cellStyle name="20% - Accent4 7 7 5 2 2" xfId="17306"/>
    <cellStyle name="20% - Accent4 7 7 5 2 2 2" xfId="34929"/>
    <cellStyle name="20% - Accent4 7 7 5 2 3" xfId="27888"/>
    <cellStyle name="20% - Accent4 7 7 5 3" xfId="14094"/>
    <cellStyle name="20% - Accent4 7 7 5 3 2" xfId="31715"/>
    <cellStyle name="20% - Accent4 7 7 5 4" xfId="25027"/>
    <cellStyle name="20% - Accent4 7 7 6" xfId="6848"/>
    <cellStyle name="20% - Accent4 7 7 6 2" xfId="10055"/>
    <cellStyle name="20% - Accent4 7 7 6 2 2" xfId="17842"/>
    <cellStyle name="20% - Accent4 7 7 6 2 2 2" xfId="35465"/>
    <cellStyle name="20% - Accent4 7 7 6 2 3" xfId="28424"/>
    <cellStyle name="20% - Accent4 7 7 6 3" xfId="14630"/>
    <cellStyle name="20% - Accent4 7 7 6 3 2" xfId="32251"/>
    <cellStyle name="20% - Accent4 7 7 6 4" xfId="25564"/>
    <cellStyle name="20% - Accent4 7 7 7" xfId="7672"/>
    <cellStyle name="20% - Accent4 7 7 7 2" xfId="15463"/>
    <cellStyle name="20% - Accent4 7 7 7 2 2" xfId="33084"/>
    <cellStyle name="20% - Accent4 7 7 7 3" xfId="26091"/>
    <cellStyle name="20% - Accent4 7 7 8" xfId="11243"/>
    <cellStyle name="20% - Accent4 7 7 8 2" xfId="28957"/>
    <cellStyle name="20% - Accent4 7 7 9" xfId="23230"/>
    <cellStyle name="20% - Accent4 7 8" xfId="3706"/>
    <cellStyle name="20% - Accent4 7 8 2" xfId="8314"/>
    <cellStyle name="20% - Accent4 7 8 2 2" xfId="16104"/>
    <cellStyle name="20% - Accent4 7 8 2 2 2" xfId="33725"/>
    <cellStyle name="20% - Accent4 7 8 2 3" xfId="26714"/>
    <cellStyle name="20% - Accent4 7 8 3" xfId="12428"/>
    <cellStyle name="20% - Accent4 7 8 3 2" xfId="30085"/>
    <cellStyle name="20% - Accent4 7 8 4" xfId="23853"/>
    <cellStyle name="20% - Accent4 7 9" xfId="3707"/>
    <cellStyle name="20% - Accent4 7 9 2" xfId="8315"/>
    <cellStyle name="20% - Accent4 7 9 2 2" xfId="16105"/>
    <cellStyle name="20% - Accent4 7 9 2 2 2" xfId="33726"/>
    <cellStyle name="20% - Accent4 7 9 2 3" xfId="26715"/>
    <cellStyle name="20% - Accent4 7 9 3" xfId="12429"/>
    <cellStyle name="20% - Accent4 7 9 3 2" xfId="30086"/>
    <cellStyle name="20% - Accent4 7 9 4" xfId="23854"/>
    <cellStyle name="20% - Accent4 8" xfId="493"/>
    <cellStyle name="20% - Accent4 8 10" xfId="3708"/>
    <cellStyle name="20% - Accent4 8 10 2" xfId="8316"/>
    <cellStyle name="20% - Accent4 8 10 2 2" xfId="16106"/>
    <cellStyle name="20% - Accent4 8 10 2 2 2" xfId="33727"/>
    <cellStyle name="20% - Accent4 8 10 2 3" xfId="26716"/>
    <cellStyle name="20% - Accent4 8 10 3" xfId="12430"/>
    <cellStyle name="20% - Accent4 8 10 3 2" xfId="30087"/>
    <cellStyle name="20% - Accent4 8 10 4" xfId="23855"/>
    <cellStyle name="20% - Accent4 8 11" xfId="5682"/>
    <cellStyle name="20% - Accent4 8 11 2" xfId="8979"/>
    <cellStyle name="20% - Accent4 8 11 2 2" xfId="16768"/>
    <cellStyle name="20% - Accent4 8 11 2 2 2" xfId="34390"/>
    <cellStyle name="20% - Accent4 8 11 2 3" xfId="27353"/>
    <cellStyle name="20% - Accent4 8 11 3" xfId="13532"/>
    <cellStyle name="20% - Accent4 8 11 3 2" xfId="31158"/>
    <cellStyle name="20% - Accent4 8 11 4" xfId="24492"/>
    <cellStyle name="20% - Accent4 8 12" xfId="6312"/>
    <cellStyle name="20% - Accent4 8 12 2" xfId="9519"/>
    <cellStyle name="20% - Accent4 8 12 2 2" xfId="17307"/>
    <cellStyle name="20% - Accent4 8 12 2 2 2" xfId="34930"/>
    <cellStyle name="20% - Accent4 8 12 2 3" xfId="27889"/>
    <cellStyle name="20% - Accent4 8 12 3" xfId="14095"/>
    <cellStyle name="20% - Accent4 8 12 3 2" xfId="31716"/>
    <cellStyle name="20% - Accent4 8 12 4" xfId="25028"/>
    <cellStyle name="20% - Accent4 8 13" xfId="6849"/>
    <cellStyle name="20% - Accent4 8 13 2" xfId="10056"/>
    <cellStyle name="20% - Accent4 8 13 2 2" xfId="17843"/>
    <cellStyle name="20% - Accent4 8 13 2 2 2" xfId="35466"/>
    <cellStyle name="20% - Accent4 8 13 2 3" xfId="28425"/>
    <cellStyle name="20% - Accent4 8 13 3" xfId="14631"/>
    <cellStyle name="20% - Accent4 8 13 3 2" xfId="32252"/>
    <cellStyle name="20% - Accent4 8 13 4" xfId="25565"/>
    <cellStyle name="20% - Accent4 8 14" xfId="7673"/>
    <cellStyle name="20% - Accent4 8 14 2" xfId="15464"/>
    <cellStyle name="20% - Accent4 8 14 2 2" xfId="33085"/>
    <cellStyle name="20% - Accent4 8 14 3" xfId="26092"/>
    <cellStyle name="20% - Accent4 8 15" xfId="11244"/>
    <cellStyle name="20% - Accent4 8 15 2" xfId="28958"/>
    <cellStyle name="20% - Accent4 8 16" xfId="22061"/>
    <cellStyle name="20% - Accent4 8 16 2" xfId="38751"/>
    <cellStyle name="20% - Accent4 8 17" xfId="23231"/>
    <cellStyle name="20% - Accent4 8 18" xfId="51770"/>
    <cellStyle name="20% - Accent4 8 2" xfId="494"/>
    <cellStyle name="20% - Accent4 8 2 10" xfId="51771"/>
    <cellStyle name="20% - Accent4 8 2 2" xfId="3709"/>
    <cellStyle name="20% - Accent4 8 2 2 2" xfId="8317"/>
    <cellStyle name="20% - Accent4 8 2 2 2 2" xfId="16107"/>
    <cellStyle name="20% - Accent4 8 2 2 2 2 2" xfId="33728"/>
    <cellStyle name="20% - Accent4 8 2 2 2 3" xfId="26717"/>
    <cellStyle name="20% - Accent4 8 2 2 3" xfId="12431"/>
    <cellStyle name="20% - Accent4 8 2 2 3 2" xfId="30088"/>
    <cellStyle name="20% - Accent4 8 2 2 4" xfId="22710"/>
    <cellStyle name="20% - Accent4 8 2 2 4 2" xfId="38906"/>
    <cellStyle name="20% - Accent4 8 2 2 5" xfId="23856"/>
    <cellStyle name="20% - Accent4 8 2 3" xfId="5683"/>
    <cellStyle name="20% - Accent4 8 2 3 2" xfId="8980"/>
    <cellStyle name="20% - Accent4 8 2 3 2 2" xfId="16769"/>
    <cellStyle name="20% - Accent4 8 2 3 2 2 2" xfId="34391"/>
    <cellStyle name="20% - Accent4 8 2 3 2 3" xfId="27354"/>
    <cellStyle name="20% - Accent4 8 2 3 3" xfId="13533"/>
    <cellStyle name="20% - Accent4 8 2 3 3 2" xfId="31159"/>
    <cellStyle name="20% - Accent4 8 2 3 4" xfId="24493"/>
    <cellStyle name="20% - Accent4 8 2 4" xfId="6313"/>
    <cellStyle name="20% - Accent4 8 2 4 2" xfId="9520"/>
    <cellStyle name="20% - Accent4 8 2 4 2 2" xfId="17308"/>
    <cellStyle name="20% - Accent4 8 2 4 2 2 2" xfId="34931"/>
    <cellStyle name="20% - Accent4 8 2 4 2 3" xfId="27890"/>
    <cellStyle name="20% - Accent4 8 2 4 3" xfId="14096"/>
    <cellStyle name="20% - Accent4 8 2 4 3 2" xfId="31717"/>
    <cellStyle name="20% - Accent4 8 2 4 4" xfId="25029"/>
    <cellStyle name="20% - Accent4 8 2 5" xfId="6850"/>
    <cellStyle name="20% - Accent4 8 2 5 2" xfId="10057"/>
    <cellStyle name="20% - Accent4 8 2 5 2 2" xfId="17844"/>
    <cellStyle name="20% - Accent4 8 2 5 2 2 2" xfId="35467"/>
    <cellStyle name="20% - Accent4 8 2 5 2 3" xfId="28426"/>
    <cellStyle name="20% - Accent4 8 2 5 3" xfId="14632"/>
    <cellStyle name="20% - Accent4 8 2 5 3 2" xfId="32253"/>
    <cellStyle name="20% - Accent4 8 2 5 4" xfId="25566"/>
    <cellStyle name="20% - Accent4 8 2 6" xfId="7674"/>
    <cellStyle name="20% - Accent4 8 2 6 2" xfId="15465"/>
    <cellStyle name="20% - Accent4 8 2 6 2 2" xfId="33086"/>
    <cellStyle name="20% - Accent4 8 2 6 3" xfId="26093"/>
    <cellStyle name="20% - Accent4 8 2 7" xfId="11245"/>
    <cellStyle name="20% - Accent4 8 2 7 2" xfId="28959"/>
    <cellStyle name="20% - Accent4 8 2 8" xfId="22062"/>
    <cellStyle name="20% - Accent4 8 2 8 2" xfId="38752"/>
    <cellStyle name="20% - Accent4 8 2 9" xfId="23232"/>
    <cellStyle name="20% - Accent4 8 3" xfId="495"/>
    <cellStyle name="20% - Accent4 8 3 10" xfId="22709"/>
    <cellStyle name="20% - Accent4 8 3 10 2" xfId="38905"/>
    <cellStyle name="20% - Accent4 8 3 11" xfId="23233"/>
    <cellStyle name="20% - Accent4 8 3 12" xfId="51772"/>
    <cellStyle name="20% - Accent4 8 3 2" xfId="496"/>
    <cellStyle name="20% - Accent4 8 3 2 2" xfId="3711"/>
    <cellStyle name="20% - Accent4 8 3 2 2 2" xfId="8319"/>
    <cellStyle name="20% - Accent4 8 3 2 2 2 2" xfId="16109"/>
    <cellStyle name="20% - Accent4 8 3 2 2 2 2 2" xfId="33730"/>
    <cellStyle name="20% - Accent4 8 3 2 2 2 3" xfId="26719"/>
    <cellStyle name="20% - Accent4 8 3 2 2 3" xfId="12433"/>
    <cellStyle name="20% - Accent4 8 3 2 2 3 2" xfId="30090"/>
    <cellStyle name="20% - Accent4 8 3 2 2 4" xfId="23858"/>
    <cellStyle name="20% - Accent4 8 3 2 3" xfId="5685"/>
    <cellStyle name="20% - Accent4 8 3 2 3 2" xfId="8982"/>
    <cellStyle name="20% - Accent4 8 3 2 3 2 2" xfId="16771"/>
    <cellStyle name="20% - Accent4 8 3 2 3 2 2 2" xfId="34393"/>
    <cellStyle name="20% - Accent4 8 3 2 3 2 3" xfId="27356"/>
    <cellStyle name="20% - Accent4 8 3 2 3 3" xfId="13535"/>
    <cellStyle name="20% - Accent4 8 3 2 3 3 2" xfId="31161"/>
    <cellStyle name="20% - Accent4 8 3 2 3 4" xfId="24495"/>
    <cellStyle name="20% - Accent4 8 3 2 4" xfId="6315"/>
    <cellStyle name="20% - Accent4 8 3 2 4 2" xfId="9522"/>
    <cellStyle name="20% - Accent4 8 3 2 4 2 2" xfId="17310"/>
    <cellStyle name="20% - Accent4 8 3 2 4 2 2 2" xfId="34933"/>
    <cellStyle name="20% - Accent4 8 3 2 4 2 3" xfId="27892"/>
    <cellStyle name="20% - Accent4 8 3 2 4 3" xfId="14098"/>
    <cellStyle name="20% - Accent4 8 3 2 4 3 2" xfId="31719"/>
    <cellStyle name="20% - Accent4 8 3 2 4 4" xfId="25031"/>
    <cellStyle name="20% - Accent4 8 3 2 5" xfId="6852"/>
    <cellStyle name="20% - Accent4 8 3 2 5 2" xfId="10059"/>
    <cellStyle name="20% - Accent4 8 3 2 5 2 2" xfId="17846"/>
    <cellStyle name="20% - Accent4 8 3 2 5 2 2 2" xfId="35469"/>
    <cellStyle name="20% - Accent4 8 3 2 5 2 3" xfId="28428"/>
    <cellStyle name="20% - Accent4 8 3 2 5 3" xfId="14634"/>
    <cellStyle name="20% - Accent4 8 3 2 5 3 2" xfId="32255"/>
    <cellStyle name="20% - Accent4 8 3 2 5 4" xfId="25568"/>
    <cellStyle name="20% - Accent4 8 3 2 6" xfId="7676"/>
    <cellStyle name="20% - Accent4 8 3 2 6 2" xfId="15467"/>
    <cellStyle name="20% - Accent4 8 3 2 6 2 2" xfId="33088"/>
    <cellStyle name="20% - Accent4 8 3 2 6 3" xfId="26095"/>
    <cellStyle name="20% - Accent4 8 3 2 7" xfId="11247"/>
    <cellStyle name="20% - Accent4 8 3 2 7 2" xfId="28961"/>
    <cellStyle name="20% - Accent4 8 3 2 8" xfId="23234"/>
    <cellStyle name="20% - Accent4 8 3 2 9" xfId="51773"/>
    <cellStyle name="20% - Accent4 8 3 3" xfId="3712"/>
    <cellStyle name="20% - Accent4 8 3 3 2" xfId="5686"/>
    <cellStyle name="20% - Accent4 8 3 3 2 2" xfId="8983"/>
    <cellStyle name="20% - Accent4 8 3 3 2 2 2" xfId="16772"/>
    <cellStyle name="20% - Accent4 8 3 3 2 2 2 2" xfId="34394"/>
    <cellStyle name="20% - Accent4 8 3 3 2 2 3" xfId="27357"/>
    <cellStyle name="20% - Accent4 8 3 3 2 3" xfId="13536"/>
    <cellStyle name="20% - Accent4 8 3 3 2 3 2" xfId="31162"/>
    <cellStyle name="20% - Accent4 8 3 3 2 4" xfId="24496"/>
    <cellStyle name="20% - Accent4 8 3 3 3" xfId="6316"/>
    <cellStyle name="20% - Accent4 8 3 3 3 2" xfId="9523"/>
    <cellStyle name="20% - Accent4 8 3 3 3 2 2" xfId="17311"/>
    <cellStyle name="20% - Accent4 8 3 3 3 2 2 2" xfId="34934"/>
    <cellStyle name="20% - Accent4 8 3 3 3 2 3" xfId="27893"/>
    <cellStyle name="20% - Accent4 8 3 3 3 3" xfId="14099"/>
    <cellStyle name="20% - Accent4 8 3 3 3 3 2" xfId="31720"/>
    <cellStyle name="20% - Accent4 8 3 3 3 4" xfId="25032"/>
    <cellStyle name="20% - Accent4 8 3 3 4" xfId="6853"/>
    <cellStyle name="20% - Accent4 8 3 3 4 2" xfId="10060"/>
    <cellStyle name="20% - Accent4 8 3 3 4 2 2" xfId="17847"/>
    <cellStyle name="20% - Accent4 8 3 3 4 2 2 2" xfId="35470"/>
    <cellStyle name="20% - Accent4 8 3 3 4 2 3" xfId="28429"/>
    <cellStyle name="20% - Accent4 8 3 3 4 3" xfId="14635"/>
    <cellStyle name="20% - Accent4 8 3 3 4 3 2" xfId="32256"/>
    <cellStyle name="20% - Accent4 8 3 3 4 4" xfId="25569"/>
    <cellStyle name="20% - Accent4 8 3 3 5" xfId="8320"/>
    <cellStyle name="20% - Accent4 8 3 3 5 2" xfId="16110"/>
    <cellStyle name="20% - Accent4 8 3 3 5 2 2" xfId="33731"/>
    <cellStyle name="20% - Accent4 8 3 3 5 3" xfId="26720"/>
    <cellStyle name="20% - Accent4 8 3 3 6" xfId="12434"/>
    <cellStyle name="20% - Accent4 8 3 3 6 2" xfId="30091"/>
    <cellStyle name="20% - Accent4 8 3 3 7" xfId="23859"/>
    <cellStyle name="20% - Accent4 8 3 4" xfId="3710"/>
    <cellStyle name="20% - Accent4 8 3 4 2" xfId="8318"/>
    <cellStyle name="20% - Accent4 8 3 4 2 2" xfId="16108"/>
    <cellStyle name="20% - Accent4 8 3 4 2 2 2" xfId="33729"/>
    <cellStyle name="20% - Accent4 8 3 4 2 3" xfId="26718"/>
    <cellStyle name="20% - Accent4 8 3 4 3" xfId="12432"/>
    <cellStyle name="20% - Accent4 8 3 4 3 2" xfId="30089"/>
    <cellStyle name="20% - Accent4 8 3 4 4" xfId="23857"/>
    <cellStyle name="20% - Accent4 8 3 5" xfId="5684"/>
    <cellStyle name="20% - Accent4 8 3 5 2" xfId="8981"/>
    <cellStyle name="20% - Accent4 8 3 5 2 2" xfId="16770"/>
    <cellStyle name="20% - Accent4 8 3 5 2 2 2" xfId="34392"/>
    <cellStyle name="20% - Accent4 8 3 5 2 3" xfId="27355"/>
    <cellStyle name="20% - Accent4 8 3 5 3" xfId="13534"/>
    <cellStyle name="20% - Accent4 8 3 5 3 2" xfId="31160"/>
    <cellStyle name="20% - Accent4 8 3 5 4" xfId="24494"/>
    <cellStyle name="20% - Accent4 8 3 6" xfId="6314"/>
    <cellStyle name="20% - Accent4 8 3 6 2" xfId="9521"/>
    <cellStyle name="20% - Accent4 8 3 6 2 2" xfId="17309"/>
    <cellStyle name="20% - Accent4 8 3 6 2 2 2" xfId="34932"/>
    <cellStyle name="20% - Accent4 8 3 6 2 3" xfId="27891"/>
    <cellStyle name="20% - Accent4 8 3 6 3" xfId="14097"/>
    <cellStyle name="20% - Accent4 8 3 6 3 2" xfId="31718"/>
    <cellStyle name="20% - Accent4 8 3 6 4" xfId="25030"/>
    <cellStyle name="20% - Accent4 8 3 7" xfId="6851"/>
    <cellStyle name="20% - Accent4 8 3 7 2" xfId="10058"/>
    <cellStyle name="20% - Accent4 8 3 7 2 2" xfId="17845"/>
    <cellStyle name="20% - Accent4 8 3 7 2 2 2" xfId="35468"/>
    <cellStyle name="20% - Accent4 8 3 7 2 3" xfId="28427"/>
    <cellStyle name="20% - Accent4 8 3 7 3" xfId="14633"/>
    <cellStyle name="20% - Accent4 8 3 7 3 2" xfId="32254"/>
    <cellStyle name="20% - Accent4 8 3 7 4" xfId="25567"/>
    <cellStyle name="20% - Accent4 8 3 8" xfId="7675"/>
    <cellStyle name="20% - Accent4 8 3 8 2" xfId="15466"/>
    <cellStyle name="20% - Accent4 8 3 8 2 2" xfId="33087"/>
    <cellStyle name="20% - Accent4 8 3 8 3" xfId="26094"/>
    <cellStyle name="20% - Accent4 8 3 9" xfId="11246"/>
    <cellStyle name="20% - Accent4 8 3 9 2" xfId="28960"/>
    <cellStyle name="20% - Accent4 8 4" xfId="497"/>
    <cellStyle name="20% - Accent4 8 4 2" xfId="3713"/>
    <cellStyle name="20% - Accent4 8 4 2 2" xfId="8321"/>
    <cellStyle name="20% - Accent4 8 4 2 2 2" xfId="16111"/>
    <cellStyle name="20% - Accent4 8 4 2 2 2 2" xfId="33732"/>
    <cellStyle name="20% - Accent4 8 4 2 2 3" xfId="26721"/>
    <cellStyle name="20% - Accent4 8 4 2 3" xfId="12435"/>
    <cellStyle name="20% - Accent4 8 4 2 3 2" xfId="30092"/>
    <cellStyle name="20% - Accent4 8 4 2 4" xfId="23860"/>
    <cellStyle name="20% - Accent4 8 4 3" xfId="5687"/>
    <cellStyle name="20% - Accent4 8 4 3 2" xfId="8984"/>
    <cellStyle name="20% - Accent4 8 4 3 2 2" xfId="16773"/>
    <cellStyle name="20% - Accent4 8 4 3 2 2 2" xfId="34395"/>
    <cellStyle name="20% - Accent4 8 4 3 2 3" xfId="27358"/>
    <cellStyle name="20% - Accent4 8 4 3 3" xfId="13537"/>
    <cellStyle name="20% - Accent4 8 4 3 3 2" xfId="31163"/>
    <cellStyle name="20% - Accent4 8 4 3 4" xfId="24497"/>
    <cellStyle name="20% - Accent4 8 4 4" xfId="6317"/>
    <cellStyle name="20% - Accent4 8 4 4 2" xfId="9524"/>
    <cellStyle name="20% - Accent4 8 4 4 2 2" xfId="17312"/>
    <cellStyle name="20% - Accent4 8 4 4 2 2 2" xfId="34935"/>
    <cellStyle name="20% - Accent4 8 4 4 2 3" xfId="27894"/>
    <cellStyle name="20% - Accent4 8 4 4 3" xfId="14100"/>
    <cellStyle name="20% - Accent4 8 4 4 3 2" xfId="31721"/>
    <cellStyle name="20% - Accent4 8 4 4 4" xfId="25033"/>
    <cellStyle name="20% - Accent4 8 4 5" xfId="6854"/>
    <cellStyle name="20% - Accent4 8 4 5 2" xfId="10061"/>
    <cellStyle name="20% - Accent4 8 4 5 2 2" xfId="17848"/>
    <cellStyle name="20% - Accent4 8 4 5 2 2 2" xfId="35471"/>
    <cellStyle name="20% - Accent4 8 4 5 2 3" xfId="28430"/>
    <cellStyle name="20% - Accent4 8 4 5 3" xfId="14636"/>
    <cellStyle name="20% - Accent4 8 4 5 3 2" xfId="32257"/>
    <cellStyle name="20% - Accent4 8 4 5 4" xfId="25570"/>
    <cellStyle name="20% - Accent4 8 4 6" xfId="7677"/>
    <cellStyle name="20% - Accent4 8 4 6 2" xfId="15468"/>
    <cellStyle name="20% - Accent4 8 4 6 2 2" xfId="33089"/>
    <cellStyle name="20% - Accent4 8 4 6 3" xfId="26096"/>
    <cellStyle name="20% - Accent4 8 4 7" xfId="11248"/>
    <cellStyle name="20% - Accent4 8 4 7 2" xfId="28962"/>
    <cellStyle name="20% - Accent4 8 4 8" xfId="23235"/>
    <cellStyle name="20% - Accent4 8 4 9" xfId="51774"/>
    <cellStyle name="20% - Accent4 8 5" xfId="498"/>
    <cellStyle name="20% - Accent4 8 5 2" xfId="3714"/>
    <cellStyle name="20% - Accent4 8 5 2 2" xfId="8322"/>
    <cellStyle name="20% - Accent4 8 5 2 2 2" xfId="16112"/>
    <cellStyle name="20% - Accent4 8 5 2 2 2 2" xfId="33733"/>
    <cellStyle name="20% - Accent4 8 5 2 2 3" xfId="26722"/>
    <cellStyle name="20% - Accent4 8 5 2 3" xfId="12436"/>
    <cellStyle name="20% - Accent4 8 5 2 3 2" xfId="30093"/>
    <cellStyle name="20% - Accent4 8 5 2 4" xfId="23861"/>
    <cellStyle name="20% - Accent4 8 5 3" xfId="5688"/>
    <cellStyle name="20% - Accent4 8 5 3 2" xfId="8985"/>
    <cellStyle name="20% - Accent4 8 5 3 2 2" xfId="16774"/>
    <cellStyle name="20% - Accent4 8 5 3 2 2 2" xfId="34396"/>
    <cellStyle name="20% - Accent4 8 5 3 2 3" xfId="27359"/>
    <cellStyle name="20% - Accent4 8 5 3 3" xfId="13538"/>
    <cellStyle name="20% - Accent4 8 5 3 3 2" xfId="31164"/>
    <cellStyle name="20% - Accent4 8 5 3 4" xfId="24498"/>
    <cellStyle name="20% - Accent4 8 5 4" xfId="6318"/>
    <cellStyle name="20% - Accent4 8 5 4 2" xfId="9525"/>
    <cellStyle name="20% - Accent4 8 5 4 2 2" xfId="17313"/>
    <cellStyle name="20% - Accent4 8 5 4 2 2 2" xfId="34936"/>
    <cellStyle name="20% - Accent4 8 5 4 2 3" xfId="27895"/>
    <cellStyle name="20% - Accent4 8 5 4 3" xfId="14101"/>
    <cellStyle name="20% - Accent4 8 5 4 3 2" xfId="31722"/>
    <cellStyle name="20% - Accent4 8 5 4 4" xfId="25034"/>
    <cellStyle name="20% - Accent4 8 5 5" xfId="6855"/>
    <cellStyle name="20% - Accent4 8 5 5 2" xfId="10062"/>
    <cellStyle name="20% - Accent4 8 5 5 2 2" xfId="17849"/>
    <cellStyle name="20% - Accent4 8 5 5 2 2 2" xfId="35472"/>
    <cellStyle name="20% - Accent4 8 5 5 2 3" xfId="28431"/>
    <cellStyle name="20% - Accent4 8 5 5 3" xfId="14637"/>
    <cellStyle name="20% - Accent4 8 5 5 3 2" xfId="32258"/>
    <cellStyle name="20% - Accent4 8 5 5 4" xfId="25571"/>
    <cellStyle name="20% - Accent4 8 5 6" xfId="7678"/>
    <cellStyle name="20% - Accent4 8 5 6 2" xfId="15469"/>
    <cellStyle name="20% - Accent4 8 5 6 2 2" xfId="33090"/>
    <cellStyle name="20% - Accent4 8 5 6 3" xfId="26097"/>
    <cellStyle name="20% - Accent4 8 5 7" xfId="11249"/>
    <cellStyle name="20% - Accent4 8 5 7 2" xfId="28963"/>
    <cellStyle name="20% - Accent4 8 5 8" xfId="23236"/>
    <cellStyle name="20% - Accent4 8 5 9" xfId="51775"/>
    <cellStyle name="20% - Accent4 8 6" xfId="499"/>
    <cellStyle name="20% - Accent4 8 6 2" xfId="3715"/>
    <cellStyle name="20% - Accent4 8 6 2 2" xfId="8323"/>
    <cellStyle name="20% - Accent4 8 6 2 2 2" xfId="16113"/>
    <cellStyle name="20% - Accent4 8 6 2 2 2 2" xfId="33734"/>
    <cellStyle name="20% - Accent4 8 6 2 2 3" xfId="26723"/>
    <cellStyle name="20% - Accent4 8 6 2 3" xfId="12437"/>
    <cellStyle name="20% - Accent4 8 6 2 3 2" xfId="30094"/>
    <cellStyle name="20% - Accent4 8 6 2 4" xfId="23862"/>
    <cellStyle name="20% - Accent4 8 6 3" xfId="5689"/>
    <cellStyle name="20% - Accent4 8 6 3 2" xfId="8986"/>
    <cellStyle name="20% - Accent4 8 6 3 2 2" xfId="16775"/>
    <cellStyle name="20% - Accent4 8 6 3 2 2 2" xfId="34397"/>
    <cellStyle name="20% - Accent4 8 6 3 2 3" xfId="27360"/>
    <cellStyle name="20% - Accent4 8 6 3 3" xfId="13539"/>
    <cellStyle name="20% - Accent4 8 6 3 3 2" xfId="31165"/>
    <cellStyle name="20% - Accent4 8 6 3 4" xfId="24499"/>
    <cellStyle name="20% - Accent4 8 6 4" xfId="6319"/>
    <cellStyle name="20% - Accent4 8 6 4 2" xfId="9526"/>
    <cellStyle name="20% - Accent4 8 6 4 2 2" xfId="17314"/>
    <cellStyle name="20% - Accent4 8 6 4 2 2 2" xfId="34937"/>
    <cellStyle name="20% - Accent4 8 6 4 2 3" xfId="27896"/>
    <cellStyle name="20% - Accent4 8 6 4 3" xfId="14102"/>
    <cellStyle name="20% - Accent4 8 6 4 3 2" xfId="31723"/>
    <cellStyle name="20% - Accent4 8 6 4 4" xfId="25035"/>
    <cellStyle name="20% - Accent4 8 6 5" xfId="6856"/>
    <cellStyle name="20% - Accent4 8 6 5 2" xfId="10063"/>
    <cellStyle name="20% - Accent4 8 6 5 2 2" xfId="17850"/>
    <cellStyle name="20% - Accent4 8 6 5 2 2 2" xfId="35473"/>
    <cellStyle name="20% - Accent4 8 6 5 2 3" xfId="28432"/>
    <cellStyle name="20% - Accent4 8 6 5 3" xfId="14638"/>
    <cellStyle name="20% - Accent4 8 6 5 3 2" xfId="32259"/>
    <cellStyle name="20% - Accent4 8 6 5 4" xfId="25572"/>
    <cellStyle name="20% - Accent4 8 6 6" xfId="7679"/>
    <cellStyle name="20% - Accent4 8 6 6 2" xfId="15470"/>
    <cellStyle name="20% - Accent4 8 6 6 2 2" xfId="33091"/>
    <cellStyle name="20% - Accent4 8 6 6 3" xfId="26098"/>
    <cellStyle name="20% - Accent4 8 6 7" xfId="11250"/>
    <cellStyle name="20% - Accent4 8 6 7 2" xfId="28964"/>
    <cellStyle name="20% - Accent4 8 6 8" xfId="23237"/>
    <cellStyle name="20% - Accent4 8 6 9" xfId="51776"/>
    <cellStyle name="20% - Accent4 8 7" xfId="500"/>
    <cellStyle name="20% - Accent4 8 7 10" xfId="51777"/>
    <cellStyle name="20% - Accent4 8 7 2" xfId="501"/>
    <cellStyle name="20% - Accent4 8 7 2 2" xfId="8325"/>
    <cellStyle name="20% - Accent4 8 7 2 2 2" xfId="16115"/>
    <cellStyle name="20% - Accent4 8 7 2 2 2 2" xfId="33736"/>
    <cellStyle name="20% - Accent4 8 7 2 2 3" xfId="26725"/>
    <cellStyle name="20% - Accent4 8 7 2 3" xfId="12439"/>
    <cellStyle name="20% - Accent4 8 7 2 3 2" xfId="30096"/>
    <cellStyle name="20% - Accent4 8 7 2 4" xfId="23864"/>
    <cellStyle name="20% - Accent4 8 7 3" xfId="3716"/>
    <cellStyle name="20% - Accent4 8 7 3 2" xfId="8324"/>
    <cellStyle name="20% - Accent4 8 7 3 2 2" xfId="16114"/>
    <cellStyle name="20% - Accent4 8 7 3 2 2 2" xfId="33735"/>
    <cellStyle name="20% - Accent4 8 7 3 2 3" xfId="26724"/>
    <cellStyle name="20% - Accent4 8 7 3 3" xfId="12438"/>
    <cellStyle name="20% - Accent4 8 7 3 3 2" xfId="30095"/>
    <cellStyle name="20% - Accent4 8 7 3 4" xfId="23863"/>
    <cellStyle name="20% - Accent4 8 7 4" xfId="5690"/>
    <cellStyle name="20% - Accent4 8 7 4 2" xfId="8987"/>
    <cellStyle name="20% - Accent4 8 7 4 2 2" xfId="16776"/>
    <cellStyle name="20% - Accent4 8 7 4 2 2 2" xfId="34398"/>
    <cellStyle name="20% - Accent4 8 7 4 2 3" xfId="27361"/>
    <cellStyle name="20% - Accent4 8 7 4 3" xfId="13540"/>
    <cellStyle name="20% - Accent4 8 7 4 3 2" xfId="31166"/>
    <cellStyle name="20% - Accent4 8 7 4 4" xfId="24500"/>
    <cellStyle name="20% - Accent4 8 7 5" xfId="6320"/>
    <cellStyle name="20% - Accent4 8 7 5 2" xfId="9527"/>
    <cellStyle name="20% - Accent4 8 7 5 2 2" xfId="17315"/>
    <cellStyle name="20% - Accent4 8 7 5 2 2 2" xfId="34938"/>
    <cellStyle name="20% - Accent4 8 7 5 2 3" xfId="27897"/>
    <cellStyle name="20% - Accent4 8 7 5 3" xfId="14103"/>
    <cellStyle name="20% - Accent4 8 7 5 3 2" xfId="31724"/>
    <cellStyle name="20% - Accent4 8 7 5 4" xfId="25036"/>
    <cellStyle name="20% - Accent4 8 7 6" xfId="6857"/>
    <cellStyle name="20% - Accent4 8 7 6 2" xfId="10064"/>
    <cellStyle name="20% - Accent4 8 7 6 2 2" xfId="17851"/>
    <cellStyle name="20% - Accent4 8 7 6 2 2 2" xfId="35474"/>
    <cellStyle name="20% - Accent4 8 7 6 2 3" xfId="28433"/>
    <cellStyle name="20% - Accent4 8 7 6 3" xfId="14639"/>
    <cellStyle name="20% - Accent4 8 7 6 3 2" xfId="32260"/>
    <cellStyle name="20% - Accent4 8 7 6 4" xfId="25573"/>
    <cellStyle name="20% - Accent4 8 7 7" xfId="7680"/>
    <cellStyle name="20% - Accent4 8 7 7 2" xfId="15471"/>
    <cellStyle name="20% - Accent4 8 7 7 2 2" xfId="33092"/>
    <cellStyle name="20% - Accent4 8 7 7 3" xfId="26099"/>
    <cellStyle name="20% - Accent4 8 7 8" xfId="11251"/>
    <cellStyle name="20% - Accent4 8 7 8 2" xfId="28965"/>
    <cellStyle name="20% - Accent4 8 7 9" xfId="23238"/>
    <cellStyle name="20% - Accent4 8 8" xfId="3717"/>
    <cellStyle name="20% - Accent4 8 8 2" xfId="8326"/>
    <cellStyle name="20% - Accent4 8 8 2 2" xfId="16116"/>
    <cellStyle name="20% - Accent4 8 8 2 2 2" xfId="33737"/>
    <cellStyle name="20% - Accent4 8 8 2 3" xfId="26726"/>
    <cellStyle name="20% - Accent4 8 8 3" xfId="12440"/>
    <cellStyle name="20% - Accent4 8 8 3 2" xfId="30097"/>
    <cellStyle name="20% - Accent4 8 8 4" xfId="23865"/>
    <cellStyle name="20% - Accent4 8 9" xfId="3718"/>
    <cellStyle name="20% - Accent4 8 9 2" xfId="8327"/>
    <cellStyle name="20% - Accent4 8 9 2 2" xfId="16117"/>
    <cellStyle name="20% - Accent4 8 9 2 2 2" xfId="33738"/>
    <cellStyle name="20% - Accent4 8 9 2 3" xfId="26727"/>
    <cellStyle name="20% - Accent4 8 9 3" xfId="12441"/>
    <cellStyle name="20% - Accent4 8 9 3 2" xfId="30098"/>
    <cellStyle name="20% - Accent4 8 9 4" xfId="23866"/>
    <cellStyle name="20% - Accent4 9" xfId="502"/>
    <cellStyle name="20% - Accent4 9 10" xfId="3719"/>
    <cellStyle name="20% - Accent4 9 10 2" xfId="8328"/>
    <cellStyle name="20% - Accent4 9 10 2 2" xfId="16118"/>
    <cellStyle name="20% - Accent4 9 10 2 2 2" xfId="33739"/>
    <cellStyle name="20% - Accent4 9 10 2 3" xfId="26728"/>
    <cellStyle name="20% - Accent4 9 10 3" xfId="12442"/>
    <cellStyle name="20% - Accent4 9 10 3 2" xfId="30099"/>
    <cellStyle name="20% - Accent4 9 10 4" xfId="23867"/>
    <cellStyle name="20% - Accent4 9 11" xfId="5691"/>
    <cellStyle name="20% - Accent4 9 11 2" xfId="8988"/>
    <cellStyle name="20% - Accent4 9 11 2 2" xfId="16777"/>
    <cellStyle name="20% - Accent4 9 11 2 2 2" xfId="34399"/>
    <cellStyle name="20% - Accent4 9 11 2 3" xfId="27362"/>
    <cellStyle name="20% - Accent4 9 11 3" xfId="13541"/>
    <cellStyle name="20% - Accent4 9 11 3 2" xfId="31167"/>
    <cellStyle name="20% - Accent4 9 11 4" xfId="24501"/>
    <cellStyle name="20% - Accent4 9 12" xfId="6321"/>
    <cellStyle name="20% - Accent4 9 12 2" xfId="9528"/>
    <cellStyle name="20% - Accent4 9 12 2 2" xfId="17316"/>
    <cellStyle name="20% - Accent4 9 12 2 2 2" xfId="34939"/>
    <cellStyle name="20% - Accent4 9 12 2 3" xfId="27898"/>
    <cellStyle name="20% - Accent4 9 12 3" xfId="14104"/>
    <cellStyle name="20% - Accent4 9 12 3 2" xfId="31725"/>
    <cellStyle name="20% - Accent4 9 12 4" xfId="25037"/>
    <cellStyle name="20% - Accent4 9 13" xfId="6858"/>
    <cellStyle name="20% - Accent4 9 13 2" xfId="10065"/>
    <cellStyle name="20% - Accent4 9 13 2 2" xfId="17852"/>
    <cellStyle name="20% - Accent4 9 13 2 2 2" xfId="35475"/>
    <cellStyle name="20% - Accent4 9 13 2 3" xfId="28434"/>
    <cellStyle name="20% - Accent4 9 13 3" xfId="14640"/>
    <cellStyle name="20% - Accent4 9 13 3 2" xfId="32261"/>
    <cellStyle name="20% - Accent4 9 13 4" xfId="25574"/>
    <cellStyle name="20% - Accent4 9 14" xfId="7681"/>
    <cellStyle name="20% - Accent4 9 14 2" xfId="15472"/>
    <cellStyle name="20% - Accent4 9 14 2 2" xfId="33093"/>
    <cellStyle name="20% - Accent4 9 14 3" xfId="26100"/>
    <cellStyle name="20% - Accent4 9 15" xfId="11252"/>
    <cellStyle name="20% - Accent4 9 15 2" xfId="28966"/>
    <cellStyle name="20% - Accent4 9 16" xfId="22063"/>
    <cellStyle name="20% - Accent4 9 16 2" xfId="38753"/>
    <cellStyle name="20% - Accent4 9 17" xfId="23239"/>
    <cellStyle name="20% - Accent4 9 18" xfId="51778"/>
    <cellStyle name="20% - Accent4 9 2" xfId="503"/>
    <cellStyle name="20% - Accent4 9 2 10" xfId="51779"/>
    <cellStyle name="20% - Accent4 9 2 2" xfId="3720"/>
    <cellStyle name="20% - Accent4 9 2 2 2" xfId="8329"/>
    <cellStyle name="20% - Accent4 9 2 2 2 2" xfId="16119"/>
    <cellStyle name="20% - Accent4 9 2 2 2 2 2" xfId="33740"/>
    <cellStyle name="20% - Accent4 9 2 2 2 3" xfId="26729"/>
    <cellStyle name="20% - Accent4 9 2 2 3" xfId="12443"/>
    <cellStyle name="20% - Accent4 9 2 2 3 2" xfId="30100"/>
    <cellStyle name="20% - Accent4 9 2 2 4" xfId="23868"/>
    <cellStyle name="20% - Accent4 9 2 3" xfId="5692"/>
    <cellStyle name="20% - Accent4 9 2 3 2" xfId="8989"/>
    <cellStyle name="20% - Accent4 9 2 3 2 2" xfId="16778"/>
    <cellStyle name="20% - Accent4 9 2 3 2 2 2" xfId="34400"/>
    <cellStyle name="20% - Accent4 9 2 3 2 3" xfId="27363"/>
    <cellStyle name="20% - Accent4 9 2 3 3" xfId="13542"/>
    <cellStyle name="20% - Accent4 9 2 3 3 2" xfId="31168"/>
    <cellStyle name="20% - Accent4 9 2 3 4" xfId="24502"/>
    <cellStyle name="20% - Accent4 9 2 4" xfId="6322"/>
    <cellStyle name="20% - Accent4 9 2 4 2" xfId="9529"/>
    <cellStyle name="20% - Accent4 9 2 4 2 2" xfId="17317"/>
    <cellStyle name="20% - Accent4 9 2 4 2 2 2" xfId="34940"/>
    <cellStyle name="20% - Accent4 9 2 4 2 3" xfId="27899"/>
    <cellStyle name="20% - Accent4 9 2 4 3" xfId="14105"/>
    <cellStyle name="20% - Accent4 9 2 4 3 2" xfId="31726"/>
    <cellStyle name="20% - Accent4 9 2 4 4" xfId="25038"/>
    <cellStyle name="20% - Accent4 9 2 5" xfId="6859"/>
    <cellStyle name="20% - Accent4 9 2 5 2" xfId="10066"/>
    <cellStyle name="20% - Accent4 9 2 5 2 2" xfId="17853"/>
    <cellStyle name="20% - Accent4 9 2 5 2 2 2" xfId="35476"/>
    <cellStyle name="20% - Accent4 9 2 5 2 3" xfId="28435"/>
    <cellStyle name="20% - Accent4 9 2 5 3" xfId="14641"/>
    <cellStyle name="20% - Accent4 9 2 5 3 2" xfId="32262"/>
    <cellStyle name="20% - Accent4 9 2 5 4" xfId="25575"/>
    <cellStyle name="20% - Accent4 9 2 6" xfId="7682"/>
    <cellStyle name="20% - Accent4 9 2 6 2" xfId="15473"/>
    <cellStyle name="20% - Accent4 9 2 6 2 2" xfId="33094"/>
    <cellStyle name="20% - Accent4 9 2 6 3" xfId="26101"/>
    <cellStyle name="20% - Accent4 9 2 7" xfId="11253"/>
    <cellStyle name="20% - Accent4 9 2 7 2" xfId="28967"/>
    <cellStyle name="20% - Accent4 9 2 8" xfId="22711"/>
    <cellStyle name="20% - Accent4 9 2 8 2" xfId="38907"/>
    <cellStyle name="20% - Accent4 9 2 9" xfId="23240"/>
    <cellStyle name="20% - Accent4 9 3" xfId="504"/>
    <cellStyle name="20% - Accent4 9 3 10" xfId="23241"/>
    <cellStyle name="20% - Accent4 9 3 11" xfId="51780"/>
    <cellStyle name="20% - Accent4 9 3 2" xfId="505"/>
    <cellStyle name="20% - Accent4 9 3 2 2" xfId="3722"/>
    <cellStyle name="20% - Accent4 9 3 2 2 2" xfId="8331"/>
    <cellStyle name="20% - Accent4 9 3 2 2 2 2" xfId="16121"/>
    <cellStyle name="20% - Accent4 9 3 2 2 2 2 2" xfId="33742"/>
    <cellStyle name="20% - Accent4 9 3 2 2 2 3" xfId="26731"/>
    <cellStyle name="20% - Accent4 9 3 2 2 3" xfId="12445"/>
    <cellStyle name="20% - Accent4 9 3 2 2 3 2" xfId="30102"/>
    <cellStyle name="20% - Accent4 9 3 2 2 4" xfId="23870"/>
    <cellStyle name="20% - Accent4 9 3 2 3" xfId="5694"/>
    <cellStyle name="20% - Accent4 9 3 2 3 2" xfId="8991"/>
    <cellStyle name="20% - Accent4 9 3 2 3 2 2" xfId="16780"/>
    <cellStyle name="20% - Accent4 9 3 2 3 2 2 2" xfId="34402"/>
    <cellStyle name="20% - Accent4 9 3 2 3 2 3" xfId="27365"/>
    <cellStyle name="20% - Accent4 9 3 2 3 3" xfId="13544"/>
    <cellStyle name="20% - Accent4 9 3 2 3 3 2" xfId="31170"/>
    <cellStyle name="20% - Accent4 9 3 2 3 4" xfId="24504"/>
    <cellStyle name="20% - Accent4 9 3 2 4" xfId="6324"/>
    <cellStyle name="20% - Accent4 9 3 2 4 2" xfId="9531"/>
    <cellStyle name="20% - Accent4 9 3 2 4 2 2" xfId="17319"/>
    <cellStyle name="20% - Accent4 9 3 2 4 2 2 2" xfId="34942"/>
    <cellStyle name="20% - Accent4 9 3 2 4 2 3" xfId="27901"/>
    <cellStyle name="20% - Accent4 9 3 2 4 3" xfId="14107"/>
    <cellStyle name="20% - Accent4 9 3 2 4 3 2" xfId="31728"/>
    <cellStyle name="20% - Accent4 9 3 2 4 4" xfId="25040"/>
    <cellStyle name="20% - Accent4 9 3 2 5" xfId="6861"/>
    <cellStyle name="20% - Accent4 9 3 2 5 2" xfId="10068"/>
    <cellStyle name="20% - Accent4 9 3 2 5 2 2" xfId="17855"/>
    <cellStyle name="20% - Accent4 9 3 2 5 2 2 2" xfId="35478"/>
    <cellStyle name="20% - Accent4 9 3 2 5 2 3" xfId="28437"/>
    <cellStyle name="20% - Accent4 9 3 2 5 3" xfId="14643"/>
    <cellStyle name="20% - Accent4 9 3 2 5 3 2" xfId="32264"/>
    <cellStyle name="20% - Accent4 9 3 2 5 4" xfId="25577"/>
    <cellStyle name="20% - Accent4 9 3 2 6" xfId="7684"/>
    <cellStyle name="20% - Accent4 9 3 2 6 2" xfId="15475"/>
    <cellStyle name="20% - Accent4 9 3 2 6 2 2" xfId="33096"/>
    <cellStyle name="20% - Accent4 9 3 2 6 3" xfId="26103"/>
    <cellStyle name="20% - Accent4 9 3 2 7" xfId="11255"/>
    <cellStyle name="20% - Accent4 9 3 2 7 2" xfId="28969"/>
    <cellStyle name="20% - Accent4 9 3 2 8" xfId="23242"/>
    <cellStyle name="20% - Accent4 9 3 2 9" xfId="51781"/>
    <cellStyle name="20% - Accent4 9 3 3" xfId="3723"/>
    <cellStyle name="20% - Accent4 9 3 3 2" xfId="5695"/>
    <cellStyle name="20% - Accent4 9 3 3 2 2" xfId="8992"/>
    <cellStyle name="20% - Accent4 9 3 3 2 2 2" xfId="16781"/>
    <cellStyle name="20% - Accent4 9 3 3 2 2 2 2" xfId="34403"/>
    <cellStyle name="20% - Accent4 9 3 3 2 2 3" xfId="27366"/>
    <cellStyle name="20% - Accent4 9 3 3 2 3" xfId="13545"/>
    <cellStyle name="20% - Accent4 9 3 3 2 3 2" xfId="31171"/>
    <cellStyle name="20% - Accent4 9 3 3 2 4" xfId="24505"/>
    <cellStyle name="20% - Accent4 9 3 3 3" xfId="6325"/>
    <cellStyle name="20% - Accent4 9 3 3 3 2" xfId="9532"/>
    <cellStyle name="20% - Accent4 9 3 3 3 2 2" xfId="17320"/>
    <cellStyle name="20% - Accent4 9 3 3 3 2 2 2" xfId="34943"/>
    <cellStyle name="20% - Accent4 9 3 3 3 2 3" xfId="27902"/>
    <cellStyle name="20% - Accent4 9 3 3 3 3" xfId="14108"/>
    <cellStyle name="20% - Accent4 9 3 3 3 3 2" xfId="31729"/>
    <cellStyle name="20% - Accent4 9 3 3 3 4" xfId="25041"/>
    <cellStyle name="20% - Accent4 9 3 3 4" xfId="6862"/>
    <cellStyle name="20% - Accent4 9 3 3 4 2" xfId="10069"/>
    <cellStyle name="20% - Accent4 9 3 3 4 2 2" xfId="17856"/>
    <cellStyle name="20% - Accent4 9 3 3 4 2 2 2" xfId="35479"/>
    <cellStyle name="20% - Accent4 9 3 3 4 2 3" xfId="28438"/>
    <cellStyle name="20% - Accent4 9 3 3 4 3" xfId="14644"/>
    <cellStyle name="20% - Accent4 9 3 3 4 3 2" xfId="32265"/>
    <cellStyle name="20% - Accent4 9 3 3 4 4" xfId="25578"/>
    <cellStyle name="20% - Accent4 9 3 3 5" xfId="8332"/>
    <cellStyle name="20% - Accent4 9 3 3 5 2" xfId="16122"/>
    <cellStyle name="20% - Accent4 9 3 3 5 2 2" xfId="33743"/>
    <cellStyle name="20% - Accent4 9 3 3 5 3" xfId="26732"/>
    <cellStyle name="20% - Accent4 9 3 3 6" xfId="12446"/>
    <cellStyle name="20% - Accent4 9 3 3 6 2" xfId="30103"/>
    <cellStyle name="20% - Accent4 9 3 3 7" xfId="23871"/>
    <cellStyle name="20% - Accent4 9 3 4" xfId="3721"/>
    <cellStyle name="20% - Accent4 9 3 4 2" xfId="8330"/>
    <cellStyle name="20% - Accent4 9 3 4 2 2" xfId="16120"/>
    <cellStyle name="20% - Accent4 9 3 4 2 2 2" xfId="33741"/>
    <cellStyle name="20% - Accent4 9 3 4 2 3" xfId="26730"/>
    <cellStyle name="20% - Accent4 9 3 4 3" xfId="12444"/>
    <cellStyle name="20% - Accent4 9 3 4 3 2" xfId="30101"/>
    <cellStyle name="20% - Accent4 9 3 4 4" xfId="23869"/>
    <cellStyle name="20% - Accent4 9 3 5" xfId="5693"/>
    <cellStyle name="20% - Accent4 9 3 5 2" xfId="8990"/>
    <cellStyle name="20% - Accent4 9 3 5 2 2" xfId="16779"/>
    <cellStyle name="20% - Accent4 9 3 5 2 2 2" xfId="34401"/>
    <cellStyle name="20% - Accent4 9 3 5 2 3" xfId="27364"/>
    <cellStyle name="20% - Accent4 9 3 5 3" xfId="13543"/>
    <cellStyle name="20% - Accent4 9 3 5 3 2" xfId="31169"/>
    <cellStyle name="20% - Accent4 9 3 5 4" xfId="24503"/>
    <cellStyle name="20% - Accent4 9 3 6" xfId="6323"/>
    <cellStyle name="20% - Accent4 9 3 6 2" xfId="9530"/>
    <cellStyle name="20% - Accent4 9 3 6 2 2" xfId="17318"/>
    <cellStyle name="20% - Accent4 9 3 6 2 2 2" xfId="34941"/>
    <cellStyle name="20% - Accent4 9 3 6 2 3" xfId="27900"/>
    <cellStyle name="20% - Accent4 9 3 6 3" xfId="14106"/>
    <cellStyle name="20% - Accent4 9 3 6 3 2" xfId="31727"/>
    <cellStyle name="20% - Accent4 9 3 6 4" xfId="25039"/>
    <cellStyle name="20% - Accent4 9 3 7" xfId="6860"/>
    <cellStyle name="20% - Accent4 9 3 7 2" xfId="10067"/>
    <cellStyle name="20% - Accent4 9 3 7 2 2" xfId="17854"/>
    <cellStyle name="20% - Accent4 9 3 7 2 2 2" xfId="35477"/>
    <cellStyle name="20% - Accent4 9 3 7 2 3" xfId="28436"/>
    <cellStyle name="20% - Accent4 9 3 7 3" xfId="14642"/>
    <cellStyle name="20% - Accent4 9 3 7 3 2" xfId="32263"/>
    <cellStyle name="20% - Accent4 9 3 7 4" xfId="25576"/>
    <cellStyle name="20% - Accent4 9 3 8" xfId="7683"/>
    <cellStyle name="20% - Accent4 9 3 8 2" xfId="15474"/>
    <cellStyle name="20% - Accent4 9 3 8 2 2" xfId="33095"/>
    <cellStyle name="20% - Accent4 9 3 8 3" xfId="26102"/>
    <cellStyle name="20% - Accent4 9 3 9" xfId="11254"/>
    <cellStyle name="20% - Accent4 9 3 9 2" xfId="28968"/>
    <cellStyle name="20% - Accent4 9 4" xfId="506"/>
    <cellStyle name="20% - Accent4 9 4 2" xfId="3724"/>
    <cellStyle name="20% - Accent4 9 4 2 2" xfId="8333"/>
    <cellStyle name="20% - Accent4 9 4 2 2 2" xfId="16123"/>
    <cellStyle name="20% - Accent4 9 4 2 2 2 2" xfId="33744"/>
    <cellStyle name="20% - Accent4 9 4 2 2 3" xfId="26733"/>
    <cellStyle name="20% - Accent4 9 4 2 3" xfId="12447"/>
    <cellStyle name="20% - Accent4 9 4 2 3 2" xfId="30104"/>
    <cellStyle name="20% - Accent4 9 4 2 4" xfId="23872"/>
    <cellStyle name="20% - Accent4 9 4 3" xfId="5696"/>
    <cellStyle name="20% - Accent4 9 4 3 2" xfId="8993"/>
    <cellStyle name="20% - Accent4 9 4 3 2 2" xfId="16782"/>
    <cellStyle name="20% - Accent4 9 4 3 2 2 2" xfId="34404"/>
    <cellStyle name="20% - Accent4 9 4 3 2 3" xfId="27367"/>
    <cellStyle name="20% - Accent4 9 4 3 3" xfId="13546"/>
    <cellStyle name="20% - Accent4 9 4 3 3 2" xfId="31172"/>
    <cellStyle name="20% - Accent4 9 4 3 4" xfId="24506"/>
    <cellStyle name="20% - Accent4 9 4 4" xfId="6326"/>
    <cellStyle name="20% - Accent4 9 4 4 2" xfId="9533"/>
    <cellStyle name="20% - Accent4 9 4 4 2 2" xfId="17321"/>
    <cellStyle name="20% - Accent4 9 4 4 2 2 2" xfId="34944"/>
    <cellStyle name="20% - Accent4 9 4 4 2 3" xfId="27903"/>
    <cellStyle name="20% - Accent4 9 4 4 3" xfId="14109"/>
    <cellStyle name="20% - Accent4 9 4 4 3 2" xfId="31730"/>
    <cellStyle name="20% - Accent4 9 4 4 4" xfId="25042"/>
    <cellStyle name="20% - Accent4 9 4 5" xfId="6863"/>
    <cellStyle name="20% - Accent4 9 4 5 2" xfId="10070"/>
    <cellStyle name="20% - Accent4 9 4 5 2 2" xfId="17857"/>
    <cellStyle name="20% - Accent4 9 4 5 2 2 2" xfId="35480"/>
    <cellStyle name="20% - Accent4 9 4 5 2 3" xfId="28439"/>
    <cellStyle name="20% - Accent4 9 4 5 3" xfId="14645"/>
    <cellStyle name="20% - Accent4 9 4 5 3 2" xfId="32266"/>
    <cellStyle name="20% - Accent4 9 4 5 4" xfId="25579"/>
    <cellStyle name="20% - Accent4 9 4 6" xfId="7685"/>
    <cellStyle name="20% - Accent4 9 4 6 2" xfId="15476"/>
    <cellStyle name="20% - Accent4 9 4 6 2 2" xfId="33097"/>
    <cellStyle name="20% - Accent4 9 4 6 3" xfId="26104"/>
    <cellStyle name="20% - Accent4 9 4 7" xfId="11256"/>
    <cellStyle name="20% - Accent4 9 4 7 2" xfId="28970"/>
    <cellStyle name="20% - Accent4 9 4 8" xfId="23243"/>
    <cellStyle name="20% - Accent4 9 4 9" xfId="51782"/>
    <cellStyle name="20% - Accent4 9 5" xfId="507"/>
    <cellStyle name="20% - Accent4 9 5 2" xfId="3725"/>
    <cellStyle name="20% - Accent4 9 5 2 2" xfId="8334"/>
    <cellStyle name="20% - Accent4 9 5 2 2 2" xfId="16124"/>
    <cellStyle name="20% - Accent4 9 5 2 2 2 2" xfId="33745"/>
    <cellStyle name="20% - Accent4 9 5 2 2 3" xfId="26734"/>
    <cellStyle name="20% - Accent4 9 5 2 3" xfId="12448"/>
    <cellStyle name="20% - Accent4 9 5 2 3 2" xfId="30105"/>
    <cellStyle name="20% - Accent4 9 5 2 4" xfId="23873"/>
    <cellStyle name="20% - Accent4 9 5 3" xfId="5697"/>
    <cellStyle name="20% - Accent4 9 5 3 2" xfId="8994"/>
    <cellStyle name="20% - Accent4 9 5 3 2 2" xfId="16783"/>
    <cellStyle name="20% - Accent4 9 5 3 2 2 2" xfId="34405"/>
    <cellStyle name="20% - Accent4 9 5 3 2 3" xfId="27368"/>
    <cellStyle name="20% - Accent4 9 5 3 3" xfId="13547"/>
    <cellStyle name="20% - Accent4 9 5 3 3 2" xfId="31173"/>
    <cellStyle name="20% - Accent4 9 5 3 4" xfId="24507"/>
    <cellStyle name="20% - Accent4 9 5 4" xfId="6327"/>
    <cellStyle name="20% - Accent4 9 5 4 2" xfId="9534"/>
    <cellStyle name="20% - Accent4 9 5 4 2 2" xfId="17322"/>
    <cellStyle name="20% - Accent4 9 5 4 2 2 2" xfId="34945"/>
    <cellStyle name="20% - Accent4 9 5 4 2 3" xfId="27904"/>
    <cellStyle name="20% - Accent4 9 5 4 3" xfId="14110"/>
    <cellStyle name="20% - Accent4 9 5 4 3 2" xfId="31731"/>
    <cellStyle name="20% - Accent4 9 5 4 4" xfId="25043"/>
    <cellStyle name="20% - Accent4 9 5 5" xfId="6864"/>
    <cellStyle name="20% - Accent4 9 5 5 2" xfId="10071"/>
    <cellStyle name="20% - Accent4 9 5 5 2 2" xfId="17858"/>
    <cellStyle name="20% - Accent4 9 5 5 2 2 2" xfId="35481"/>
    <cellStyle name="20% - Accent4 9 5 5 2 3" xfId="28440"/>
    <cellStyle name="20% - Accent4 9 5 5 3" xfId="14646"/>
    <cellStyle name="20% - Accent4 9 5 5 3 2" xfId="32267"/>
    <cellStyle name="20% - Accent4 9 5 5 4" xfId="25580"/>
    <cellStyle name="20% - Accent4 9 5 6" xfId="7686"/>
    <cellStyle name="20% - Accent4 9 5 6 2" xfId="15477"/>
    <cellStyle name="20% - Accent4 9 5 6 2 2" xfId="33098"/>
    <cellStyle name="20% - Accent4 9 5 6 3" xfId="26105"/>
    <cellStyle name="20% - Accent4 9 5 7" xfId="11257"/>
    <cellStyle name="20% - Accent4 9 5 7 2" xfId="28971"/>
    <cellStyle name="20% - Accent4 9 5 8" xfId="23244"/>
    <cellStyle name="20% - Accent4 9 5 9" xfId="51783"/>
    <cellStyle name="20% - Accent4 9 6" xfId="508"/>
    <cellStyle name="20% - Accent4 9 6 2" xfId="3726"/>
    <cellStyle name="20% - Accent4 9 6 2 2" xfId="8335"/>
    <cellStyle name="20% - Accent4 9 6 2 2 2" xfId="16125"/>
    <cellStyle name="20% - Accent4 9 6 2 2 2 2" xfId="33746"/>
    <cellStyle name="20% - Accent4 9 6 2 2 3" xfId="26735"/>
    <cellStyle name="20% - Accent4 9 6 2 3" xfId="12449"/>
    <cellStyle name="20% - Accent4 9 6 2 3 2" xfId="30106"/>
    <cellStyle name="20% - Accent4 9 6 2 4" xfId="23874"/>
    <cellStyle name="20% - Accent4 9 6 3" xfId="5698"/>
    <cellStyle name="20% - Accent4 9 6 3 2" xfId="8995"/>
    <cellStyle name="20% - Accent4 9 6 3 2 2" xfId="16784"/>
    <cellStyle name="20% - Accent4 9 6 3 2 2 2" xfId="34406"/>
    <cellStyle name="20% - Accent4 9 6 3 2 3" xfId="27369"/>
    <cellStyle name="20% - Accent4 9 6 3 3" xfId="13548"/>
    <cellStyle name="20% - Accent4 9 6 3 3 2" xfId="31174"/>
    <cellStyle name="20% - Accent4 9 6 3 4" xfId="24508"/>
    <cellStyle name="20% - Accent4 9 6 4" xfId="6328"/>
    <cellStyle name="20% - Accent4 9 6 4 2" xfId="9535"/>
    <cellStyle name="20% - Accent4 9 6 4 2 2" xfId="17323"/>
    <cellStyle name="20% - Accent4 9 6 4 2 2 2" xfId="34946"/>
    <cellStyle name="20% - Accent4 9 6 4 2 3" xfId="27905"/>
    <cellStyle name="20% - Accent4 9 6 4 3" xfId="14111"/>
    <cellStyle name="20% - Accent4 9 6 4 3 2" xfId="31732"/>
    <cellStyle name="20% - Accent4 9 6 4 4" xfId="25044"/>
    <cellStyle name="20% - Accent4 9 6 5" xfId="6865"/>
    <cellStyle name="20% - Accent4 9 6 5 2" xfId="10072"/>
    <cellStyle name="20% - Accent4 9 6 5 2 2" xfId="17859"/>
    <cellStyle name="20% - Accent4 9 6 5 2 2 2" xfId="35482"/>
    <cellStyle name="20% - Accent4 9 6 5 2 3" xfId="28441"/>
    <cellStyle name="20% - Accent4 9 6 5 3" xfId="14647"/>
    <cellStyle name="20% - Accent4 9 6 5 3 2" xfId="32268"/>
    <cellStyle name="20% - Accent4 9 6 5 4" xfId="25581"/>
    <cellStyle name="20% - Accent4 9 6 6" xfId="7687"/>
    <cellStyle name="20% - Accent4 9 6 6 2" xfId="15478"/>
    <cellStyle name="20% - Accent4 9 6 6 2 2" xfId="33099"/>
    <cellStyle name="20% - Accent4 9 6 6 3" xfId="26106"/>
    <cellStyle name="20% - Accent4 9 6 7" xfId="11258"/>
    <cellStyle name="20% - Accent4 9 6 7 2" xfId="28972"/>
    <cellStyle name="20% - Accent4 9 6 8" xfId="23245"/>
    <cellStyle name="20% - Accent4 9 6 9" xfId="51784"/>
    <cellStyle name="20% - Accent4 9 7" xfId="509"/>
    <cellStyle name="20% - Accent4 9 7 10" xfId="51785"/>
    <cellStyle name="20% - Accent4 9 7 2" xfId="510"/>
    <cellStyle name="20% - Accent4 9 7 2 2" xfId="8337"/>
    <cellStyle name="20% - Accent4 9 7 2 2 2" xfId="16127"/>
    <cellStyle name="20% - Accent4 9 7 2 2 2 2" xfId="33748"/>
    <cellStyle name="20% - Accent4 9 7 2 2 3" xfId="26737"/>
    <cellStyle name="20% - Accent4 9 7 2 3" xfId="12451"/>
    <cellStyle name="20% - Accent4 9 7 2 3 2" xfId="30108"/>
    <cellStyle name="20% - Accent4 9 7 2 4" xfId="23876"/>
    <cellStyle name="20% - Accent4 9 7 3" xfId="3727"/>
    <cellStyle name="20% - Accent4 9 7 3 2" xfId="8336"/>
    <cellStyle name="20% - Accent4 9 7 3 2 2" xfId="16126"/>
    <cellStyle name="20% - Accent4 9 7 3 2 2 2" xfId="33747"/>
    <cellStyle name="20% - Accent4 9 7 3 2 3" xfId="26736"/>
    <cellStyle name="20% - Accent4 9 7 3 3" xfId="12450"/>
    <cellStyle name="20% - Accent4 9 7 3 3 2" xfId="30107"/>
    <cellStyle name="20% - Accent4 9 7 3 4" xfId="23875"/>
    <cellStyle name="20% - Accent4 9 7 4" xfId="5699"/>
    <cellStyle name="20% - Accent4 9 7 4 2" xfId="8996"/>
    <cellStyle name="20% - Accent4 9 7 4 2 2" xfId="16785"/>
    <cellStyle name="20% - Accent4 9 7 4 2 2 2" xfId="34407"/>
    <cellStyle name="20% - Accent4 9 7 4 2 3" xfId="27370"/>
    <cellStyle name="20% - Accent4 9 7 4 3" xfId="13549"/>
    <cellStyle name="20% - Accent4 9 7 4 3 2" xfId="31175"/>
    <cellStyle name="20% - Accent4 9 7 4 4" xfId="24509"/>
    <cellStyle name="20% - Accent4 9 7 5" xfId="6329"/>
    <cellStyle name="20% - Accent4 9 7 5 2" xfId="9536"/>
    <cellStyle name="20% - Accent4 9 7 5 2 2" xfId="17324"/>
    <cellStyle name="20% - Accent4 9 7 5 2 2 2" xfId="34947"/>
    <cellStyle name="20% - Accent4 9 7 5 2 3" xfId="27906"/>
    <cellStyle name="20% - Accent4 9 7 5 3" xfId="14112"/>
    <cellStyle name="20% - Accent4 9 7 5 3 2" xfId="31733"/>
    <cellStyle name="20% - Accent4 9 7 5 4" xfId="25045"/>
    <cellStyle name="20% - Accent4 9 7 6" xfId="6866"/>
    <cellStyle name="20% - Accent4 9 7 6 2" xfId="10073"/>
    <cellStyle name="20% - Accent4 9 7 6 2 2" xfId="17860"/>
    <cellStyle name="20% - Accent4 9 7 6 2 2 2" xfId="35483"/>
    <cellStyle name="20% - Accent4 9 7 6 2 3" xfId="28442"/>
    <cellStyle name="20% - Accent4 9 7 6 3" xfId="14648"/>
    <cellStyle name="20% - Accent4 9 7 6 3 2" xfId="32269"/>
    <cellStyle name="20% - Accent4 9 7 6 4" xfId="25582"/>
    <cellStyle name="20% - Accent4 9 7 7" xfId="7688"/>
    <cellStyle name="20% - Accent4 9 7 7 2" xfId="15479"/>
    <cellStyle name="20% - Accent4 9 7 7 2 2" xfId="33100"/>
    <cellStyle name="20% - Accent4 9 7 7 3" xfId="26107"/>
    <cellStyle name="20% - Accent4 9 7 8" xfId="11259"/>
    <cellStyle name="20% - Accent4 9 7 8 2" xfId="28973"/>
    <cellStyle name="20% - Accent4 9 7 9" xfId="23246"/>
    <cellStyle name="20% - Accent4 9 8" xfId="3728"/>
    <cellStyle name="20% - Accent4 9 8 2" xfId="8338"/>
    <cellStyle name="20% - Accent4 9 8 2 2" xfId="16128"/>
    <cellStyle name="20% - Accent4 9 8 2 2 2" xfId="33749"/>
    <cellStyle name="20% - Accent4 9 8 2 3" xfId="26738"/>
    <cellStyle name="20% - Accent4 9 8 3" xfId="12452"/>
    <cellStyle name="20% - Accent4 9 8 3 2" xfId="30109"/>
    <cellStyle name="20% - Accent4 9 8 4" xfId="23877"/>
    <cellStyle name="20% - Accent4 9 9" xfId="3729"/>
    <cellStyle name="20% - Accent4 9 9 2" xfId="8339"/>
    <cellStyle name="20% - Accent4 9 9 2 2" xfId="16129"/>
    <cellStyle name="20% - Accent4 9 9 2 2 2" xfId="33750"/>
    <cellStyle name="20% - Accent4 9 9 2 3" xfId="26739"/>
    <cellStyle name="20% - Accent4 9 9 3" xfId="12453"/>
    <cellStyle name="20% - Accent4 9 9 3 2" xfId="30110"/>
    <cellStyle name="20% - Accent4 9 9 4" xfId="23878"/>
    <cellStyle name="20% - Accent5" xfId="180" builtinId="46" customBuiltin="1"/>
    <cellStyle name="20% - Accent5 10" xfId="7505"/>
    <cellStyle name="20% - Accent5 10 2" xfId="15298"/>
    <cellStyle name="20% - Accent5 10 2 2" xfId="32919"/>
    <cellStyle name="20% - Accent5 10 3" xfId="22064"/>
    <cellStyle name="20% - Accent5 10 4" xfId="25926"/>
    <cellStyle name="20% - Accent5 11" xfId="18864"/>
    <cellStyle name="20% - Accent5 11 2" xfId="36487"/>
    <cellStyle name="20% - Accent5 12" xfId="11260"/>
    <cellStyle name="20% - Accent5 12 2" xfId="28974"/>
    <cellStyle name="20% - Accent5 13" xfId="21922"/>
    <cellStyle name="20% - Accent5 13 2" xfId="38661"/>
    <cellStyle name="20% - Accent5 14" xfId="23062"/>
    <cellStyle name="20% - Accent5 15" xfId="51460"/>
    <cellStyle name="20% - Accent5 16" xfId="51473"/>
    <cellStyle name="20% - Accent5 17" xfId="51486"/>
    <cellStyle name="20% - Accent5 18" xfId="51786"/>
    <cellStyle name="20% - Accent5 2" xfId="13"/>
    <cellStyle name="20% - Accent5 2 10" xfId="512"/>
    <cellStyle name="20% - Accent5 2 11" xfId="513"/>
    <cellStyle name="20% - Accent5 2 12" xfId="514"/>
    <cellStyle name="20% - Accent5 2 13" xfId="515"/>
    <cellStyle name="20% - Accent5 2 14" xfId="516"/>
    <cellStyle name="20% - Accent5 2 15" xfId="3730"/>
    <cellStyle name="20% - Accent5 2 16" xfId="3731"/>
    <cellStyle name="20% - Accent5 2 17" xfId="3732"/>
    <cellStyle name="20% - Accent5 2 18" xfId="511"/>
    <cellStyle name="20% - Accent5 2 2" xfId="517"/>
    <cellStyle name="20% - Accent5 2 2 2" xfId="518"/>
    <cellStyle name="20% - Accent5 2 2 3" xfId="519"/>
    <cellStyle name="20% - Accent5 2 2 4" xfId="3733"/>
    <cellStyle name="20% - Accent5 2 2 5" xfId="3734"/>
    <cellStyle name="20% - Accent5 2 2_Sheet1" xfId="520"/>
    <cellStyle name="20% - Accent5 2 3" xfId="521"/>
    <cellStyle name="20% - Accent5 2 4" xfId="522"/>
    <cellStyle name="20% - Accent5 2 5" xfId="523"/>
    <cellStyle name="20% - Accent5 2 6" xfId="524"/>
    <cellStyle name="20% - Accent5 2 7" xfId="525"/>
    <cellStyle name="20% - Accent5 2 8" xfId="526"/>
    <cellStyle name="20% - Accent5 2 9" xfId="527"/>
    <cellStyle name="20% - Accent5 2_BallGrid" xfId="528"/>
    <cellStyle name="20% - Accent5 3" xfId="14"/>
    <cellStyle name="20% - Accent5 3 2" xfId="529"/>
    <cellStyle name="20% - Accent5 3 3" xfId="530"/>
    <cellStyle name="20% - Accent5 3 4" xfId="3735"/>
    <cellStyle name="20% - Accent5 4" xfId="15"/>
    <cellStyle name="20% - Accent5 4 2" xfId="531"/>
    <cellStyle name="20% - Accent5 4 3" xfId="532"/>
    <cellStyle name="20% - Accent5 4 4" xfId="3736"/>
    <cellStyle name="20% - Accent5 4 5" xfId="3737"/>
    <cellStyle name="20% - Accent5 5" xfId="533"/>
    <cellStyle name="20% - Accent5 5 10" xfId="22065"/>
    <cellStyle name="20% - Accent5 5 11" xfId="23247"/>
    <cellStyle name="20% - Accent5 5 12" xfId="51787"/>
    <cellStyle name="20% - Accent5 5 2" xfId="3739"/>
    <cellStyle name="20% - Accent5 5 2 2" xfId="8341"/>
    <cellStyle name="20% - Accent5 5 2 2 2" xfId="16131"/>
    <cellStyle name="20% - Accent5 5 2 2 2 2" xfId="33752"/>
    <cellStyle name="20% - Accent5 5 2 2 3" xfId="26741"/>
    <cellStyle name="20% - Accent5 5 2 3" xfId="12459"/>
    <cellStyle name="20% - Accent5 5 2 3 2" xfId="30116"/>
    <cellStyle name="20% - Accent5 5 2 4" xfId="23880"/>
    <cellStyle name="20% - Accent5 5 3" xfId="3740"/>
    <cellStyle name="20% - Accent5 5 4" xfId="3738"/>
    <cellStyle name="20% - Accent5 5 4 2" xfId="8340"/>
    <cellStyle name="20% - Accent5 5 4 2 2" xfId="16130"/>
    <cellStyle name="20% - Accent5 5 4 2 2 2" xfId="33751"/>
    <cellStyle name="20% - Accent5 5 4 2 3" xfId="26740"/>
    <cellStyle name="20% - Accent5 5 4 3" xfId="12458"/>
    <cellStyle name="20% - Accent5 5 4 3 2" xfId="30115"/>
    <cellStyle name="20% - Accent5 5 4 4" xfId="23879"/>
    <cellStyle name="20% - Accent5 5 5" xfId="5701"/>
    <cellStyle name="20% - Accent5 5 5 2" xfId="8998"/>
    <cellStyle name="20% - Accent5 5 5 2 2" xfId="16787"/>
    <cellStyle name="20% - Accent5 5 5 2 2 2" xfId="34409"/>
    <cellStyle name="20% - Accent5 5 5 2 3" xfId="27372"/>
    <cellStyle name="20% - Accent5 5 5 3" xfId="13551"/>
    <cellStyle name="20% - Accent5 5 5 3 2" xfId="31177"/>
    <cellStyle name="20% - Accent5 5 5 4" xfId="24511"/>
    <cellStyle name="20% - Accent5 5 6" xfId="6331"/>
    <cellStyle name="20% - Accent5 5 6 2" xfId="9538"/>
    <cellStyle name="20% - Accent5 5 6 2 2" xfId="17326"/>
    <cellStyle name="20% - Accent5 5 6 2 2 2" xfId="34949"/>
    <cellStyle name="20% - Accent5 5 6 2 3" xfId="27908"/>
    <cellStyle name="20% - Accent5 5 6 3" xfId="14114"/>
    <cellStyle name="20% - Accent5 5 6 3 2" xfId="31735"/>
    <cellStyle name="20% - Accent5 5 6 4" xfId="25047"/>
    <cellStyle name="20% - Accent5 5 7" xfId="6868"/>
    <cellStyle name="20% - Accent5 5 7 2" xfId="10075"/>
    <cellStyle name="20% - Accent5 5 7 2 2" xfId="17862"/>
    <cellStyle name="20% - Accent5 5 7 2 2 2" xfId="35485"/>
    <cellStyle name="20% - Accent5 5 7 2 3" xfId="28444"/>
    <cellStyle name="20% - Accent5 5 7 3" xfId="14650"/>
    <cellStyle name="20% - Accent5 5 7 3 2" xfId="32271"/>
    <cellStyle name="20% - Accent5 5 7 4" xfId="25584"/>
    <cellStyle name="20% - Accent5 5 8" xfId="7689"/>
    <cellStyle name="20% - Accent5 5 8 2" xfId="15480"/>
    <cellStyle name="20% - Accent5 5 8 2 2" xfId="33101"/>
    <cellStyle name="20% - Accent5 5 8 3" xfId="26108"/>
    <cellStyle name="20% - Accent5 5 9" xfId="11275"/>
    <cellStyle name="20% - Accent5 5 9 2" xfId="28989"/>
    <cellStyle name="20% - Accent5 6" xfId="3448"/>
    <cellStyle name="20% - Accent5 6 2" xfId="8070"/>
    <cellStyle name="20% - Accent5 6 2 2" xfId="15860"/>
    <cellStyle name="20% - Accent5 6 2 2 2" xfId="33481"/>
    <cellStyle name="20% - Accent5 6 2 3" xfId="26470"/>
    <cellStyle name="20% - Accent5 6 3" xfId="12175"/>
    <cellStyle name="20% - Accent5 6 3 2" xfId="29833"/>
    <cellStyle name="20% - Accent5 6 4" xfId="22066"/>
    <cellStyle name="20% - Accent5 6 5" xfId="23609"/>
    <cellStyle name="20% - Accent5 7" xfId="5700"/>
    <cellStyle name="20% - Accent5 7 2" xfId="8997"/>
    <cellStyle name="20% - Accent5 7 2 2" xfId="16786"/>
    <cellStyle name="20% - Accent5 7 2 2 2" xfId="34408"/>
    <cellStyle name="20% - Accent5 7 2 3" xfId="22712"/>
    <cellStyle name="20% - Accent5 7 2 3 2" xfId="38908"/>
    <cellStyle name="20% - Accent5 7 2 4" xfId="27371"/>
    <cellStyle name="20% - Accent5 7 3" xfId="13550"/>
    <cellStyle name="20% - Accent5 7 3 2" xfId="31176"/>
    <cellStyle name="20% - Accent5 7 4" xfId="22067"/>
    <cellStyle name="20% - Accent5 7 4 2" xfId="38754"/>
    <cellStyle name="20% - Accent5 7 5" xfId="24510"/>
    <cellStyle name="20% - Accent5 8" xfId="6330"/>
    <cellStyle name="20% - Accent5 8 2" xfId="9537"/>
    <cellStyle name="20% - Accent5 8 2 2" xfId="17325"/>
    <cellStyle name="20% - Accent5 8 2 2 2" xfId="34948"/>
    <cellStyle name="20% - Accent5 8 2 3" xfId="27907"/>
    <cellStyle name="20% - Accent5 8 3" xfId="14113"/>
    <cellStyle name="20% - Accent5 8 3 2" xfId="31734"/>
    <cellStyle name="20% - Accent5 8 4" xfId="22068"/>
    <cellStyle name="20% - Accent5 8 5" xfId="25046"/>
    <cellStyle name="20% - Accent5 9" xfId="6867"/>
    <cellStyle name="20% - Accent5 9 2" xfId="10074"/>
    <cellStyle name="20% - Accent5 9 2 2" xfId="17861"/>
    <cellStyle name="20% - Accent5 9 2 2 2" xfId="35484"/>
    <cellStyle name="20% - Accent5 9 2 3" xfId="28443"/>
    <cellStyle name="20% - Accent5 9 3" xfId="14649"/>
    <cellStyle name="20% - Accent5 9 3 2" xfId="32270"/>
    <cellStyle name="20% - Accent5 9 4" xfId="22676"/>
    <cellStyle name="20% - Accent5 9 4 2" xfId="38881"/>
    <cellStyle name="20% - Accent5 9 5" xfId="25583"/>
    <cellStyle name="20% - Accent6" xfId="184" builtinId="50" customBuiltin="1"/>
    <cellStyle name="20% - Accent6 10" xfId="7507"/>
    <cellStyle name="20% - Accent6 10 2" xfId="15300"/>
    <cellStyle name="20% - Accent6 10 2 2" xfId="32921"/>
    <cellStyle name="20% - Accent6 10 3" xfId="22070"/>
    <cellStyle name="20% - Accent6 10 3 2" xfId="38755"/>
    <cellStyle name="20% - Accent6 10 4" xfId="25928"/>
    <cellStyle name="20% - Accent6 11" xfId="18866"/>
    <cellStyle name="20% - Accent6 11 2" xfId="22071"/>
    <cellStyle name="20% - Accent6 11 2 2" xfId="38756"/>
    <cellStyle name="20% - Accent6 11 3" xfId="36489"/>
    <cellStyle name="20% - Accent6 12" xfId="11276"/>
    <cellStyle name="20% - Accent6 12 2" xfId="22073"/>
    <cellStyle name="20% - Accent6 12 2 2" xfId="38758"/>
    <cellStyle name="20% - Accent6 12 3" xfId="22072"/>
    <cellStyle name="20% - Accent6 12 3 2" xfId="38757"/>
    <cellStyle name="20% - Accent6 12 4" xfId="28990"/>
    <cellStyle name="20% - Accent6 13" xfId="22074"/>
    <cellStyle name="20% - Accent6 13 2" xfId="38759"/>
    <cellStyle name="20% - Accent6 14" xfId="22075"/>
    <cellStyle name="20% - Accent6 15" xfId="22678"/>
    <cellStyle name="20% - Accent6 15 2" xfId="38883"/>
    <cellStyle name="20% - Accent6 16" xfId="22069"/>
    <cellStyle name="20% - Accent6 17" xfId="21924"/>
    <cellStyle name="20% - Accent6 17 2" xfId="38663"/>
    <cellStyle name="20% - Accent6 18" xfId="23064"/>
    <cellStyle name="20% - Accent6 19" xfId="51462"/>
    <cellStyle name="20% - Accent6 2" xfId="16"/>
    <cellStyle name="20% - Accent6 2 10" xfId="535"/>
    <cellStyle name="20% - Accent6 2 11" xfId="536"/>
    <cellStyle name="20% - Accent6 2 12" xfId="537"/>
    <cellStyle name="20% - Accent6 2 13" xfId="538"/>
    <cellStyle name="20% - Accent6 2 14" xfId="539"/>
    <cellStyle name="20% - Accent6 2 15" xfId="3741"/>
    <cellStyle name="20% - Accent6 2 16" xfId="3742"/>
    <cellStyle name="20% - Accent6 2 17" xfId="3743"/>
    <cellStyle name="20% - Accent6 2 18" xfId="534"/>
    <cellStyle name="20% - Accent6 2 2" xfId="540"/>
    <cellStyle name="20% - Accent6 2 2 2" xfId="541"/>
    <cellStyle name="20% - Accent6 2 2 3" xfId="542"/>
    <cellStyle name="20% - Accent6 2 2 4" xfId="3744"/>
    <cellStyle name="20% - Accent6 2 2 5" xfId="3745"/>
    <cellStyle name="20% - Accent6 2 2_Sheet1" xfId="543"/>
    <cellStyle name="20% - Accent6 2 3" xfId="544"/>
    <cellStyle name="20% - Accent6 2 4" xfId="545"/>
    <cellStyle name="20% - Accent6 2 5" xfId="546"/>
    <cellStyle name="20% - Accent6 2 6" xfId="547"/>
    <cellStyle name="20% - Accent6 2 7" xfId="548"/>
    <cellStyle name="20% - Accent6 2 8" xfId="549"/>
    <cellStyle name="20% - Accent6 2 9" xfId="550"/>
    <cellStyle name="20% - Accent6 2_BallGrid" xfId="551"/>
    <cellStyle name="20% - Accent6 20" xfId="51475"/>
    <cellStyle name="20% - Accent6 21" xfId="51488"/>
    <cellStyle name="20% - Accent6 22" xfId="51788"/>
    <cellStyle name="20% - Accent6 3" xfId="17"/>
    <cellStyle name="20% - Accent6 3 2" xfId="552"/>
    <cellStyle name="20% - Accent6 3 3" xfId="553"/>
    <cellStyle name="20% - Accent6 3 4" xfId="3746"/>
    <cellStyle name="20% - Accent6 4" xfId="18"/>
    <cellStyle name="20% - Accent6 4 2" xfId="554"/>
    <cellStyle name="20% - Accent6 4 3" xfId="555"/>
    <cellStyle name="20% - Accent6 4 4" xfId="3747"/>
    <cellStyle name="20% - Accent6 4 5" xfId="3748"/>
    <cellStyle name="20% - Accent6 5" xfId="556"/>
    <cellStyle name="20% - Accent6 5 10" xfId="22076"/>
    <cellStyle name="20% - Accent6 5 11" xfId="23248"/>
    <cellStyle name="20% - Accent6 5 12" xfId="51789"/>
    <cellStyle name="20% - Accent6 5 2" xfId="3750"/>
    <cellStyle name="20% - Accent6 5 2 2" xfId="8343"/>
    <cellStyle name="20% - Accent6 5 2 2 2" xfId="16133"/>
    <cellStyle name="20% - Accent6 5 2 2 2 2" xfId="33754"/>
    <cellStyle name="20% - Accent6 5 2 2 3" xfId="26743"/>
    <cellStyle name="20% - Accent6 5 2 3" xfId="12470"/>
    <cellStyle name="20% - Accent6 5 2 3 2" xfId="30127"/>
    <cellStyle name="20% - Accent6 5 2 4" xfId="23882"/>
    <cellStyle name="20% - Accent6 5 3" xfId="3751"/>
    <cellStyle name="20% - Accent6 5 4" xfId="3749"/>
    <cellStyle name="20% - Accent6 5 4 2" xfId="8342"/>
    <cellStyle name="20% - Accent6 5 4 2 2" xfId="16132"/>
    <cellStyle name="20% - Accent6 5 4 2 2 2" xfId="33753"/>
    <cellStyle name="20% - Accent6 5 4 2 3" xfId="26742"/>
    <cellStyle name="20% - Accent6 5 4 3" xfId="12469"/>
    <cellStyle name="20% - Accent6 5 4 3 2" xfId="30126"/>
    <cellStyle name="20% - Accent6 5 4 4" xfId="23881"/>
    <cellStyle name="20% - Accent6 5 5" xfId="5703"/>
    <cellStyle name="20% - Accent6 5 5 2" xfId="9000"/>
    <cellStyle name="20% - Accent6 5 5 2 2" xfId="16789"/>
    <cellStyle name="20% - Accent6 5 5 2 2 2" xfId="34411"/>
    <cellStyle name="20% - Accent6 5 5 2 3" xfId="27374"/>
    <cellStyle name="20% - Accent6 5 5 3" xfId="13553"/>
    <cellStyle name="20% - Accent6 5 5 3 2" xfId="31179"/>
    <cellStyle name="20% - Accent6 5 5 4" xfId="24513"/>
    <cellStyle name="20% - Accent6 5 6" xfId="6333"/>
    <cellStyle name="20% - Accent6 5 6 2" xfId="9540"/>
    <cellStyle name="20% - Accent6 5 6 2 2" xfId="17328"/>
    <cellStyle name="20% - Accent6 5 6 2 2 2" xfId="34951"/>
    <cellStyle name="20% - Accent6 5 6 2 3" xfId="27910"/>
    <cellStyle name="20% - Accent6 5 6 3" xfId="14116"/>
    <cellStyle name="20% - Accent6 5 6 3 2" xfId="31737"/>
    <cellStyle name="20% - Accent6 5 6 4" xfId="25049"/>
    <cellStyle name="20% - Accent6 5 7" xfId="6870"/>
    <cellStyle name="20% - Accent6 5 7 2" xfId="10077"/>
    <cellStyle name="20% - Accent6 5 7 2 2" xfId="17864"/>
    <cellStyle name="20% - Accent6 5 7 2 2 2" xfId="35487"/>
    <cellStyle name="20% - Accent6 5 7 2 3" xfId="28446"/>
    <cellStyle name="20% - Accent6 5 7 3" xfId="14652"/>
    <cellStyle name="20% - Accent6 5 7 3 2" xfId="32273"/>
    <cellStyle name="20% - Accent6 5 7 4" xfId="25586"/>
    <cellStyle name="20% - Accent6 5 8" xfId="7690"/>
    <cellStyle name="20% - Accent6 5 8 2" xfId="15481"/>
    <cellStyle name="20% - Accent6 5 8 2 2" xfId="33102"/>
    <cellStyle name="20% - Accent6 5 8 3" xfId="26109"/>
    <cellStyle name="20% - Accent6 5 9" xfId="11301"/>
    <cellStyle name="20% - Accent6 5 9 2" xfId="29015"/>
    <cellStyle name="20% - Accent6 6" xfId="3450"/>
    <cellStyle name="20% - Accent6 6 2" xfId="8072"/>
    <cellStyle name="20% - Accent6 6 2 2" xfId="15862"/>
    <cellStyle name="20% - Accent6 6 2 2 2" xfId="33483"/>
    <cellStyle name="20% - Accent6 6 2 3" xfId="26472"/>
    <cellStyle name="20% - Accent6 6 3" xfId="12177"/>
    <cellStyle name="20% - Accent6 6 3 2" xfId="29835"/>
    <cellStyle name="20% - Accent6 6 4" xfId="22077"/>
    <cellStyle name="20% - Accent6 6 5" xfId="23611"/>
    <cellStyle name="20% - Accent6 7" xfId="5702"/>
    <cellStyle name="20% - Accent6 7 2" xfId="8999"/>
    <cellStyle name="20% - Accent6 7 2 2" xfId="16788"/>
    <cellStyle name="20% - Accent6 7 2 2 2" xfId="34410"/>
    <cellStyle name="20% - Accent6 7 2 3" xfId="22713"/>
    <cellStyle name="20% - Accent6 7 2 3 2" xfId="38909"/>
    <cellStyle name="20% - Accent6 7 2 4" xfId="27373"/>
    <cellStyle name="20% - Accent6 7 3" xfId="13552"/>
    <cellStyle name="20% - Accent6 7 3 2" xfId="31178"/>
    <cellStyle name="20% - Accent6 7 4" xfId="22078"/>
    <cellStyle name="20% - Accent6 7 4 2" xfId="38760"/>
    <cellStyle name="20% - Accent6 7 5" xfId="24512"/>
    <cellStyle name="20% - Accent6 8" xfId="6332"/>
    <cellStyle name="20% - Accent6 8 2" xfId="9539"/>
    <cellStyle name="20% - Accent6 8 2 2" xfId="17327"/>
    <cellStyle name="20% - Accent6 8 2 2 2" xfId="22715"/>
    <cellStyle name="20% - Accent6 8 2 2 2 2" xfId="38911"/>
    <cellStyle name="20% - Accent6 8 2 2 3" xfId="34950"/>
    <cellStyle name="20% - Accent6 8 2 3" xfId="22080"/>
    <cellStyle name="20% - Accent6 8 2 3 2" xfId="38762"/>
    <cellStyle name="20% - Accent6 8 2 4" xfId="27909"/>
    <cellStyle name="20% - Accent6 8 3" xfId="14115"/>
    <cellStyle name="20% - Accent6 8 3 2" xfId="22714"/>
    <cellStyle name="20% - Accent6 8 3 2 2" xfId="38910"/>
    <cellStyle name="20% - Accent6 8 3 3" xfId="31736"/>
    <cellStyle name="20% - Accent6 8 4" xfId="22079"/>
    <cellStyle name="20% - Accent6 8 4 2" xfId="38761"/>
    <cellStyle name="20% - Accent6 8 5" xfId="25048"/>
    <cellStyle name="20% - Accent6 9" xfId="6869"/>
    <cellStyle name="20% - Accent6 9 2" xfId="10076"/>
    <cellStyle name="20% - Accent6 9 2 2" xfId="17863"/>
    <cellStyle name="20% - Accent6 9 2 2 2" xfId="35486"/>
    <cellStyle name="20% - Accent6 9 2 3" xfId="22716"/>
    <cellStyle name="20% - Accent6 9 2 3 2" xfId="38912"/>
    <cellStyle name="20% - Accent6 9 2 4" xfId="28445"/>
    <cellStyle name="20% - Accent6 9 3" xfId="14651"/>
    <cellStyle name="20% - Accent6 9 3 2" xfId="32272"/>
    <cellStyle name="20% - Accent6 9 4" xfId="22081"/>
    <cellStyle name="20% - Accent6 9 4 2" xfId="38763"/>
    <cellStyle name="20% - Accent6 9 5" xfId="25585"/>
    <cellStyle name="40% - Accent1" xfId="165" builtinId="31" customBuiltin="1"/>
    <cellStyle name="40% - Accent1 10" xfId="557"/>
    <cellStyle name="40% - Accent1 10 2" xfId="558"/>
    <cellStyle name="40% - Accent1 10 3" xfId="559"/>
    <cellStyle name="40% - Accent1 10 3 2" xfId="8344"/>
    <cellStyle name="40% - Accent1 10 3 2 2" xfId="16134"/>
    <cellStyle name="40% - Accent1 10 3 2 2 2" xfId="33755"/>
    <cellStyle name="40% - Accent1 10 3 2 3" xfId="26744"/>
    <cellStyle name="40% - Accent1 10 3 3" xfId="12472"/>
    <cellStyle name="40% - Accent1 10 3 3 2" xfId="30129"/>
    <cellStyle name="40% - Accent1 10 3 4" xfId="23883"/>
    <cellStyle name="40% - Accent1 10 3 5" xfId="51790"/>
    <cellStyle name="40% - Accent1 10 4" xfId="7691"/>
    <cellStyle name="40% - Accent1 10 4 2" xfId="15482"/>
    <cellStyle name="40% - Accent1 10 4 2 2" xfId="33103"/>
    <cellStyle name="40% - Accent1 10 4 3" xfId="26110"/>
    <cellStyle name="40% - Accent1 10 5" xfId="11302"/>
    <cellStyle name="40% - Accent1 10 5 2" xfId="29016"/>
    <cellStyle name="40% - Accent1 10 6" xfId="22083"/>
    <cellStyle name="40% - Accent1 10 6 2" xfId="38764"/>
    <cellStyle name="40% - Accent1 10 7" xfId="23249"/>
    <cellStyle name="40% - Accent1 11" xfId="560"/>
    <cellStyle name="40% - Accent1 11 10" xfId="51791"/>
    <cellStyle name="40% - Accent1 11 2" xfId="3752"/>
    <cellStyle name="40% - Accent1 11 2 2" xfId="8345"/>
    <cellStyle name="40% - Accent1 11 2 2 2" xfId="16135"/>
    <cellStyle name="40% - Accent1 11 2 2 2 2" xfId="33756"/>
    <cellStyle name="40% - Accent1 11 2 2 3" xfId="26745"/>
    <cellStyle name="40% - Accent1 11 2 3" xfId="12473"/>
    <cellStyle name="40% - Accent1 11 2 3 2" xfId="30130"/>
    <cellStyle name="40% - Accent1 11 2 4" xfId="23884"/>
    <cellStyle name="40% - Accent1 11 3" xfId="5704"/>
    <cellStyle name="40% - Accent1 11 3 2" xfId="9001"/>
    <cellStyle name="40% - Accent1 11 3 2 2" xfId="16790"/>
    <cellStyle name="40% - Accent1 11 3 2 2 2" xfId="34412"/>
    <cellStyle name="40% - Accent1 11 3 2 3" xfId="27375"/>
    <cellStyle name="40% - Accent1 11 3 3" xfId="13554"/>
    <cellStyle name="40% - Accent1 11 3 3 2" xfId="31180"/>
    <cellStyle name="40% - Accent1 11 3 4" xfId="24514"/>
    <cellStyle name="40% - Accent1 11 4" xfId="6334"/>
    <cellStyle name="40% - Accent1 11 4 2" xfId="9541"/>
    <cellStyle name="40% - Accent1 11 4 2 2" xfId="17329"/>
    <cellStyle name="40% - Accent1 11 4 2 2 2" xfId="34952"/>
    <cellStyle name="40% - Accent1 11 4 2 3" xfId="27911"/>
    <cellStyle name="40% - Accent1 11 4 3" xfId="14117"/>
    <cellStyle name="40% - Accent1 11 4 3 2" xfId="31738"/>
    <cellStyle name="40% - Accent1 11 4 4" xfId="25050"/>
    <cellStyle name="40% - Accent1 11 5" xfId="6871"/>
    <cellStyle name="40% - Accent1 11 5 2" xfId="10078"/>
    <cellStyle name="40% - Accent1 11 5 2 2" xfId="17865"/>
    <cellStyle name="40% - Accent1 11 5 2 2 2" xfId="35488"/>
    <cellStyle name="40% - Accent1 11 5 2 3" xfId="28447"/>
    <cellStyle name="40% - Accent1 11 5 3" xfId="14653"/>
    <cellStyle name="40% - Accent1 11 5 3 2" xfId="32274"/>
    <cellStyle name="40% - Accent1 11 5 4" xfId="25587"/>
    <cellStyle name="40% - Accent1 11 6" xfId="7692"/>
    <cellStyle name="40% - Accent1 11 6 2" xfId="15483"/>
    <cellStyle name="40% - Accent1 11 6 2 2" xfId="33104"/>
    <cellStyle name="40% - Accent1 11 6 3" xfId="26111"/>
    <cellStyle name="40% - Accent1 11 7" xfId="11304"/>
    <cellStyle name="40% - Accent1 11 7 2" xfId="29018"/>
    <cellStyle name="40% - Accent1 11 8" xfId="22084"/>
    <cellStyle name="40% - Accent1 11 8 2" xfId="38765"/>
    <cellStyle name="40% - Accent1 11 9" xfId="23250"/>
    <cellStyle name="40% - Accent1 12" xfId="18857"/>
    <cellStyle name="40% - Accent1 12 2" xfId="22086"/>
    <cellStyle name="40% - Accent1 12 2 2" xfId="38767"/>
    <cellStyle name="40% - Accent1 12 3" xfId="22085"/>
    <cellStyle name="40% - Accent1 12 3 2" xfId="38766"/>
    <cellStyle name="40% - Accent1 12 4" xfId="36480"/>
    <cellStyle name="40% - Accent1 13" xfId="15285"/>
    <cellStyle name="40% - Accent1 13 2" xfId="22087"/>
    <cellStyle name="40% - Accent1 13 2 2" xfId="38768"/>
    <cellStyle name="40% - Accent1 13 3" xfId="32906"/>
    <cellStyle name="40% - Accent1 14" xfId="22088"/>
    <cellStyle name="40% - Accent1 15" xfId="22665"/>
    <cellStyle name="40% - Accent1 15 2" xfId="38874"/>
    <cellStyle name="40% - Accent1 16" xfId="22082"/>
    <cellStyle name="40% - Accent1 17" xfId="23055"/>
    <cellStyle name="40% - Accent1 18" xfId="51453"/>
    <cellStyle name="40% - Accent1 19" xfId="51466"/>
    <cellStyle name="40% - Accent1 2" xfId="19"/>
    <cellStyle name="40% - Accent1 2 10" xfId="562"/>
    <cellStyle name="40% - Accent1 2 11" xfId="563"/>
    <cellStyle name="40% - Accent1 2 12" xfId="564"/>
    <cellStyle name="40% - Accent1 2 13" xfId="565"/>
    <cellStyle name="40% - Accent1 2 14" xfId="566"/>
    <cellStyle name="40% - Accent1 2 15" xfId="3753"/>
    <cellStyle name="40% - Accent1 2 16" xfId="3754"/>
    <cellStyle name="40% - Accent1 2 17" xfId="3755"/>
    <cellStyle name="40% - Accent1 2 18" xfId="561"/>
    <cellStyle name="40% - Accent1 2 2" xfId="567"/>
    <cellStyle name="40% - Accent1 2 2 2" xfId="568"/>
    <cellStyle name="40% - Accent1 2 2 3" xfId="569"/>
    <cellStyle name="40% - Accent1 2 2 4" xfId="3756"/>
    <cellStyle name="40% - Accent1 2 2 5" xfId="3757"/>
    <cellStyle name="40% - Accent1 2 2_Sheet1" xfId="570"/>
    <cellStyle name="40% - Accent1 2 3" xfId="571"/>
    <cellStyle name="40% - Accent1 2 4" xfId="572"/>
    <cellStyle name="40% - Accent1 2 5" xfId="573"/>
    <cellStyle name="40% - Accent1 2 6" xfId="574"/>
    <cellStyle name="40% - Accent1 2 7" xfId="575"/>
    <cellStyle name="40% - Accent1 2 8" xfId="576"/>
    <cellStyle name="40% - Accent1 2 9" xfId="577"/>
    <cellStyle name="40% - Accent1 2_BallGrid" xfId="578"/>
    <cellStyle name="40% - Accent1 20" xfId="51479"/>
    <cellStyle name="40% - Accent1 3" xfId="20"/>
    <cellStyle name="40% - Accent1 3 10" xfId="579"/>
    <cellStyle name="40% - Accent1 3 2" xfId="580"/>
    <cellStyle name="40% - Accent1 3 3" xfId="581"/>
    <cellStyle name="40% - Accent1 3 4" xfId="582"/>
    <cellStyle name="40% - Accent1 3 5" xfId="583"/>
    <cellStyle name="40% - Accent1 3 6" xfId="584"/>
    <cellStyle name="40% - Accent1 3 7" xfId="3758"/>
    <cellStyle name="40% - Accent1 3 8" xfId="3759"/>
    <cellStyle name="40% - Accent1 3 9" xfId="3760"/>
    <cellStyle name="40% - Accent1 3_BallGrid" xfId="585"/>
    <cellStyle name="40% - Accent1 4" xfId="21"/>
    <cellStyle name="40% - Accent1 4 2" xfId="587"/>
    <cellStyle name="40% - Accent1 4 2 2" xfId="22828"/>
    <cellStyle name="40% - Accent1 4 3" xfId="588"/>
    <cellStyle name="40% - Accent1 4 3 2" xfId="22089"/>
    <cellStyle name="40% - Accent1 4 4" xfId="589"/>
    <cellStyle name="40% - Accent1 4 5" xfId="590"/>
    <cellStyle name="40% - Accent1 4 6" xfId="3761"/>
    <cellStyle name="40% - Accent1 4 7" xfId="3762"/>
    <cellStyle name="40% - Accent1 4 8" xfId="3763"/>
    <cellStyle name="40% - Accent1 4 9" xfId="586"/>
    <cellStyle name="40% - Accent1 5" xfId="591"/>
    <cellStyle name="40% - Accent1 5 10" xfId="21932"/>
    <cellStyle name="40% - Accent1 5 10 2" xfId="38671"/>
    <cellStyle name="40% - Accent1 5 11" xfId="23251"/>
    <cellStyle name="40% - Accent1 5 12" xfId="51792"/>
    <cellStyle name="40% - Accent1 5 2" xfId="3765"/>
    <cellStyle name="40% - Accent1 5 2 2" xfId="8347"/>
    <cellStyle name="40% - Accent1 5 2 2 2" xfId="16137"/>
    <cellStyle name="40% - Accent1 5 2 2 2 2" xfId="33758"/>
    <cellStyle name="40% - Accent1 5 2 2 3" xfId="26747"/>
    <cellStyle name="40% - Accent1 5 2 3" xfId="12481"/>
    <cellStyle name="40% - Accent1 5 2 3 2" xfId="30138"/>
    <cellStyle name="40% - Accent1 5 2 4" xfId="22829"/>
    <cellStyle name="40% - Accent1 5 2 4 2" xfId="38991"/>
    <cellStyle name="40% - Accent1 5 2 5" xfId="23886"/>
    <cellStyle name="40% - Accent1 5 3" xfId="3766"/>
    <cellStyle name="40% - Accent1 5 3 2" xfId="22090"/>
    <cellStyle name="40% - Accent1 5 4" xfId="3764"/>
    <cellStyle name="40% - Accent1 5 4 2" xfId="8346"/>
    <cellStyle name="40% - Accent1 5 4 2 2" xfId="16136"/>
    <cellStyle name="40% - Accent1 5 4 2 2 2" xfId="33757"/>
    <cellStyle name="40% - Accent1 5 4 2 3" xfId="26746"/>
    <cellStyle name="40% - Accent1 5 4 3" xfId="12480"/>
    <cellStyle name="40% - Accent1 5 4 3 2" xfId="30137"/>
    <cellStyle name="40% - Accent1 5 4 4" xfId="23885"/>
    <cellStyle name="40% - Accent1 5 5" xfId="5705"/>
    <cellStyle name="40% - Accent1 5 5 2" xfId="9002"/>
    <cellStyle name="40% - Accent1 5 5 2 2" xfId="16791"/>
    <cellStyle name="40% - Accent1 5 5 2 2 2" xfId="34413"/>
    <cellStyle name="40% - Accent1 5 5 2 3" xfId="27376"/>
    <cellStyle name="40% - Accent1 5 5 3" xfId="13555"/>
    <cellStyle name="40% - Accent1 5 5 3 2" xfId="31181"/>
    <cellStyle name="40% - Accent1 5 5 4" xfId="24515"/>
    <cellStyle name="40% - Accent1 5 6" xfId="6335"/>
    <cellStyle name="40% - Accent1 5 6 2" xfId="9542"/>
    <cellStyle name="40% - Accent1 5 6 2 2" xfId="17330"/>
    <cellStyle name="40% - Accent1 5 6 2 2 2" xfId="34953"/>
    <cellStyle name="40% - Accent1 5 6 2 3" xfId="27912"/>
    <cellStyle name="40% - Accent1 5 6 3" xfId="14118"/>
    <cellStyle name="40% - Accent1 5 6 3 2" xfId="31739"/>
    <cellStyle name="40% - Accent1 5 6 4" xfId="25051"/>
    <cellStyle name="40% - Accent1 5 7" xfId="6872"/>
    <cellStyle name="40% - Accent1 5 7 2" xfId="10079"/>
    <cellStyle name="40% - Accent1 5 7 2 2" xfId="17866"/>
    <cellStyle name="40% - Accent1 5 7 2 2 2" xfId="35489"/>
    <cellStyle name="40% - Accent1 5 7 2 3" xfId="28448"/>
    <cellStyle name="40% - Accent1 5 7 3" xfId="14654"/>
    <cellStyle name="40% - Accent1 5 7 3 2" xfId="32275"/>
    <cellStyle name="40% - Accent1 5 7 4" xfId="25588"/>
    <cellStyle name="40% - Accent1 5 8" xfId="7693"/>
    <cellStyle name="40% - Accent1 5 8 2" xfId="15484"/>
    <cellStyle name="40% - Accent1 5 8 2 2" xfId="33105"/>
    <cellStyle name="40% - Accent1 5 8 3" xfId="26112"/>
    <cellStyle name="40% - Accent1 5 9" xfId="11326"/>
    <cellStyle name="40% - Accent1 5 9 2" xfId="29038"/>
    <cellStyle name="40% - Accent1 6" xfId="592"/>
    <cellStyle name="40% - Accent1 6 10" xfId="51793"/>
    <cellStyle name="40% - Accent1 6 2" xfId="3767"/>
    <cellStyle name="40% - Accent1 6 2 2" xfId="8348"/>
    <cellStyle name="40% - Accent1 6 2 2 2" xfId="16138"/>
    <cellStyle name="40% - Accent1 6 2 2 2 2" xfId="33759"/>
    <cellStyle name="40% - Accent1 6 2 2 3" xfId="26748"/>
    <cellStyle name="40% - Accent1 6 2 3" xfId="12482"/>
    <cellStyle name="40% - Accent1 6 2 3 2" xfId="30139"/>
    <cellStyle name="40% - Accent1 6 2 4" xfId="22830"/>
    <cellStyle name="40% - Accent1 6 2 4 2" xfId="38992"/>
    <cellStyle name="40% - Accent1 6 2 5" xfId="23887"/>
    <cellStyle name="40% - Accent1 6 3" xfId="5706"/>
    <cellStyle name="40% - Accent1 6 3 2" xfId="9003"/>
    <cellStyle name="40% - Accent1 6 3 2 2" xfId="16792"/>
    <cellStyle name="40% - Accent1 6 3 2 2 2" xfId="34414"/>
    <cellStyle name="40% - Accent1 6 3 2 3" xfId="27377"/>
    <cellStyle name="40% - Accent1 6 3 3" xfId="13556"/>
    <cellStyle name="40% - Accent1 6 3 3 2" xfId="31182"/>
    <cellStyle name="40% - Accent1 6 3 4" xfId="22091"/>
    <cellStyle name="40% - Accent1 6 3 5" xfId="24516"/>
    <cellStyle name="40% - Accent1 6 4" xfId="6336"/>
    <cellStyle name="40% - Accent1 6 4 2" xfId="9543"/>
    <cellStyle name="40% - Accent1 6 4 2 2" xfId="17331"/>
    <cellStyle name="40% - Accent1 6 4 2 2 2" xfId="34954"/>
    <cellStyle name="40% - Accent1 6 4 2 3" xfId="27913"/>
    <cellStyle name="40% - Accent1 6 4 3" xfId="14119"/>
    <cellStyle name="40% - Accent1 6 4 3 2" xfId="31740"/>
    <cellStyle name="40% - Accent1 6 4 4" xfId="25052"/>
    <cellStyle name="40% - Accent1 6 5" xfId="6873"/>
    <cellStyle name="40% - Accent1 6 5 2" xfId="10080"/>
    <cellStyle name="40% - Accent1 6 5 2 2" xfId="17867"/>
    <cellStyle name="40% - Accent1 6 5 2 2 2" xfId="35490"/>
    <cellStyle name="40% - Accent1 6 5 2 3" xfId="28449"/>
    <cellStyle name="40% - Accent1 6 5 3" xfId="14655"/>
    <cellStyle name="40% - Accent1 6 5 3 2" xfId="32276"/>
    <cellStyle name="40% - Accent1 6 5 4" xfId="25589"/>
    <cellStyle name="40% - Accent1 6 6" xfId="7694"/>
    <cellStyle name="40% - Accent1 6 6 2" xfId="15485"/>
    <cellStyle name="40% - Accent1 6 6 2 2" xfId="33106"/>
    <cellStyle name="40% - Accent1 6 6 3" xfId="26113"/>
    <cellStyle name="40% - Accent1 6 7" xfId="11327"/>
    <cellStyle name="40% - Accent1 6 7 2" xfId="29039"/>
    <cellStyle name="40% - Accent1 6 8" xfId="21933"/>
    <cellStyle name="40% - Accent1 6 8 2" xfId="38672"/>
    <cellStyle name="40% - Accent1 6 9" xfId="23252"/>
    <cellStyle name="40% - Accent1 7" xfId="593"/>
    <cellStyle name="40% - Accent1 7 10" xfId="51794"/>
    <cellStyle name="40% - Accent1 7 2" xfId="3768"/>
    <cellStyle name="40% - Accent1 7 2 2" xfId="8349"/>
    <cellStyle name="40% - Accent1 7 2 2 2" xfId="16139"/>
    <cellStyle name="40% - Accent1 7 2 2 2 2" xfId="33760"/>
    <cellStyle name="40% - Accent1 7 2 2 3" xfId="26749"/>
    <cellStyle name="40% - Accent1 7 2 3" xfId="12483"/>
    <cellStyle name="40% - Accent1 7 2 3 2" xfId="30140"/>
    <cellStyle name="40% - Accent1 7 2 4" xfId="22717"/>
    <cellStyle name="40% - Accent1 7 2 4 2" xfId="38913"/>
    <cellStyle name="40% - Accent1 7 2 5" xfId="23888"/>
    <cellStyle name="40% - Accent1 7 3" xfId="5707"/>
    <cellStyle name="40% - Accent1 7 3 2" xfId="9004"/>
    <cellStyle name="40% - Accent1 7 3 2 2" xfId="16793"/>
    <cellStyle name="40% - Accent1 7 3 2 2 2" xfId="34415"/>
    <cellStyle name="40% - Accent1 7 3 2 3" xfId="27378"/>
    <cellStyle name="40% - Accent1 7 3 3" xfId="13557"/>
    <cellStyle name="40% - Accent1 7 3 3 2" xfId="31183"/>
    <cellStyle name="40% - Accent1 7 3 4" xfId="24517"/>
    <cellStyle name="40% - Accent1 7 4" xfId="6337"/>
    <cellStyle name="40% - Accent1 7 4 2" xfId="9544"/>
    <cellStyle name="40% - Accent1 7 4 2 2" xfId="17332"/>
    <cellStyle name="40% - Accent1 7 4 2 2 2" xfId="34955"/>
    <cellStyle name="40% - Accent1 7 4 2 3" xfId="27914"/>
    <cellStyle name="40% - Accent1 7 4 3" xfId="14120"/>
    <cellStyle name="40% - Accent1 7 4 3 2" xfId="31741"/>
    <cellStyle name="40% - Accent1 7 4 4" xfId="25053"/>
    <cellStyle name="40% - Accent1 7 5" xfId="6874"/>
    <cellStyle name="40% - Accent1 7 5 2" xfId="10081"/>
    <cellStyle name="40% - Accent1 7 5 2 2" xfId="17868"/>
    <cellStyle name="40% - Accent1 7 5 2 2 2" xfId="35491"/>
    <cellStyle name="40% - Accent1 7 5 2 3" xfId="28450"/>
    <cellStyle name="40% - Accent1 7 5 3" xfId="14656"/>
    <cellStyle name="40% - Accent1 7 5 3 2" xfId="32277"/>
    <cellStyle name="40% - Accent1 7 5 4" xfId="25590"/>
    <cellStyle name="40% - Accent1 7 6" xfId="7695"/>
    <cellStyle name="40% - Accent1 7 6 2" xfId="15486"/>
    <cellStyle name="40% - Accent1 7 6 2 2" xfId="33107"/>
    <cellStyle name="40% - Accent1 7 6 3" xfId="26114"/>
    <cellStyle name="40% - Accent1 7 7" xfId="11328"/>
    <cellStyle name="40% - Accent1 7 7 2" xfId="29040"/>
    <cellStyle name="40% - Accent1 7 8" xfId="22092"/>
    <cellStyle name="40% - Accent1 7 8 2" xfId="38769"/>
    <cellStyle name="40% - Accent1 7 9" xfId="23253"/>
    <cellStyle name="40% - Accent1 8" xfId="594"/>
    <cellStyle name="40% - Accent1 8 10" xfId="51795"/>
    <cellStyle name="40% - Accent1 8 2" xfId="3769"/>
    <cellStyle name="40% - Accent1 8 2 2" xfId="8350"/>
    <cellStyle name="40% - Accent1 8 2 2 2" xfId="16140"/>
    <cellStyle name="40% - Accent1 8 2 2 2 2" xfId="33761"/>
    <cellStyle name="40% - Accent1 8 2 2 3" xfId="22719"/>
    <cellStyle name="40% - Accent1 8 2 2 3 2" xfId="38915"/>
    <cellStyle name="40% - Accent1 8 2 2 4" xfId="26750"/>
    <cellStyle name="40% - Accent1 8 2 3" xfId="12484"/>
    <cellStyle name="40% - Accent1 8 2 3 2" xfId="30141"/>
    <cellStyle name="40% - Accent1 8 2 4" xfId="22094"/>
    <cellStyle name="40% - Accent1 8 2 4 2" xfId="38771"/>
    <cellStyle name="40% - Accent1 8 2 5" xfId="23889"/>
    <cellStyle name="40% - Accent1 8 3" xfId="5708"/>
    <cellStyle name="40% - Accent1 8 3 2" xfId="9005"/>
    <cellStyle name="40% - Accent1 8 3 2 2" xfId="16794"/>
    <cellStyle name="40% - Accent1 8 3 2 2 2" xfId="34416"/>
    <cellStyle name="40% - Accent1 8 3 2 3" xfId="27379"/>
    <cellStyle name="40% - Accent1 8 3 3" xfId="13558"/>
    <cellStyle name="40% - Accent1 8 3 3 2" xfId="31184"/>
    <cellStyle name="40% - Accent1 8 3 4" xfId="22718"/>
    <cellStyle name="40% - Accent1 8 3 4 2" xfId="38914"/>
    <cellStyle name="40% - Accent1 8 3 5" xfId="24518"/>
    <cellStyle name="40% - Accent1 8 4" xfId="6338"/>
    <cellStyle name="40% - Accent1 8 4 2" xfId="9545"/>
    <cellStyle name="40% - Accent1 8 4 2 2" xfId="17333"/>
    <cellStyle name="40% - Accent1 8 4 2 2 2" xfId="34956"/>
    <cellStyle name="40% - Accent1 8 4 2 3" xfId="27915"/>
    <cellStyle name="40% - Accent1 8 4 3" xfId="14121"/>
    <cellStyle name="40% - Accent1 8 4 3 2" xfId="31742"/>
    <cellStyle name="40% - Accent1 8 4 4" xfId="25054"/>
    <cellStyle name="40% - Accent1 8 5" xfId="6875"/>
    <cellStyle name="40% - Accent1 8 5 2" xfId="10082"/>
    <cellStyle name="40% - Accent1 8 5 2 2" xfId="17869"/>
    <cellStyle name="40% - Accent1 8 5 2 2 2" xfId="35492"/>
    <cellStyle name="40% - Accent1 8 5 2 3" xfId="28451"/>
    <cellStyle name="40% - Accent1 8 5 3" xfId="14657"/>
    <cellStyle name="40% - Accent1 8 5 3 2" xfId="32278"/>
    <cellStyle name="40% - Accent1 8 5 4" xfId="25591"/>
    <cellStyle name="40% - Accent1 8 6" xfId="7696"/>
    <cellStyle name="40% - Accent1 8 6 2" xfId="15487"/>
    <cellStyle name="40% - Accent1 8 6 2 2" xfId="33108"/>
    <cellStyle name="40% - Accent1 8 6 3" xfId="26115"/>
    <cellStyle name="40% - Accent1 8 7" xfId="11329"/>
    <cellStyle name="40% - Accent1 8 7 2" xfId="29041"/>
    <cellStyle name="40% - Accent1 8 8" xfId="22093"/>
    <cellStyle name="40% - Accent1 8 8 2" xfId="38770"/>
    <cellStyle name="40% - Accent1 8 9" xfId="23254"/>
    <cellStyle name="40% - Accent1 9" xfId="595"/>
    <cellStyle name="40% - Accent1 9 10" xfId="51796"/>
    <cellStyle name="40% - Accent1 9 2" xfId="3770"/>
    <cellStyle name="40% - Accent1 9 2 2" xfId="8351"/>
    <cellStyle name="40% - Accent1 9 2 2 2" xfId="16141"/>
    <cellStyle name="40% - Accent1 9 2 2 2 2" xfId="33762"/>
    <cellStyle name="40% - Accent1 9 2 2 3" xfId="26751"/>
    <cellStyle name="40% - Accent1 9 2 3" xfId="12485"/>
    <cellStyle name="40% - Accent1 9 2 3 2" xfId="30142"/>
    <cellStyle name="40% - Accent1 9 2 4" xfId="22720"/>
    <cellStyle name="40% - Accent1 9 2 4 2" xfId="38916"/>
    <cellStyle name="40% - Accent1 9 2 5" xfId="23890"/>
    <cellStyle name="40% - Accent1 9 3" xfId="5709"/>
    <cellStyle name="40% - Accent1 9 3 2" xfId="9006"/>
    <cellStyle name="40% - Accent1 9 3 2 2" xfId="16795"/>
    <cellStyle name="40% - Accent1 9 3 2 2 2" xfId="34417"/>
    <cellStyle name="40% - Accent1 9 3 2 3" xfId="27380"/>
    <cellStyle name="40% - Accent1 9 3 3" xfId="13559"/>
    <cellStyle name="40% - Accent1 9 3 3 2" xfId="31185"/>
    <cellStyle name="40% - Accent1 9 3 4" xfId="24519"/>
    <cellStyle name="40% - Accent1 9 4" xfId="6339"/>
    <cellStyle name="40% - Accent1 9 4 2" xfId="9546"/>
    <cellStyle name="40% - Accent1 9 4 2 2" xfId="17334"/>
    <cellStyle name="40% - Accent1 9 4 2 2 2" xfId="34957"/>
    <cellStyle name="40% - Accent1 9 4 2 3" xfId="27916"/>
    <cellStyle name="40% - Accent1 9 4 3" xfId="14122"/>
    <cellStyle name="40% - Accent1 9 4 3 2" xfId="31743"/>
    <cellStyle name="40% - Accent1 9 4 4" xfId="25055"/>
    <cellStyle name="40% - Accent1 9 5" xfId="6876"/>
    <cellStyle name="40% - Accent1 9 5 2" xfId="10083"/>
    <cellStyle name="40% - Accent1 9 5 2 2" xfId="17870"/>
    <cellStyle name="40% - Accent1 9 5 2 2 2" xfId="35493"/>
    <cellStyle name="40% - Accent1 9 5 2 3" xfId="28452"/>
    <cellStyle name="40% - Accent1 9 5 3" xfId="14658"/>
    <cellStyle name="40% - Accent1 9 5 3 2" xfId="32279"/>
    <cellStyle name="40% - Accent1 9 5 4" xfId="25592"/>
    <cellStyle name="40% - Accent1 9 6" xfId="7697"/>
    <cellStyle name="40% - Accent1 9 6 2" xfId="15488"/>
    <cellStyle name="40% - Accent1 9 6 2 2" xfId="33109"/>
    <cellStyle name="40% - Accent1 9 6 3" xfId="26116"/>
    <cellStyle name="40% - Accent1 9 7" xfId="11330"/>
    <cellStyle name="40% - Accent1 9 7 2" xfId="29042"/>
    <cellStyle name="40% - Accent1 9 8" xfId="22095"/>
    <cellStyle name="40% - Accent1 9 8 2" xfId="38772"/>
    <cellStyle name="40% - Accent1 9 9" xfId="23255"/>
    <cellStyle name="40% - Accent2" xfId="169" builtinId="35" customBuiltin="1"/>
    <cellStyle name="40% - Accent2 10" xfId="596"/>
    <cellStyle name="40% - Accent2 10 2" xfId="597"/>
    <cellStyle name="40% - Accent2 10 3" xfId="598"/>
    <cellStyle name="40% - Accent2 10 3 2" xfId="8352"/>
    <cellStyle name="40% - Accent2 10 3 2 2" xfId="16142"/>
    <cellStyle name="40% - Accent2 10 3 2 2 2" xfId="33763"/>
    <cellStyle name="40% - Accent2 10 3 2 3" xfId="26752"/>
    <cellStyle name="40% - Accent2 10 3 3" xfId="12486"/>
    <cellStyle name="40% - Accent2 10 3 3 2" xfId="30143"/>
    <cellStyle name="40% - Accent2 10 3 4" xfId="23891"/>
    <cellStyle name="40% - Accent2 10 3 5" xfId="51797"/>
    <cellStyle name="40% - Accent2 10 4" xfId="7698"/>
    <cellStyle name="40% - Accent2 10 4 2" xfId="15489"/>
    <cellStyle name="40% - Accent2 10 4 2 2" xfId="33110"/>
    <cellStyle name="40% - Accent2 10 4 3" xfId="26117"/>
    <cellStyle name="40% - Accent2 10 5" xfId="11331"/>
    <cellStyle name="40% - Accent2 10 5 2" xfId="29043"/>
    <cellStyle name="40% - Accent2 10 6" xfId="22096"/>
    <cellStyle name="40% - Accent2 10 7" xfId="23256"/>
    <cellStyle name="40% - Accent2 11" xfId="599"/>
    <cellStyle name="40% - Accent2 11 2" xfId="3771"/>
    <cellStyle name="40% - Accent2 11 2 2" xfId="8353"/>
    <cellStyle name="40% - Accent2 11 2 2 2" xfId="16143"/>
    <cellStyle name="40% - Accent2 11 2 2 2 2" xfId="33764"/>
    <cellStyle name="40% - Accent2 11 2 2 3" xfId="26753"/>
    <cellStyle name="40% - Accent2 11 2 3" xfId="12487"/>
    <cellStyle name="40% - Accent2 11 2 3 2" xfId="30144"/>
    <cellStyle name="40% - Accent2 11 2 4" xfId="23892"/>
    <cellStyle name="40% - Accent2 11 3" xfId="5710"/>
    <cellStyle name="40% - Accent2 11 3 2" xfId="9007"/>
    <cellStyle name="40% - Accent2 11 3 2 2" xfId="16796"/>
    <cellStyle name="40% - Accent2 11 3 2 2 2" xfId="34418"/>
    <cellStyle name="40% - Accent2 11 3 2 3" xfId="27381"/>
    <cellStyle name="40% - Accent2 11 3 3" xfId="13560"/>
    <cellStyle name="40% - Accent2 11 3 3 2" xfId="31186"/>
    <cellStyle name="40% - Accent2 11 3 4" xfId="24520"/>
    <cellStyle name="40% - Accent2 11 4" xfId="6340"/>
    <cellStyle name="40% - Accent2 11 4 2" xfId="9547"/>
    <cellStyle name="40% - Accent2 11 4 2 2" xfId="17335"/>
    <cellStyle name="40% - Accent2 11 4 2 2 2" xfId="34958"/>
    <cellStyle name="40% - Accent2 11 4 2 3" xfId="27917"/>
    <cellStyle name="40% - Accent2 11 4 3" xfId="14123"/>
    <cellStyle name="40% - Accent2 11 4 3 2" xfId="31744"/>
    <cellStyle name="40% - Accent2 11 4 4" xfId="25056"/>
    <cellStyle name="40% - Accent2 11 5" xfId="6877"/>
    <cellStyle name="40% - Accent2 11 5 2" xfId="10084"/>
    <cellStyle name="40% - Accent2 11 5 2 2" xfId="17871"/>
    <cellStyle name="40% - Accent2 11 5 2 2 2" xfId="35494"/>
    <cellStyle name="40% - Accent2 11 5 2 3" xfId="28453"/>
    <cellStyle name="40% - Accent2 11 5 3" xfId="14659"/>
    <cellStyle name="40% - Accent2 11 5 3 2" xfId="32280"/>
    <cellStyle name="40% - Accent2 11 5 4" xfId="25593"/>
    <cellStyle name="40% - Accent2 11 6" xfId="7699"/>
    <cellStyle name="40% - Accent2 11 6 2" xfId="15490"/>
    <cellStyle name="40% - Accent2 11 6 2 2" xfId="33111"/>
    <cellStyle name="40% - Accent2 11 6 3" xfId="26118"/>
    <cellStyle name="40% - Accent2 11 7" xfId="11332"/>
    <cellStyle name="40% - Accent2 11 7 2" xfId="29044"/>
    <cellStyle name="40% - Accent2 11 8" xfId="23257"/>
    <cellStyle name="40% - Accent2 11 9" xfId="51798"/>
    <cellStyle name="40% - Accent2 12" xfId="18859"/>
    <cellStyle name="40% - Accent2 12 2" xfId="36482"/>
    <cellStyle name="40% - Accent2 13" xfId="15287"/>
    <cellStyle name="40% - Accent2 13 2" xfId="32908"/>
    <cellStyle name="40% - Accent2 14" xfId="23057"/>
    <cellStyle name="40% - Accent2 15" xfId="51455"/>
    <cellStyle name="40% - Accent2 16" xfId="51468"/>
    <cellStyle name="40% - Accent2 17" xfId="51481"/>
    <cellStyle name="40% - Accent2 2" xfId="22"/>
    <cellStyle name="40% - Accent2 2 10" xfId="601"/>
    <cellStyle name="40% - Accent2 2 11" xfId="602"/>
    <cellStyle name="40% - Accent2 2 12" xfId="603"/>
    <cellStyle name="40% - Accent2 2 13" xfId="604"/>
    <cellStyle name="40% - Accent2 2 14" xfId="605"/>
    <cellStyle name="40% - Accent2 2 15" xfId="3772"/>
    <cellStyle name="40% - Accent2 2 16" xfId="3773"/>
    <cellStyle name="40% - Accent2 2 17" xfId="3774"/>
    <cellStyle name="40% - Accent2 2 18" xfId="600"/>
    <cellStyle name="40% - Accent2 2 2" xfId="606"/>
    <cellStyle name="40% - Accent2 2 2 2" xfId="607"/>
    <cellStyle name="40% - Accent2 2 2 3" xfId="608"/>
    <cellStyle name="40% - Accent2 2 2 4" xfId="3775"/>
    <cellStyle name="40% - Accent2 2 2 5" xfId="3776"/>
    <cellStyle name="40% - Accent2 2 2_Sheet1" xfId="609"/>
    <cellStyle name="40% - Accent2 2 3" xfId="610"/>
    <cellStyle name="40% - Accent2 2 4" xfId="611"/>
    <cellStyle name="40% - Accent2 2 5" xfId="612"/>
    <cellStyle name="40% - Accent2 2 6" xfId="613"/>
    <cellStyle name="40% - Accent2 2 7" xfId="614"/>
    <cellStyle name="40% - Accent2 2 8" xfId="615"/>
    <cellStyle name="40% - Accent2 2 9" xfId="616"/>
    <cellStyle name="40% - Accent2 2_BallGrid" xfId="617"/>
    <cellStyle name="40% - Accent2 3" xfId="23"/>
    <cellStyle name="40% - Accent2 3 10" xfId="618"/>
    <cellStyle name="40% - Accent2 3 2" xfId="619"/>
    <cellStyle name="40% - Accent2 3 3" xfId="620"/>
    <cellStyle name="40% - Accent2 3 4" xfId="621"/>
    <cellStyle name="40% - Accent2 3 5" xfId="622"/>
    <cellStyle name="40% - Accent2 3 6" xfId="623"/>
    <cellStyle name="40% - Accent2 3 7" xfId="3777"/>
    <cellStyle name="40% - Accent2 3 8" xfId="3778"/>
    <cellStyle name="40% - Accent2 3 9" xfId="3779"/>
    <cellStyle name="40% - Accent2 3_BallGrid" xfId="624"/>
    <cellStyle name="40% - Accent2 4" xfId="24"/>
    <cellStyle name="40% - Accent2 4 2" xfId="626"/>
    <cellStyle name="40% - Accent2 4 2 2" xfId="22831"/>
    <cellStyle name="40% - Accent2 4 3" xfId="627"/>
    <cellStyle name="40% - Accent2 4 3 2" xfId="22097"/>
    <cellStyle name="40% - Accent2 4 4" xfId="628"/>
    <cellStyle name="40% - Accent2 4 5" xfId="629"/>
    <cellStyle name="40% - Accent2 4 6" xfId="3780"/>
    <cellStyle name="40% - Accent2 4 7" xfId="3781"/>
    <cellStyle name="40% - Accent2 4 8" xfId="3782"/>
    <cellStyle name="40% - Accent2 4 9" xfId="625"/>
    <cellStyle name="40% - Accent2 5" xfId="630"/>
    <cellStyle name="40% - Accent2 5 10" xfId="21934"/>
    <cellStyle name="40% - Accent2 5 10 2" xfId="38673"/>
    <cellStyle name="40% - Accent2 5 11" xfId="23258"/>
    <cellStyle name="40% - Accent2 5 12" xfId="51799"/>
    <cellStyle name="40% - Accent2 5 2" xfId="3784"/>
    <cellStyle name="40% - Accent2 5 2 2" xfId="8355"/>
    <cellStyle name="40% - Accent2 5 2 2 2" xfId="16145"/>
    <cellStyle name="40% - Accent2 5 2 2 2 2" xfId="33766"/>
    <cellStyle name="40% - Accent2 5 2 2 3" xfId="26755"/>
    <cellStyle name="40% - Accent2 5 2 3" xfId="12497"/>
    <cellStyle name="40% - Accent2 5 2 3 2" xfId="30151"/>
    <cellStyle name="40% - Accent2 5 2 4" xfId="22832"/>
    <cellStyle name="40% - Accent2 5 2 4 2" xfId="38993"/>
    <cellStyle name="40% - Accent2 5 2 5" xfId="23894"/>
    <cellStyle name="40% - Accent2 5 3" xfId="3785"/>
    <cellStyle name="40% - Accent2 5 3 2" xfId="22098"/>
    <cellStyle name="40% - Accent2 5 4" xfId="3783"/>
    <cellStyle name="40% - Accent2 5 4 2" xfId="8354"/>
    <cellStyle name="40% - Accent2 5 4 2 2" xfId="16144"/>
    <cellStyle name="40% - Accent2 5 4 2 2 2" xfId="33765"/>
    <cellStyle name="40% - Accent2 5 4 2 3" xfId="26754"/>
    <cellStyle name="40% - Accent2 5 4 3" xfId="12496"/>
    <cellStyle name="40% - Accent2 5 4 3 2" xfId="30150"/>
    <cellStyle name="40% - Accent2 5 4 4" xfId="23893"/>
    <cellStyle name="40% - Accent2 5 5" xfId="5711"/>
    <cellStyle name="40% - Accent2 5 5 2" xfId="9008"/>
    <cellStyle name="40% - Accent2 5 5 2 2" xfId="16797"/>
    <cellStyle name="40% - Accent2 5 5 2 2 2" xfId="34419"/>
    <cellStyle name="40% - Accent2 5 5 2 3" xfId="27382"/>
    <cellStyle name="40% - Accent2 5 5 3" xfId="13561"/>
    <cellStyle name="40% - Accent2 5 5 3 2" xfId="31187"/>
    <cellStyle name="40% - Accent2 5 5 4" xfId="24521"/>
    <cellStyle name="40% - Accent2 5 6" xfId="6341"/>
    <cellStyle name="40% - Accent2 5 6 2" xfId="9548"/>
    <cellStyle name="40% - Accent2 5 6 2 2" xfId="17336"/>
    <cellStyle name="40% - Accent2 5 6 2 2 2" xfId="34959"/>
    <cellStyle name="40% - Accent2 5 6 2 3" xfId="27918"/>
    <cellStyle name="40% - Accent2 5 6 3" xfId="14124"/>
    <cellStyle name="40% - Accent2 5 6 3 2" xfId="31745"/>
    <cellStyle name="40% - Accent2 5 6 4" xfId="25057"/>
    <cellStyle name="40% - Accent2 5 7" xfId="6878"/>
    <cellStyle name="40% - Accent2 5 7 2" xfId="10085"/>
    <cellStyle name="40% - Accent2 5 7 2 2" xfId="17872"/>
    <cellStyle name="40% - Accent2 5 7 2 2 2" xfId="35495"/>
    <cellStyle name="40% - Accent2 5 7 2 3" xfId="28454"/>
    <cellStyle name="40% - Accent2 5 7 3" xfId="14660"/>
    <cellStyle name="40% - Accent2 5 7 3 2" xfId="32281"/>
    <cellStyle name="40% - Accent2 5 7 4" xfId="25594"/>
    <cellStyle name="40% - Accent2 5 8" xfId="7700"/>
    <cellStyle name="40% - Accent2 5 8 2" xfId="15491"/>
    <cellStyle name="40% - Accent2 5 8 2 2" xfId="33112"/>
    <cellStyle name="40% - Accent2 5 8 3" xfId="26119"/>
    <cellStyle name="40% - Accent2 5 9" xfId="11340"/>
    <cellStyle name="40% - Accent2 5 9 2" xfId="29049"/>
    <cellStyle name="40% - Accent2 6" xfId="631"/>
    <cellStyle name="40% - Accent2 6 10" xfId="51800"/>
    <cellStyle name="40% - Accent2 6 2" xfId="3786"/>
    <cellStyle name="40% - Accent2 6 2 2" xfId="8356"/>
    <cellStyle name="40% - Accent2 6 2 2 2" xfId="16146"/>
    <cellStyle name="40% - Accent2 6 2 2 2 2" xfId="33767"/>
    <cellStyle name="40% - Accent2 6 2 2 3" xfId="26756"/>
    <cellStyle name="40% - Accent2 6 2 3" xfId="12498"/>
    <cellStyle name="40% - Accent2 6 2 3 2" xfId="30152"/>
    <cellStyle name="40% - Accent2 6 2 4" xfId="22833"/>
    <cellStyle name="40% - Accent2 6 2 4 2" xfId="38994"/>
    <cellStyle name="40% - Accent2 6 2 5" xfId="23895"/>
    <cellStyle name="40% - Accent2 6 3" xfId="5712"/>
    <cellStyle name="40% - Accent2 6 3 2" xfId="9009"/>
    <cellStyle name="40% - Accent2 6 3 2 2" xfId="16798"/>
    <cellStyle name="40% - Accent2 6 3 2 2 2" xfId="34420"/>
    <cellStyle name="40% - Accent2 6 3 2 3" xfId="27383"/>
    <cellStyle name="40% - Accent2 6 3 3" xfId="13562"/>
    <cellStyle name="40% - Accent2 6 3 3 2" xfId="31188"/>
    <cellStyle name="40% - Accent2 6 3 4" xfId="22099"/>
    <cellStyle name="40% - Accent2 6 3 5" xfId="24522"/>
    <cellStyle name="40% - Accent2 6 4" xfId="6342"/>
    <cellStyle name="40% - Accent2 6 4 2" xfId="9549"/>
    <cellStyle name="40% - Accent2 6 4 2 2" xfId="17337"/>
    <cellStyle name="40% - Accent2 6 4 2 2 2" xfId="34960"/>
    <cellStyle name="40% - Accent2 6 4 2 3" xfId="27919"/>
    <cellStyle name="40% - Accent2 6 4 3" xfId="14125"/>
    <cellStyle name="40% - Accent2 6 4 3 2" xfId="31746"/>
    <cellStyle name="40% - Accent2 6 4 4" xfId="25058"/>
    <cellStyle name="40% - Accent2 6 5" xfId="6879"/>
    <cellStyle name="40% - Accent2 6 5 2" xfId="10086"/>
    <cellStyle name="40% - Accent2 6 5 2 2" xfId="17873"/>
    <cellStyle name="40% - Accent2 6 5 2 2 2" xfId="35496"/>
    <cellStyle name="40% - Accent2 6 5 2 3" xfId="28455"/>
    <cellStyle name="40% - Accent2 6 5 3" xfId="14661"/>
    <cellStyle name="40% - Accent2 6 5 3 2" xfId="32282"/>
    <cellStyle name="40% - Accent2 6 5 4" xfId="25595"/>
    <cellStyle name="40% - Accent2 6 6" xfId="7701"/>
    <cellStyle name="40% - Accent2 6 6 2" xfId="15492"/>
    <cellStyle name="40% - Accent2 6 6 2 2" xfId="33113"/>
    <cellStyle name="40% - Accent2 6 6 3" xfId="26120"/>
    <cellStyle name="40% - Accent2 6 7" xfId="11341"/>
    <cellStyle name="40% - Accent2 6 7 2" xfId="29050"/>
    <cellStyle name="40% - Accent2 6 8" xfId="21935"/>
    <cellStyle name="40% - Accent2 6 8 2" xfId="38674"/>
    <cellStyle name="40% - Accent2 6 9" xfId="23259"/>
    <cellStyle name="40% - Accent2 7" xfId="632"/>
    <cellStyle name="40% - Accent2 7 10" xfId="51801"/>
    <cellStyle name="40% - Accent2 7 2" xfId="3787"/>
    <cellStyle name="40% - Accent2 7 2 2" xfId="8357"/>
    <cellStyle name="40% - Accent2 7 2 2 2" xfId="16147"/>
    <cellStyle name="40% - Accent2 7 2 2 2 2" xfId="33768"/>
    <cellStyle name="40% - Accent2 7 2 2 3" xfId="26757"/>
    <cellStyle name="40% - Accent2 7 2 3" xfId="12499"/>
    <cellStyle name="40% - Accent2 7 2 3 2" xfId="30153"/>
    <cellStyle name="40% - Accent2 7 2 4" xfId="22721"/>
    <cellStyle name="40% - Accent2 7 2 4 2" xfId="38917"/>
    <cellStyle name="40% - Accent2 7 2 5" xfId="23896"/>
    <cellStyle name="40% - Accent2 7 3" xfId="5713"/>
    <cellStyle name="40% - Accent2 7 3 2" xfId="9010"/>
    <cellStyle name="40% - Accent2 7 3 2 2" xfId="16799"/>
    <cellStyle name="40% - Accent2 7 3 2 2 2" xfId="34421"/>
    <cellStyle name="40% - Accent2 7 3 2 3" xfId="27384"/>
    <cellStyle name="40% - Accent2 7 3 3" xfId="13563"/>
    <cellStyle name="40% - Accent2 7 3 3 2" xfId="31189"/>
    <cellStyle name="40% - Accent2 7 3 4" xfId="24523"/>
    <cellStyle name="40% - Accent2 7 4" xfId="6343"/>
    <cellStyle name="40% - Accent2 7 4 2" xfId="9550"/>
    <cellStyle name="40% - Accent2 7 4 2 2" xfId="17338"/>
    <cellStyle name="40% - Accent2 7 4 2 2 2" xfId="34961"/>
    <cellStyle name="40% - Accent2 7 4 2 3" xfId="27920"/>
    <cellStyle name="40% - Accent2 7 4 3" xfId="14126"/>
    <cellStyle name="40% - Accent2 7 4 3 2" xfId="31747"/>
    <cellStyle name="40% - Accent2 7 4 4" xfId="25059"/>
    <cellStyle name="40% - Accent2 7 5" xfId="6880"/>
    <cellStyle name="40% - Accent2 7 5 2" xfId="10087"/>
    <cellStyle name="40% - Accent2 7 5 2 2" xfId="17874"/>
    <cellStyle name="40% - Accent2 7 5 2 2 2" xfId="35497"/>
    <cellStyle name="40% - Accent2 7 5 2 3" xfId="28456"/>
    <cellStyle name="40% - Accent2 7 5 3" xfId="14662"/>
    <cellStyle name="40% - Accent2 7 5 3 2" xfId="32283"/>
    <cellStyle name="40% - Accent2 7 5 4" xfId="25596"/>
    <cellStyle name="40% - Accent2 7 6" xfId="7702"/>
    <cellStyle name="40% - Accent2 7 6 2" xfId="15493"/>
    <cellStyle name="40% - Accent2 7 6 2 2" xfId="33114"/>
    <cellStyle name="40% - Accent2 7 6 3" xfId="26121"/>
    <cellStyle name="40% - Accent2 7 7" xfId="11342"/>
    <cellStyle name="40% - Accent2 7 7 2" xfId="29051"/>
    <cellStyle name="40% - Accent2 7 8" xfId="22100"/>
    <cellStyle name="40% - Accent2 7 8 2" xfId="38773"/>
    <cellStyle name="40% - Accent2 7 9" xfId="23260"/>
    <cellStyle name="40% - Accent2 8" xfId="633"/>
    <cellStyle name="40% - Accent2 8 10" xfId="51802"/>
    <cellStyle name="40% - Accent2 8 2" xfId="3788"/>
    <cellStyle name="40% - Accent2 8 2 2" xfId="8358"/>
    <cellStyle name="40% - Accent2 8 2 2 2" xfId="16148"/>
    <cellStyle name="40% - Accent2 8 2 2 2 2" xfId="33769"/>
    <cellStyle name="40% - Accent2 8 2 2 3" xfId="26758"/>
    <cellStyle name="40% - Accent2 8 2 3" xfId="12500"/>
    <cellStyle name="40% - Accent2 8 2 3 2" xfId="30154"/>
    <cellStyle name="40% - Accent2 8 2 4" xfId="23897"/>
    <cellStyle name="40% - Accent2 8 3" xfId="5714"/>
    <cellStyle name="40% - Accent2 8 3 2" xfId="9011"/>
    <cellStyle name="40% - Accent2 8 3 2 2" xfId="16800"/>
    <cellStyle name="40% - Accent2 8 3 2 2 2" xfId="34422"/>
    <cellStyle name="40% - Accent2 8 3 2 3" xfId="27385"/>
    <cellStyle name="40% - Accent2 8 3 3" xfId="13564"/>
    <cellStyle name="40% - Accent2 8 3 3 2" xfId="31190"/>
    <cellStyle name="40% - Accent2 8 3 4" xfId="24524"/>
    <cellStyle name="40% - Accent2 8 4" xfId="6344"/>
    <cellStyle name="40% - Accent2 8 4 2" xfId="9551"/>
    <cellStyle name="40% - Accent2 8 4 2 2" xfId="17339"/>
    <cellStyle name="40% - Accent2 8 4 2 2 2" xfId="34962"/>
    <cellStyle name="40% - Accent2 8 4 2 3" xfId="27921"/>
    <cellStyle name="40% - Accent2 8 4 3" xfId="14127"/>
    <cellStyle name="40% - Accent2 8 4 3 2" xfId="31748"/>
    <cellStyle name="40% - Accent2 8 4 4" xfId="25060"/>
    <cellStyle name="40% - Accent2 8 5" xfId="6881"/>
    <cellStyle name="40% - Accent2 8 5 2" xfId="10088"/>
    <cellStyle name="40% - Accent2 8 5 2 2" xfId="17875"/>
    <cellStyle name="40% - Accent2 8 5 2 2 2" xfId="35498"/>
    <cellStyle name="40% - Accent2 8 5 2 3" xfId="28457"/>
    <cellStyle name="40% - Accent2 8 5 3" xfId="14663"/>
    <cellStyle name="40% - Accent2 8 5 3 2" xfId="32284"/>
    <cellStyle name="40% - Accent2 8 5 4" xfId="25597"/>
    <cellStyle name="40% - Accent2 8 6" xfId="7703"/>
    <cellStyle name="40% - Accent2 8 6 2" xfId="15494"/>
    <cellStyle name="40% - Accent2 8 6 2 2" xfId="33115"/>
    <cellStyle name="40% - Accent2 8 6 3" xfId="26122"/>
    <cellStyle name="40% - Accent2 8 7" xfId="11343"/>
    <cellStyle name="40% - Accent2 8 7 2" xfId="29052"/>
    <cellStyle name="40% - Accent2 8 8" xfId="22101"/>
    <cellStyle name="40% - Accent2 8 9" xfId="23261"/>
    <cellStyle name="40% - Accent2 9" xfId="634"/>
    <cellStyle name="40% - Accent2 9 10" xfId="51803"/>
    <cellStyle name="40% - Accent2 9 2" xfId="3789"/>
    <cellStyle name="40% - Accent2 9 2 2" xfId="8359"/>
    <cellStyle name="40% - Accent2 9 2 2 2" xfId="16149"/>
    <cellStyle name="40% - Accent2 9 2 2 2 2" xfId="33770"/>
    <cellStyle name="40% - Accent2 9 2 2 3" xfId="26759"/>
    <cellStyle name="40% - Accent2 9 2 3" xfId="12501"/>
    <cellStyle name="40% - Accent2 9 2 3 2" xfId="30155"/>
    <cellStyle name="40% - Accent2 9 2 4" xfId="23898"/>
    <cellStyle name="40% - Accent2 9 3" xfId="5715"/>
    <cellStyle name="40% - Accent2 9 3 2" xfId="9012"/>
    <cellStyle name="40% - Accent2 9 3 2 2" xfId="16801"/>
    <cellStyle name="40% - Accent2 9 3 2 2 2" xfId="34423"/>
    <cellStyle name="40% - Accent2 9 3 2 3" xfId="27386"/>
    <cellStyle name="40% - Accent2 9 3 3" xfId="13565"/>
    <cellStyle name="40% - Accent2 9 3 3 2" xfId="31191"/>
    <cellStyle name="40% - Accent2 9 3 4" xfId="24525"/>
    <cellStyle name="40% - Accent2 9 4" xfId="6345"/>
    <cellStyle name="40% - Accent2 9 4 2" xfId="9552"/>
    <cellStyle name="40% - Accent2 9 4 2 2" xfId="17340"/>
    <cellStyle name="40% - Accent2 9 4 2 2 2" xfId="34963"/>
    <cellStyle name="40% - Accent2 9 4 2 3" xfId="27922"/>
    <cellStyle name="40% - Accent2 9 4 3" xfId="14128"/>
    <cellStyle name="40% - Accent2 9 4 3 2" xfId="31749"/>
    <cellStyle name="40% - Accent2 9 4 4" xfId="25061"/>
    <cellStyle name="40% - Accent2 9 5" xfId="6882"/>
    <cellStyle name="40% - Accent2 9 5 2" xfId="10089"/>
    <cellStyle name="40% - Accent2 9 5 2 2" xfId="17876"/>
    <cellStyle name="40% - Accent2 9 5 2 2 2" xfId="35499"/>
    <cellStyle name="40% - Accent2 9 5 2 3" xfId="28458"/>
    <cellStyle name="40% - Accent2 9 5 3" xfId="14664"/>
    <cellStyle name="40% - Accent2 9 5 3 2" xfId="32285"/>
    <cellStyle name="40% - Accent2 9 5 4" xfId="25598"/>
    <cellStyle name="40% - Accent2 9 6" xfId="7704"/>
    <cellStyle name="40% - Accent2 9 6 2" xfId="15495"/>
    <cellStyle name="40% - Accent2 9 6 2 2" xfId="33116"/>
    <cellStyle name="40% - Accent2 9 6 3" xfId="26123"/>
    <cellStyle name="40% - Accent2 9 7" xfId="11344"/>
    <cellStyle name="40% - Accent2 9 7 2" xfId="29053"/>
    <cellStyle name="40% - Accent2 9 8" xfId="22668"/>
    <cellStyle name="40% - Accent2 9 8 2" xfId="38876"/>
    <cellStyle name="40% - Accent2 9 9" xfId="23262"/>
    <cellStyle name="40% - Accent3" xfId="173" builtinId="39" customBuiltin="1"/>
    <cellStyle name="40% - Accent3 10" xfId="635"/>
    <cellStyle name="40% - Accent3 10 2" xfId="636"/>
    <cellStyle name="40% - Accent3 10 3" xfId="637"/>
    <cellStyle name="40% - Accent3 10 3 2" xfId="8360"/>
    <cellStyle name="40% - Accent3 10 3 2 2" xfId="16150"/>
    <cellStyle name="40% - Accent3 10 3 2 2 2" xfId="33771"/>
    <cellStyle name="40% - Accent3 10 3 2 3" xfId="26760"/>
    <cellStyle name="40% - Accent3 10 3 3" xfId="12502"/>
    <cellStyle name="40% - Accent3 10 3 3 2" xfId="30156"/>
    <cellStyle name="40% - Accent3 10 3 4" xfId="23899"/>
    <cellStyle name="40% - Accent3 10 3 5" xfId="51804"/>
    <cellStyle name="40% - Accent3 10 4" xfId="7705"/>
    <cellStyle name="40% - Accent3 10 4 2" xfId="15496"/>
    <cellStyle name="40% - Accent3 10 4 2 2" xfId="33117"/>
    <cellStyle name="40% - Accent3 10 4 3" xfId="26124"/>
    <cellStyle name="40% - Accent3 10 5" xfId="11345"/>
    <cellStyle name="40% - Accent3 10 5 2" xfId="29054"/>
    <cellStyle name="40% - Accent3 10 6" xfId="22103"/>
    <cellStyle name="40% - Accent3 10 6 2" xfId="38774"/>
    <cellStyle name="40% - Accent3 10 7" xfId="23263"/>
    <cellStyle name="40% - Accent3 11" xfId="638"/>
    <cellStyle name="40% - Accent3 11 10" xfId="3790"/>
    <cellStyle name="40% - Accent3 11 10 2" xfId="8361"/>
    <cellStyle name="40% - Accent3 11 10 2 2" xfId="16151"/>
    <cellStyle name="40% - Accent3 11 10 2 2 2" xfId="33772"/>
    <cellStyle name="40% - Accent3 11 10 2 3" xfId="26761"/>
    <cellStyle name="40% - Accent3 11 10 3" xfId="12503"/>
    <cellStyle name="40% - Accent3 11 10 3 2" xfId="30157"/>
    <cellStyle name="40% - Accent3 11 10 4" xfId="23900"/>
    <cellStyle name="40% - Accent3 11 11" xfId="5716"/>
    <cellStyle name="40% - Accent3 11 11 2" xfId="9013"/>
    <cellStyle name="40% - Accent3 11 11 2 2" xfId="16802"/>
    <cellStyle name="40% - Accent3 11 11 2 2 2" xfId="34424"/>
    <cellStyle name="40% - Accent3 11 11 2 3" xfId="27387"/>
    <cellStyle name="40% - Accent3 11 11 3" xfId="13566"/>
    <cellStyle name="40% - Accent3 11 11 3 2" xfId="31192"/>
    <cellStyle name="40% - Accent3 11 11 4" xfId="24526"/>
    <cellStyle name="40% - Accent3 11 12" xfId="6346"/>
    <cellStyle name="40% - Accent3 11 12 2" xfId="9553"/>
    <cellStyle name="40% - Accent3 11 12 2 2" xfId="17341"/>
    <cellStyle name="40% - Accent3 11 12 2 2 2" xfId="34964"/>
    <cellStyle name="40% - Accent3 11 12 2 3" xfId="27923"/>
    <cellStyle name="40% - Accent3 11 12 3" xfId="14129"/>
    <cellStyle name="40% - Accent3 11 12 3 2" xfId="31750"/>
    <cellStyle name="40% - Accent3 11 12 4" xfId="25062"/>
    <cellStyle name="40% - Accent3 11 13" xfId="6883"/>
    <cellStyle name="40% - Accent3 11 13 2" xfId="10090"/>
    <cellStyle name="40% - Accent3 11 13 2 2" xfId="17877"/>
    <cellStyle name="40% - Accent3 11 13 2 2 2" xfId="35500"/>
    <cellStyle name="40% - Accent3 11 13 2 3" xfId="28459"/>
    <cellStyle name="40% - Accent3 11 13 3" xfId="14665"/>
    <cellStyle name="40% - Accent3 11 13 3 2" xfId="32286"/>
    <cellStyle name="40% - Accent3 11 13 4" xfId="25599"/>
    <cellStyle name="40% - Accent3 11 14" xfId="7706"/>
    <cellStyle name="40% - Accent3 11 14 2" xfId="15497"/>
    <cellStyle name="40% - Accent3 11 14 2 2" xfId="33118"/>
    <cellStyle name="40% - Accent3 11 14 3" xfId="26125"/>
    <cellStyle name="40% - Accent3 11 15" xfId="11346"/>
    <cellStyle name="40% - Accent3 11 15 2" xfId="29055"/>
    <cellStyle name="40% - Accent3 11 16" xfId="22104"/>
    <cellStyle name="40% - Accent3 11 16 2" xfId="38775"/>
    <cellStyle name="40% - Accent3 11 17" xfId="23264"/>
    <cellStyle name="40% - Accent3 11 18" xfId="51805"/>
    <cellStyle name="40% - Accent3 11 2" xfId="639"/>
    <cellStyle name="40% - Accent3 11 2 2" xfId="3791"/>
    <cellStyle name="40% - Accent3 11 2 2 2" xfId="8362"/>
    <cellStyle name="40% - Accent3 11 2 2 2 2" xfId="16152"/>
    <cellStyle name="40% - Accent3 11 2 2 2 2 2" xfId="33773"/>
    <cellStyle name="40% - Accent3 11 2 2 2 3" xfId="26762"/>
    <cellStyle name="40% - Accent3 11 2 2 3" xfId="12504"/>
    <cellStyle name="40% - Accent3 11 2 2 3 2" xfId="30158"/>
    <cellStyle name="40% - Accent3 11 2 2 4" xfId="23901"/>
    <cellStyle name="40% - Accent3 11 2 3" xfId="5717"/>
    <cellStyle name="40% - Accent3 11 2 3 2" xfId="9014"/>
    <cellStyle name="40% - Accent3 11 2 3 2 2" xfId="16803"/>
    <cellStyle name="40% - Accent3 11 2 3 2 2 2" xfId="34425"/>
    <cellStyle name="40% - Accent3 11 2 3 2 3" xfId="27388"/>
    <cellStyle name="40% - Accent3 11 2 3 3" xfId="13567"/>
    <cellStyle name="40% - Accent3 11 2 3 3 2" xfId="31193"/>
    <cellStyle name="40% - Accent3 11 2 3 4" xfId="24527"/>
    <cellStyle name="40% - Accent3 11 2 4" xfId="6347"/>
    <cellStyle name="40% - Accent3 11 2 4 2" xfId="9554"/>
    <cellStyle name="40% - Accent3 11 2 4 2 2" xfId="17342"/>
    <cellStyle name="40% - Accent3 11 2 4 2 2 2" xfId="34965"/>
    <cellStyle name="40% - Accent3 11 2 4 2 3" xfId="27924"/>
    <cellStyle name="40% - Accent3 11 2 4 3" xfId="14130"/>
    <cellStyle name="40% - Accent3 11 2 4 3 2" xfId="31751"/>
    <cellStyle name="40% - Accent3 11 2 4 4" xfId="25063"/>
    <cellStyle name="40% - Accent3 11 2 5" xfId="6884"/>
    <cellStyle name="40% - Accent3 11 2 5 2" xfId="10091"/>
    <cellStyle name="40% - Accent3 11 2 5 2 2" xfId="17878"/>
    <cellStyle name="40% - Accent3 11 2 5 2 2 2" xfId="35501"/>
    <cellStyle name="40% - Accent3 11 2 5 2 3" xfId="28460"/>
    <cellStyle name="40% - Accent3 11 2 5 3" xfId="14666"/>
    <cellStyle name="40% - Accent3 11 2 5 3 2" xfId="32287"/>
    <cellStyle name="40% - Accent3 11 2 5 4" xfId="25600"/>
    <cellStyle name="40% - Accent3 11 2 6" xfId="7707"/>
    <cellStyle name="40% - Accent3 11 2 6 2" xfId="15498"/>
    <cellStyle name="40% - Accent3 11 2 6 2 2" xfId="33119"/>
    <cellStyle name="40% - Accent3 11 2 6 3" xfId="26126"/>
    <cellStyle name="40% - Accent3 11 2 7" xfId="11347"/>
    <cellStyle name="40% - Accent3 11 2 7 2" xfId="29056"/>
    <cellStyle name="40% - Accent3 11 2 8" xfId="23265"/>
    <cellStyle name="40% - Accent3 11 2 9" xfId="51806"/>
    <cellStyle name="40% - Accent3 11 3" xfId="640"/>
    <cellStyle name="40% - Accent3 11 3 10" xfId="23266"/>
    <cellStyle name="40% - Accent3 11 3 11" xfId="51807"/>
    <cellStyle name="40% - Accent3 11 3 2" xfId="641"/>
    <cellStyle name="40% - Accent3 11 3 2 2" xfId="3793"/>
    <cellStyle name="40% - Accent3 11 3 2 2 2" xfId="8364"/>
    <cellStyle name="40% - Accent3 11 3 2 2 2 2" xfId="16154"/>
    <cellStyle name="40% - Accent3 11 3 2 2 2 2 2" xfId="33775"/>
    <cellStyle name="40% - Accent3 11 3 2 2 2 3" xfId="26764"/>
    <cellStyle name="40% - Accent3 11 3 2 2 3" xfId="12506"/>
    <cellStyle name="40% - Accent3 11 3 2 2 3 2" xfId="30160"/>
    <cellStyle name="40% - Accent3 11 3 2 2 4" xfId="23903"/>
    <cellStyle name="40% - Accent3 11 3 2 3" xfId="5719"/>
    <cellStyle name="40% - Accent3 11 3 2 3 2" xfId="9016"/>
    <cellStyle name="40% - Accent3 11 3 2 3 2 2" xfId="16805"/>
    <cellStyle name="40% - Accent3 11 3 2 3 2 2 2" xfId="34427"/>
    <cellStyle name="40% - Accent3 11 3 2 3 2 3" xfId="27390"/>
    <cellStyle name="40% - Accent3 11 3 2 3 3" xfId="13569"/>
    <cellStyle name="40% - Accent3 11 3 2 3 3 2" xfId="31195"/>
    <cellStyle name="40% - Accent3 11 3 2 3 4" xfId="24529"/>
    <cellStyle name="40% - Accent3 11 3 2 4" xfId="6349"/>
    <cellStyle name="40% - Accent3 11 3 2 4 2" xfId="9556"/>
    <cellStyle name="40% - Accent3 11 3 2 4 2 2" xfId="17344"/>
    <cellStyle name="40% - Accent3 11 3 2 4 2 2 2" xfId="34967"/>
    <cellStyle name="40% - Accent3 11 3 2 4 2 3" xfId="27926"/>
    <cellStyle name="40% - Accent3 11 3 2 4 3" xfId="14132"/>
    <cellStyle name="40% - Accent3 11 3 2 4 3 2" xfId="31753"/>
    <cellStyle name="40% - Accent3 11 3 2 4 4" xfId="25065"/>
    <cellStyle name="40% - Accent3 11 3 2 5" xfId="6886"/>
    <cellStyle name="40% - Accent3 11 3 2 5 2" xfId="10093"/>
    <cellStyle name="40% - Accent3 11 3 2 5 2 2" xfId="17880"/>
    <cellStyle name="40% - Accent3 11 3 2 5 2 2 2" xfId="35503"/>
    <cellStyle name="40% - Accent3 11 3 2 5 2 3" xfId="28462"/>
    <cellStyle name="40% - Accent3 11 3 2 5 3" xfId="14668"/>
    <cellStyle name="40% - Accent3 11 3 2 5 3 2" xfId="32289"/>
    <cellStyle name="40% - Accent3 11 3 2 5 4" xfId="25602"/>
    <cellStyle name="40% - Accent3 11 3 2 6" xfId="7709"/>
    <cellStyle name="40% - Accent3 11 3 2 6 2" xfId="15500"/>
    <cellStyle name="40% - Accent3 11 3 2 6 2 2" xfId="33121"/>
    <cellStyle name="40% - Accent3 11 3 2 6 3" xfId="26128"/>
    <cellStyle name="40% - Accent3 11 3 2 7" xfId="11349"/>
    <cellStyle name="40% - Accent3 11 3 2 7 2" xfId="29058"/>
    <cellStyle name="40% - Accent3 11 3 2 8" xfId="23267"/>
    <cellStyle name="40% - Accent3 11 3 2 9" xfId="51808"/>
    <cellStyle name="40% - Accent3 11 3 3" xfId="3794"/>
    <cellStyle name="40% - Accent3 11 3 3 2" xfId="5720"/>
    <cellStyle name="40% - Accent3 11 3 3 2 2" xfId="9017"/>
    <cellStyle name="40% - Accent3 11 3 3 2 2 2" xfId="16806"/>
    <cellStyle name="40% - Accent3 11 3 3 2 2 2 2" xfId="34428"/>
    <cellStyle name="40% - Accent3 11 3 3 2 2 3" xfId="27391"/>
    <cellStyle name="40% - Accent3 11 3 3 2 3" xfId="13570"/>
    <cellStyle name="40% - Accent3 11 3 3 2 3 2" xfId="31196"/>
    <cellStyle name="40% - Accent3 11 3 3 2 4" xfId="24530"/>
    <cellStyle name="40% - Accent3 11 3 3 3" xfId="6350"/>
    <cellStyle name="40% - Accent3 11 3 3 3 2" xfId="9557"/>
    <cellStyle name="40% - Accent3 11 3 3 3 2 2" xfId="17345"/>
    <cellStyle name="40% - Accent3 11 3 3 3 2 2 2" xfId="34968"/>
    <cellStyle name="40% - Accent3 11 3 3 3 2 3" xfId="27927"/>
    <cellStyle name="40% - Accent3 11 3 3 3 3" xfId="14133"/>
    <cellStyle name="40% - Accent3 11 3 3 3 3 2" xfId="31754"/>
    <cellStyle name="40% - Accent3 11 3 3 3 4" xfId="25066"/>
    <cellStyle name="40% - Accent3 11 3 3 4" xfId="6887"/>
    <cellStyle name="40% - Accent3 11 3 3 4 2" xfId="10094"/>
    <cellStyle name="40% - Accent3 11 3 3 4 2 2" xfId="17881"/>
    <cellStyle name="40% - Accent3 11 3 3 4 2 2 2" xfId="35504"/>
    <cellStyle name="40% - Accent3 11 3 3 4 2 3" xfId="28463"/>
    <cellStyle name="40% - Accent3 11 3 3 4 3" xfId="14669"/>
    <cellStyle name="40% - Accent3 11 3 3 4 3 2" xfId="32290"/>
    <cellStyle name="40% - Accent3 11 3 3 4 4" xfId="25603"/>
    <cellStyle name="40% - Accent3 11 3 3 5" xfId="8365"/>
    <cellStyle name="40% - Accent3 11 3 3 5 2" xfId="16155"/>
    <cellStyle name="40% - Accent3 11 3 3 5 2 2" xfId="33776"/>
    <cellStyle name="40% - Accent3 11 3 3 5 3" xfId="26765"/>
    <cellStyle name="40% - Accent3 11 3 3 6" xfId="12507"/>
    <cellStyle name="40% - Accent3 11 3 3 6 2" xfId="30161"/>
    <cellStyle name="40% - Accent3 11 3 3 7" xfId="23904"/>
    <cellStyle name="40% - Accent3 11 3 4" xfId="3792"/>
    <cellStyle name="40% - Accent3 11 3 4 2" xfId="8363"/>
    <cellStyle name="40% - Accent3 11 3 4 2 2" xfId="16153"/>
    <cellStyle name="40% - Accent3 11 3 4 2 2 2" xfId="33774"/>
    <cellStyle name="40% - Accent3 11 3 4 2 3" xfId="26763"/>
    <cellStyle name="40% - Accent3 11 3 4 3" xfId="12505"/>
    <cellStyle name="40% - Accent3 11 3 4 3 2" xfId="30159"/>
    <cellStyle name="40% - Accent3 11 3 4 4" xfId="23902"/>
    <cellStyle name="40% - Accent3 11 3 5" xfId="5718"/>
    <cellStyle name="40% - Accent3 11 3 5 2" xfId="9015"/>
    <cellStyle name="40% - Accent3 11 3 5 2 2" xfId="16804"/>
    <cellStyle name="40% - Accent3 11 3 5 2 2 2" xfId="34426"/>
    <cellStyle name="40% - Accent3 11 3 5 2 3" xfId="27389"/>
    <cellStyle name="40% - Accent3 11 3 5 3" xfId="13568"/>
    <cellStyle name="40% - Accent3 11 3 5 3 2" xfId="31194"/>
    <cellStyle name="40% - Accent3 11 3 5 4" xfId="24528"/>
    <cellStyle name="40% - Accent3 11 3 6" xfId="6348"/>
    <cellStyle name="40% - Accent3 11 3 6 2" xfId="9555"/>
    <cellStyle name="40% - Accent3 11 3 6 2 2" xfId="17343"/>
    <cellStyle name="40% - Accent3 11 3 6 2 2 2" xfId="34966"/>
    <cellStyle name="40% - Accent3 11 3 6 2 3" xfId="27925"/>
    <cellStyle name="40% - Accent3 11 3 6 3" xfId="14131"/>
    <cellStyle name="40% - Accent3 11 3 6 3 2" xfId="31752"/>
    <cellStyle name="40% - Accent3 11 3 6 4" xfId="25064"/>
    <cellStyle name="40% - Accent3 11 3 7" xfId="6885"/>
    <cellStyle name="40% - Accent3 11 3 7 2" xfId="10092"/>
    <cellStyle name="40% - Accent3 11 3 7 2 2" xfId="17879"/>
    <cellStyle name="40% - Accent3 11 3 7 2 2 2" xfId="35502"/>
    <cellStyle name="40% - Accent3 11 3 7 2 3" xfId="28461"/>
    <cellStyle name="40% - Accent3 11 3 7 3" xfId="14667"/>
    <cellStyle name="40% - Accent3 11 3 7 3 2" xfId="32288"/>
    <cellStyle name="40% - Accent3 11 3 7 4" xfId="25601"/>
    <cellStyle name="40% - Accent3 11 3 8" xfId="7708"/>
    <cellStyle name="40% - Accent3 11 3 8 2" xfId="15499"/>
    <cellStyle name="40% - Accent3 11 3 8 2 2" xfId="33120"/>
    <cellStyle name="40% - Accent3 11 3 8 3" xfId="26127"/>
    <cellStyle name="40% - Accent3 11 3 9" xfId="11348"/>
    <cellStyle name="40% - Accent3 11 3 9 2" xfId="29057"/>
    <cellStyle name="40% - Accent3 11 4" xfId="642"/>
    <cellStyle name="40% - Accent3 11 4 2" xfId="3795"/>
    <cellStyle name="40% - Accent3 11 4 2 2" xfId="8366"/>
    <cellStyle name="40% - Accent3 11 4 2 2 2" xfId="16156"/>
    <cellStyle name="40% - Accent3 11 4 2 2 2 2" xfId="33777"/>
    <cellStyle name="40% - Accent3 11 4 2 2 3" xfId="26766"/>
    <cellStyle name="40% - Accent3 11 4 2 3" xfId="12508"/>
    <cellStyle name="40% - Accent3 11 4 2 3 2" xfId="30162"/>
    <cellStyle name="40% - Accent3 11 4 2 4" xfId="23905"/>
    <cellStyle name="40% - Accent3 11 4 3" xfId="5721"/>
    <cellStyle name="40% - Accent3 11 4 3 2" xfId="9018"/>
    <cellStyle name="40% - Accent3 11 4 3 2 2" xfId="16807"/>
    <cellStyle name="40% - Accent3 11 4 3 2 2 2" xfId="34429"/>
    <cellStyle name="40% - Accent3 11 4 3 2 3" xfId="27392"/>
    <cellStyle name="40% - Accent3 11 4 3 3" xfId="13571"/>
    <cellStyle name="40% - Accent3 11 4 3 3 2" xfId="31197"/>
    <cellStyle name="40% - Accent3 11 4 3 4" xfId="24531"/>
    <cellStyle name="40% - Accent3 11 4 4" xfId="6351"/>
    <cellStyle name="40% - Accent3 11 4 4 2" xfId="9558"/>
    <cellStyle name="40% - Accent3 11 4 4 2 2" xfId="17346"/>
    <cellStyle name="40% - Accent3 11 4 4 2 2 2" xfId="34969"/>
    <cellStyle name="40% - Accent3 11 4 4 2 3" xfId="27928"/>
    <cellStyle name="40% - Accent3 11 4 4 3" xfId="14134"/>
    <cellStyle name="40% - Accent3 11 4 4 3 2" xfId="31755"/>
    <cellStyle name="40% - Accent3 11 4 4 4" xfId="25067"/>
    <cellStyle name="40% - Accent3 11 4 5" xfId="6888"/>
    <cellStyle name="40% - Accent3 11 4 5 2" xfId="10095"/>
    <cellStyle name="40% - Accent3 11 4 5 2 2" xfId="17882"/>
    <cellStyle name="40% - Accent3 11 4 5 2 2 2" xfId="35505"/>
    <cellStyle name="40% - Accent3 11 4 5 2 3" xfId="28464"/>
    <cellStyle name="40% - Accent3 11 4 5 3" xfId="14670"/>
    <cellStyle name="40% - Accent3 11 4 5 3 2" xfId="32291"/>
    <cellStyle name="40% - Accent3 11 4 5 4" xfId="25604"/>
    <cellStyle name="40% - Accent3 11 4 6" xfId="7710"/>
    <cellStyle name="40% - Accent3 11 4 6 2" xfId="15501"/>
    <cellStyle name="40% - Accent3 11 4 6 2 2" xfId="33122"/>
    <cellStyle name="40% - Accent3 11 4 6 3" xfId="26129"/>
    <cellStyle name="40% - Accent3 11 4 7" xfId="11350"/>
    <cellStyle name="40% - Accent3 11 4 7 2" xfId="29059"/>
    <cellStyle name="40% - Accent3 11 4 8" xfId="23268"/>
    <cellStyle name="40% - Accent3 11 4 9" xfId="51809"/>
    <cellStyle name="40% - Accent3 11 5" xfId="643"/>
    <cellStyle name="40% - Accent3 11 5 2" xfId="3796"/>
    <cellStyle name="40% - Accent3 11 5 2 2" xfId="8367"/>
    <cellStyle name="40% - Accent3 11 5 2 2 2" xfId="16157"/>
    <cellStyle name="40% - Accent3 11 5 2 2 2 2" xfId="33778"/>
    <cellStyle name="40% - Accent3 11 5 2 2 3" xfId="26767"/>
    <cellStyle name="40% - Accent3 11 5 2 3" xfId="12509"/>
    <cellStyle name="40% - Accent3 11 5 2 3 2" xfId="30163"/>
    <cellStyle name="40% - Accent3 11 5 2 4" xfId="23906"/>
    <cellStyle name="40% - Accent3 11 5 3" xfId="5722"/>
    <cellStyle name="40% - Accent3 11 5 3 2" xfId="9019"/>
    <cellStyle name="40% - Accent3 11 5 3 2 2" xfId="16808"/>
    <cellStyle name="40% - Accent3 11 5 3 2 2 2" xfId="34430"/>
    <cellStyle name="40% - Accent3 11 5 3 2 3" xfId="27393"/>
    <cellStyle name="40% - Accent3 11 5 3 3" xfId="13572"/>
    <cellStyle name="40% - Accent3 11 5 3 3 2" xfId="31198"/>
    <cellStyle name="40% - Accent3 11 5 3 4" xfId="24532"/>
    <cellStyle name="40% - Accent3 11 5 4" xfId="6352"/>
    <cellStyle name="40% - Accent3 11 5 4 2" xfId="9559"/>
    <cellStyle name="40% - Accent3 11 5 4 2 2" xfId="17347"/>
    <cellStyle name="40% - Accent3 11 5 4 2 2 2" xfId="34970"/>
    <cellStyle name="40% - Accent3 11 5 4 2 3" xfId="27929"/>
    <cellStyle name="40% - Accent3 11 5 4 3" xfId="14135"/>
    <cellStyle name="40% - Accent3 11 5 4 3 2" xfId="31756"/>
    <cellStyle name="40% - Accent3 11 5 4 4" xfId="25068"/>
    <cellStyle name="40% - Accent3 11 5 5" xfId="6889"/>
    <cellStyle name="40% - Accent3 11 5 5 2" xfId="10096"/>
    <cellStyle name="40% - Accent3 11 5 5 2 2" xfId="17883"/>
    <cellStyle name="40% - Accent3 11 5 5 2 2 2" xfId="35506"/>
    <cellStyle name="40% - Accent3 11 5 5 2 3" xfId="28465"/>
    <cellStyle name="40% - Accent3 11 5 5 3" xfId="14671"/>
    <cellStyle name="40% - Accent3 11 5 5 3 2" xfId="32292"/>
    <cellStyle name="40% - Accent3 11 5 5 4" xfId="25605"/>
    <cellStyle name="40% - Accent3 11 5 6" xfId="7711"/>
    <cellStyle name="40% - Accent3 11 5 6 2" xfId="15502"/>
    <cellStyle name="40% - Accent3 11 5 6 2 2" xfId="33123"/>
    <cellStyle name="40% - Accent3 11 5 6 3" xfId="26130"/>
    <cellStyle name="40% - Accent3 11 5 7" xfId="11351"/>
    <cellStyle name="40% - Accent3 11 5 7 2" xfId="29060"/>
    <cellStyle name="40% - Accent3 11 5 8" xfId="23269"/>
    <cellStyle name="40% - Accent3 11 5 9" xfId="51810"/>
    <cellStyle name="40% - Accent3 11 6" xfId="644"/>
    <cellStyle name="40% - Accent3 11 6 2" xfId="3797"/>
    <cellStyle name="40% - Accent3 11 6 2 2" xfId="8368"/>
    <cellStyle name="40% - Accent3 11 6 2 2 2" xfId="16158"/>
    <cellStyle name="40% - Accent3 11 6 2 2 2 2" xfId="33779"/>
    <cellStyle name="40% - Accent3 11 6 2 2 3" xfId="26768"/>
    <cellStyle name="40% - Accent3 11 6 2 3" xfId="12510"/>
    <cellStyle name="40% - Accent3 11 6 2 3 2" xfId="30164"/>
    <cellStyle name="40% - Accent3 11 6 2 4" xfId="23907"/>
    <cellStyle name="40% - Accent3 11 6 3" xfId="5723"/>
    <cellStyle name="40% - Accent3 11 6 3 2" xfId="9020"/>
    <cellStyle name="40% - Accent3 11 6 3 2 2" xfId="16809"/>
    <cellStyle name="40% - Accent3 11 6 3 2 2 2" xfId="34431"/>
    <cellStyle name="40% - Accent3 11 6 3 2 3" xfId="27394"/>
    <cellStyle name="40% - Accent3 11 6 3 3" xfId="13573"/>
    <cellStyle name="40% - Accent3 11 6 3 3 2" xfId="31199"/>
    <cellStyle name="40% - Accent3 11 6 3 4" xfId="24533"/>
    <cellStyle name="40% - Accent3 11 6 4" xfId="6353"/>
    <cellStyle name="40% - Accent3 11 6 4 2" xfId="9560"/>
    <cellStyle name="40% - Accent3 11 6 4 2 2" xfId="17348"/>
    <cellStyle name="40% - Accent3 11 6 4 2 2 2" xfId="34971"/>
    <cellStyle name="40% - Accent3 11 6 4 2 3" xfId="27930"/>
    <cellStyle name="40% - Accent3 11 6 4 3" xfId="14136"/>
    <cellStyle name="40% - Accent3 11 6 4 3 2" xfId="31757"/>
    <cellStyle name="40% - Accent3 11 6 4 4" xfId="25069"/>
    <cellStyle name="40% - Accent3 11 6 5" xfId="6890"/>
    <cellStyle name="40% - Accent3 11 6 5 2" xfId="10097"/>
    <cellStyle name="40% - Accent3 11 6 5 2 2" xfId="17884"/>
    <cellStyle name="40% - Accent3 11 6 5 2 2 2" xfId="35507"/>
    <cellStyle name="40% - Accent3 11 6 5 2 3" xfId="28466"/>
    <cellStyle name="40% - Accent3 11 6 5 3" xfId="14672"/>
    <cellStyle name="40% - Accent3 11 6 5 3 2" xfId="32293"/>
    <cellStyle name="40% - Accent3 11 6 5 4" xfId="25606"/>
    <cellStyle name="40% - Accent3 11 6 6" xfId="7712"/>
    <cellStyle name="40% - Accent3 11 6 6 2" xfId="15503"/>
    <cellStyle name="40% - Accent3 11 6 6 2 2" xfId="33124"/>
    <cellStyle name="40% - Accent3 11 6 6 3" xfId="26131"/>
    <cellStyle name="40% - Accent3 11 6 7" xfId="11352"/>
    <cellStyle name="40% - Accent3 11 6 7 2" xfId="29061"/>
    <cellStyle name="40% - Accent3 11 6 8" xfId="23270"/>
    <cellStyle name="40% - Accent3 11 6 9" xfId="51811"/>
    <cellStyle name="40% - Accent3 11 7" xfId="645"/>
    <cellStyle name="40% - Accent3 11 7 10" xfId="51812"/>
    <cellStyle name="40% - Accent3 11 7 2" xfId="646"/>
    <cellStyle name="40% - Accent3 11 7 2 2" xfId="8370"/>
    <cellStyle name="40% - Accent3 11 7 2 2 2" xfId="16160"/>
    <cellStyle name="40% - Accent3 11 7 2 2 2 2" xfId="33781"/>
    <cellStyle name="40% - Accent3 11 7 2 2 3" xfId="26770"/>
    <cellStyle name="40% - Accent3 11 7 2 3" xfId="12512"/>
    <cellStyle name="40% - Accent3 11 7 2 3 2" xfId="30166"/>
    <cellStyle name="40% - Accent3 11 7 2 4" xfId="23909"/>
    <cellStyle name="40% - Accent3 11 7 3" xfId="3798"/>
    <cellStyle name="40% - Accent3 11 7 3 2" xfId="8369"/>
    <cellStyle name="40% - Accent3 11 7 3 2 2" xfId="16159"/>
    <cellStyle name="40% - Accent3 11 7 3 2 2 2" xfId="33780"/>
    <cellStyle name="40% - Accent3 11 7 3 2 3" xfId="26769"/>
    <cellStyle name="40% - Accent3 11 7 3 3" xfId="12511"/>
    <cellStyle name="40% - Accent3 11 7 3 3 2" xfId="30165"/>
    <cellStyle name="40% - Accent3 11 7 3 4" xfId="23908"/>
    <cellStyle name="40% - Accent3 11 7 4" xfId="5724"/>
    <cellStyle name="40% - Accent3 11 7 4 2" xfId="9021"/>
    <cellStyle name="40% - Accent3 11 7 4 2 2" xfId="16810"/>
    <cellStyle name="40% - Accent3 11 7 4 2 2 2" xfId="34432"/>
    <cellStyle name="40% - Accent3 11 7 4 2 3" xfId="27395"/>
    <cellStyle name="40% - Accent3 11 7 4 3" xfId="13574"/>
    <cellStyle name="40% - Accent3 11 7 4 3 2" xfId="31200"/>
    <cellStyle name="40% - Accent3 11 7 4 4" xfId="24534"/>
    <cellStyle name="40% - Accent3 11 7 5" xfId="6354"/>
    <cellStyle name="40% - Accent3 11 7 5 2" xfId="9561"/>
    <cellStyle name="40% - Accent3 11 7 5 2 2" xfId="17349"/>
    <cellStyle name="40% - Accent3 11 7 5 2 2 2" xfId="34972"/>
    <cellStyle name="40% - Accent3 11 7 5 2 3" xfId="27931"/>
    <cellStyle name="40% - Accent3 11 7 5 3" xfId="14137"/>
    <cellStyle name="40% - Accent3 11 7 5 3 2" xfId="31758"/>
    <cellStyle name="40% - Accent3 11 7 5 4" xfId="25070"/>
    <cellStyle name="40% - Accent3 11 7 6" xfId="6891"/>
    <cellStyle name="40% - Accent3 11 7 6 2" xfId="10098"/>
    <cellStyle name="40% - Accent3 11 7 6 2 2" xfId="17885"/>
    <cellStyle name="40% - Accent3 11 7 6 2 2 2" xfId="35508"/>
    <cellStyle name="40% - Accent3 11 7 6 2 3" xfId="28467"/>
    <cellStyle name="40% - Accent3 11 7 6 3" xfId="14673"/>
    <cellStyle name="40% - Accent3 11 7 6 3 2" xfId="32294"/>
    <cellStyle name="40% - Accent3 11 7 6 4" xfId="25607"/>
    <cellStyle name="40% - Accent3 11 7 7" xfId="7713"/>
    <cellStyle name="40% - Accent3 11 7 7 2" xfId="15504"/>
    <cellStyle name="40% - Accent3 11 7 7 2 2" xfId="33125"/>
    <cellStyle name="40% - Accent3 11 7 7 3" xfId="26132"/>
    <cellStyle name="40% - Accent3 11 7 8" xfId="11353"/>
    <cellStyle name="40% - Accent3 11 7 8 2" xfId="29062"/>
    <cellStyle name="40% - Accent3 11 7 9" xfId="23271"/>
    <cellStyle name="40% - Accent3 11 8" xfId="3799"/>
    <cellStyle name="40% - Accent3 11 8 2" xfId="8371"/>
    <cellStyle name="40% - Accent3 11 8 2 2" xfId="16161"/>
    <cellStyle name="40% - Accent3 11 8 2 2 2" xfId="33782"/>
    <cellStyle name="40% - Accent3 11 8 2 3" xfId="26771"/>
    <cellStyle name="40% - Accent3 11 8 3" xfId="12513"/>
    <cellStyle name="40% - Accent3 11 8 3 2" xfId="30167"/>
    <cellStyle name="40% - Accent3 11 8 4" xfId="23910"/>
    <cellStyle name="40% - Accent3 11 9" xfId="3800"/>
    <cellStyle name="40% - Accent3 11 9 2" xfId="8372"/>
    <cellStyle name="40% - Accent3 11 9 2 2" xfId="16162"/>
    <cellStyle name="40% - Accent3 11 9 2 2 2" xfId="33783"/>
    <cellStyle name="40% - Accent3 11 9 2 3" xfId="26772"/>
    <cellStyle name="40% - Accent3 11 9 3" xfId="12514"/>
    <cellStyle name="40% - Accent3 11 9 3 2" xfId="30168"/>
    <cellStyle name="40% - Accent3 11 9 4" xfId="23911"/>
    <cellStyle name="40% - Accent3 12" xfId="647"/>
    <cellStyle name="40% - Accent3 12 2" xfId="3801"/>
    <cellStyle name="40% - Accent3 12 2 2" xfId="8373"/>
    <cellStyle name="40% - Accent3 12 2 2 2" xfId="16163"/>
    <cellStyle name="40% - Accent3 12 2 2 2 2" xfId="33784"/>
    <cellStyle name="40% - Accent3 12 2 2 3" xfId="26773"/>
    <cellStyle name="40% - Accent3 12 2 3" xfId="12515"/>
    <cellStyle name="40% - Accent3 12 2 3 2" xfId="30169"/>
    <cellStyle name="40% - Accent3 12 2 4" xfId="22106"/>
    <cellStyle name="40% - Accent3 12 2 4 2" xfId="38777"/>
    <cellStyle name="40% - Accent3 12 2 5" xfId="23912"/>
    <cellStyle name="40% - Accent3 12 3" xfId="7714"/>
    <cellStyle name="40% - Accent3 12 3 2" xfId="15505"/>
    <cellStyle name="40% - Accent3 12 3 2 2" xfId="33126"/>
    <cellStyle name="40% - Accent3 12 3 3" xfId="26133"/>
    <cellStyle name="40% - Accent3 12 4" xfId="11354"/>
    <cellStyle name="40% - Accent3 12 4 2" xfId="29063"/>
    <cellStyle name="40% - Accent3 12 5" xfId="22105"/>
    <cellStyle name="40% - Accent3 12 5 2" xfId="38776"/>
    <cellStyle name="40% - Accent3 12 6" xfId="23272"/>
    <cellStyle name="40% - Accent3 12 7" xfId="51813"/>
    <cellStyle name="40% - Accent3 13" xfId="18861"/>
    <cellStyle name="40% - Accent3 13 2" xfId="22107"/>
    <cellStyle name="40% - Accent3 13 2 2" xfId="38778"/>
    <cellStyle name="40% - Accent3 13 3" xfId="36484"/>
    <cellStyle name="40% - Accent3 14" xfId="15289"/>
    <cellStyle name="40% - Accent3 14 2" xfId="22108"/>
    <cellStyle name="40% - Accent3 14 3" xfId="32910"/>
    <cellStyle name="40% - Accent3 15" xfId="22670"/>
    <cellStyle name="40% - Accent3 15 2" xfId="38878"/>
    <cellStyle name="40% - Accent3 16" xfId="22102"/>
    <cellStyle name="40% - Accent3 17" xfId="23059"/>
    <cellStyle name="40% - Accent3 18" xfId="51457"/>
    <cellStyle name="40% - Accent3 19" xfId="51470"/>
    <cellStyle name="40% - Accent3 2" xfId="25"/>
    <cellStyle name="40% - Accent3 2 10" xfId="649"/>
    <cellStyle name="40% - Accent3 2 11" xfId="650"/>
    <cellStyle name="40% - Accent3 2 12" xfId="651"/>
    <cellStyle name="40% - Accent3 2 13" xfId="652"/>
    <cellStyle name="40% - Accent3 2 14" xfId="653"/>
    <cellStyle name="40% - Accent3 2 15" xfId="3802"/>
    <cellStyle name="40% - Accent3 2 16" xfId="3803"/>
    <cellStyle name="40% - Accent3 2 17" xfId="3804"/>
    <cellStyle name="40% - Accent3 2 18" xfId="648"/>
    <cellStyle name="40% - Accent3 2 2" xfId="654"/>
    <cellStyle name="40% - Accent3 2 2 2" xfId="655"/>
    <cellStyle name="40% - Accent3 2 2 3" xfId="656"/>
    <cellStyle name="40% - Accent3 2 2 4" xfId="3805"/>
    <cellStyle name="40% - Accent3 2 2 5" xfId="3806"/>
    <cellStyle name="40% - Accent3 2 2_Sheet1" xfId="657"/>
    <cellStyle name="40% - Accent3 2 3" xfId="658"/>
    <cellStyle name="40% - Accent3 2 4" xfId="659"/>
    <cellStyle name="40% - Accent3 2 5" xfId="660"/>
    <cellStyle name="40% - Accent3 2 6" xfId="661"/>
    <cellStyle name="40% - Accent3 2 7" xfId="662"/>
    <cellStyle name="40% - Accent3 2 8" xfId="663"/>
    <cellStyle name="40% - Accent3 2 9" xfId="664"/>
    <cellStyle name="40% - Accent3 2_BallGrid" xfId="665"/>
    <cellStyle name="40% - Accent3 20" xfId="51483"/>
    <cellStyle name="40% - Accent3 3" xfId="26"/>
    <cellStyle name="40% - Accent3 3 10" xfId="666"/>
    <cellStyle name="40% - Accent3 3 2" xfId="667"/>
    <cellStyle name="40% - Accent3 3 3" xfId="668"/>
    <cellStyle name="40% - Accent3 3 4" xfId="669"/>
    <cellStyle name="40% - Accent3 3 5" xfId="670"/>
    <cellStyle name="40% - Accent3 3 6" xfId="671"/>
    <cellStyle name="40% - Accent3 3 7" xfId="3807"/>
    <cellStyle name="40% - Accent3 3 8" xfId="3808"/>
    <cellStyle name="40% - Accent3 3 9" xfId="3809"/>
    <cellStyle name="40% - Accent3 3_BallGrid" xfId="672"/>
    <cellStyle name="40% - Accent3 4" xfId="27"/>
    <cellStyle name="40% - Accent3 4 2" xfId="674"/>
    <cellStyle name="40% - Accent3 4 2 2" xfId="22834"/>
    <cellStyle name="40% - Accent3 4 3" xfId="675"/>
    <cellStyle name="40% - Accent3 4 3 2" xfId="22109"/>
    <cellStyle name="40% - Accent3 4 4" xfId="676"/>
    <cellStyle name="40% - Accent3 4 5" xfId="677"/>
    <cellStyle name="40% - Accent3 4 6" xfId="3810"/>
    <cellStyle name="40% - Accent3 4 7" xfId="3811"/>
    <cellStyle name="40% - Accent3 4 8" xfId="3812"/>
    <cellStyle name="40% - Accent3 4 9" xfId="673"/>
    <cellStyle name="40% - Accent3 5" xfId="678"/>
    <cellStyle name="40% - Accent3 5 10" xfId="3814"/>
    <cellStyle name="40% - Accent3 5 10 2" xfId="8375"/>
    <cellStyle name="40% - Accent3 5 10 2 2" xfId="16165"/>
    <cellStyle name="40% - Accent3 5 10 2 2 2" xfId="33786"/>
    <cellStyle name="40% - Accent3 5 10 2 3" xfId="26775"/>
    <cellStyle name="40% - Accent3 5 10 3" xfId="12520"/>
    <cellStyle name="40% - Accent3 5 10 3 2" xfId="30174"/>
    <cellStyle name="40% - Accent3 5 10 4" xfId="23914"/>
    <cellStyle name="40% - Accent3 5 11" xfId="3813"/>
    <cellStyle name="40% - Accent3 5 11 2" xfId="8374"/>
    <cellStyle name="40% - Accent3 5 11 2 2" xfId="16164"/>
    <cellStyle name="40% - Accent3 5 11 2 2 2" xfId="33785"/>
    <cellStyle name="40% - Accent3 5 11 2 3" xfId="26774"/>
    <cellStyle name="40% - Accent3 5 11 3" xfId="12519"/>
    <cellStyle name="40% - Accent3 5 11 3 2" xfId="30173"/>
    <cellStyle name="40% - Accent3 5 11 4" xfId="23913"/>
    <cellStyle name="40% - Accent3 5 12" xfId="5725"/>
    <cellStyle name="40% - Accent3 5 12 2" xfId="9022"/>
    <cellStyle name="40% - Accent3 5 12 2 2" xfId="16811"/>
    <cellStyle name="40% - Accent3 5 12 2 2 2" xfId="34433"/>
    <cellStyle name="40% - Accent3 5 12 2 3" xfId="27396"/>
    <cellStyle name="40% - Accent3 5 12 3" xfId="13575"/>
    <cellStyle name="40% - Accent3 5 12 3 2" xfId="31201"/>
    <cellStyle name="40% - Accent3 5 12 4" xfId="24535"/>
    <cellStyle name="40% - Accent3 5 13" xfId="6355"/>
    <cellStyle name="40% - Accent3 5 13 2" xfId="9562"/>
    <cellStyle name="40% - Accent3 5 13 2 2" xfId="17350"/>
    <cellStyle name="40% - Accent3 5 13 2 2 2" xfId="34973"/>
    <cellStyle name="40% - Accent3 5 13 2 3" xfId="27932"/>
    <cellStyle name="40% - Accent3 5 13 3" xfId="14138"/>
    <cellStyle name="40% - Accent3 5 13 3 2" xfId="31759"/>
    <cellStyle name="40% - Accent3 5 13 4" xfId="25071"/>
    <cellStyle name="40% - Accent3 5 14" xfId="6892"/>
    <cellStyle name="40% - Accent3 5 14 2" xfId="10099"/>
    <cellStyle name="40% - Accent3 5 14 2 2" xfId="17886"/>
    <cellStyle name="40% - Accent3 5 14 2 2 2" xfId="35509"/>
    <cellStyle name="40% - Accent3 5 14 2 3" xfId="28468"/>
    <cellStyle name="40% - Accent3 5 14 3" xfId="14674"/>
    <cellStyle name="40% - Accent3 5 14 3 2" xfId="32295"/>
    <cellStyle name="40% - Accent3 5 14 4" xfId="25608"/>
    <cellStyle name="40% - Accent3 5 15" xfId="7715"/>
    <cellStyle name="40% - Accent3 5 15 2" xfId="15506"/>
    <cellStyle name="40% - Accent3 5 15 2 2" xfId="33127"/>
    <cellStyle name="40% - Accent3 5 15 3" xfId="26134"/>
    <cellStyle name="40% - Accent3 5 16" xfId="11373"/>
    <cellStyle name="40% - Accent3 5 16 2" xfId="29081"/>
    <cellStyle name="40% - Accent3 5 17" xfId="21936"/>
    <cellStyle name="40% - Accent3 5 17 2" xfId="38675"/>
    <cellStyle name="40% - Accent3 5 18" xfId="23273"/>
    <cellStyle name="40% - Accent3 5 19" xfId="51814"/>
    <cellStyle name="40% - Accent3 5 2" xfId="679"/>
    <cellStyle name="40% - Accent3 5 2 10" xfId="51815"/>
    <cellStyle name="40% - Accent3 5 2 2" xfId="3815"/>
    <cellStyle name="40% - Accent3 5 2 2 2" xfId="8376"/>
    <cellStyle name="40% - Accent3 5 2 2 2 2" xfId="16166"/>
    <cellStyle name="40% - Accent3 5 2 2 2 2 2" xfId="33787"/>
    <cellStyle name="40% - Accent3 5 2 2 2 3" xfId="26776"/>
    <cellStyle name="40% - Accent3 5 2 2 3" xfId="12521"/>
    <cellStyle name="40% - Accent3 5 2 2 3 2" xfId="30175"/>
    <cellStyle name="40% - Accent3 5 2 2 4" xfId="23915"/>
    <cellStyle name="40% - Accent3 5 2 3" xfId="5726"/>
    <cellStyle name="40% - Accent3 5 2 3 2" xfId="9023"/>
    <cellStyle name="40% - Accent3 5 2 3 2 2" xfId="16812"/>
    <cellStyle name="40% - Accent3 5 2 3 2 2 2" xfId="34434"/>
    <cellStyle name="40% - Accent3 5 2 3 2 3" xfId="27397"/>
    <cellStyle name="40% - Accent3 5 2 3 3" xfId="13576"/>
    <cellStyle name="40% - Accent3 5 2 3 3 2" xfId="31202"/>
    <cellStyle name="40% - Accent3 5 2 3 4" xfId="24536"/>
    <cellStyle name="40% - Accent3 5 2 4" xfId="6356"/>
    <cellStyle name="40% - Accent3 5 2 4 2" xfId="9563"/>
    <cellStyle name="40% - Accent3 5 2 4 2 2" xfId="17351"/>
    <cellStyle name="40% - Accent3 5 2 4 2 2 2" xfId="34974"/>
    <cellStyle name="40% - Accent3 5 2 4 2 3" xfId="27933"/>
    <cellStyle name="40% - Accent3 5 2 4 3" xfId="14139"/>
    <cellStyle name="40% - Accent3 5 2 4 3 2" xfId="31760"/>
    <cellStyle name="40% - Accent3 5 2 4 4" xfId="25072"/>
    <cellStyle name="40% - Accent3 5 2 5" xfId="6893"/>
    <cellStyle name="40% - Accent3 5 2 5 2" xfId="10100"/>
    <cellStyle name="40% - Accent3 5 2 5 2 2" xfId="17887"/>
    <cellStyle name="40% - Accent3 5 2 5 2 2 2" xfId="35510"/>
    <cellStyle name="40% - Accent3 5 2 5 2 3" xfId="28469"/>
    <cellStyle name="40% - Accent3 5 2 5 3" xfId="14675"/>
    <cellStyle name="40% - Accent3 5 2 5 3 2" xfId="32296"/>
    <cellStyle name="40% - Accent3 5 2 5 4" xfId="25609"/>
    <cellStyle name="40% - Accent3 5 2 6" xfId="7716"/>
    <cellStyle name="40% - Accent3 5 2 6 2" xfId="15507"/>
    <cellStyle name="40% - Accent3 5 2 6 2 2" xfId="33128"/>
    <cellStyle name="40% - Accent3 5 2 6 3" xfId="26135"/>
    <cellStyle name="40% - Accent3 5 2 7" xfId="11374"/>
    <cellStyle name="40% - Accent3 5 2 7 2" xfId="29082"/>
    <cellStyle name="40% - Accent3 5 2 8" xfId="22835"/>
    <cellStyle name="40% - Accent3 5 2 8 2" xfId="38995"/>
    <cellStyle name="40% - Accent3 5 2 9" xfId="23274"/>
    <cellStyle name="40% - Accent3 5 3" xfId="680"/>
    <cellStyle name="40% - Accent3 5 3 10" xfId="22110"/>
    <cellStyle name="40% - Accent3 5 3 11" xfId="23275"/>
    <cellStyle name="40% - Accent3 5 3 12" xfId="51816"/>
    <cellStyle name="40% - Accent3 5 3 2" xfId="681"/>
    <cellStyle name="40% - Accent3 5 3 2 2" xfId="3817"/>
    <cellStyle name="40% - Accent3 5 3 2 2 2" xfId="8378"/>
    <cellStyle name="40% - Accent3 5 3 2 2 2 2" xfId="16168"/>
    <cellStyle name="40% - Accent3 5 3 2 2 2 2 2" xfId="33789"/>
    <cellStyle name="40% - Accent3 5 3 2 2 2 3" xfId="26778"/>
    <cellStyle name="40% - Accent3 5 3 2 2 3" xfId="12523"/>
    <cellStyle name="40% - Accent3 5 3 2 2 3 2" xfId="30177"/>
    <cellStyle name="40% - Accent3 5 3 2 2 4" xfId="23917"/>
    <cellStyle name="40% - Accent3 5 3 2 3" xfId="5728"/>
    <cellStyle name="40% - Accent3 5 3 2 3 2" xfId="9025"/>
    <cellStyle name="40% - Accent3 5 3 2 3 2 2" xfId="16814"/>
    <cellStyle name="40% - Accent3 5 3 2 3 2 2 2" xfId="34436"/>
    <cellStyle name="40% - Accent3 5 3 2 3 2 3" xfId="27399"/>
    <cellStyle name="40% - Accent3 5 3 2 3 3" xfId="13578"/>
    <cellStyle name="40% - Accent3 5 3 2 3 3 2" xfId="31204"/>
    <cellStyle name="40% - Accent3 5 3 2 3 4" xfId="24538"/>
    <cellStyle name="40% - Accent3 5 3 2 4" xfId="6358"/>
    <cellStyle name="40% - Accent3 5 3 2 4 2" xfId="9565"/>
    <cellStyle name="40% - Accent3 5 3 2 4 2 2" xfId="17353"/>
    <cellStyle name="40% - Accent3 5 3 2 4 2 2 2" xfId="34976"/>
    <cellStyle name="40% - Accent3 5 3 2 4 2 3" xfId="27935"/>
    <cellStyle name="40% - Accent3 5 3 2 4 3" xfId="14141"/>
    <cellStyle name="40% - Accent3 5 3 2 4 3 2" xfId="31762"/>
    <cellStyle name="40% - Accent3 5 3 2 4 4" xfId="25074"/>
    <cellStyle name="40% - Accent3 5 3 2 5" xfId="6895"/>
    <cellStyle name="40% - Accent3 5 3 2 5 2" xfId="10102"/>
    <cellStyle name="40% - Accent3 5 3 2 5 2 2" xfId="17889"/>
    <cellStyle name="40% - Accent3 5 3 2 5 2 2 2" xfId="35512"/>
    <cellStyle name="40% - Accent3 5 3 2 5 2 3" xfId="28471"/>
    <cellStyle name="40% - Accent3 5 3 2 5 3" xfId="14677"/>
    <cellStyle name="40% - Accent3 5 3 2 5 3 2" xfId="32298"/>
    <cellStyle name="40% - Accent3 5 3 2 5 4" xfId="25611"/>
    <cellStyle name="40% - Accent3 5 3 2 6" xfId="7718"/>
    <cellStyle name="40% - Accent3 5 3 2 6 2" xfId="15509"/>
    <cellStyle name="40% - Accent3 5 3 2 6 2 2" xfId="33130"/>
    <cellStyle name="40% - Accent3 5 3 2 6 3" xfId="26137"/>
    <cellStyle name="40% - Accent3 5 3 2 7" xfId="11376"/>
    <cellStyle name="40% - Accent3 5 3 2 7 2" xfId="29084"/>
    <cellStyle name="40% - Accent3 5 3 2 8" xfId="23276"/>
    <cellStyle name="40% - Accent3 5 3 2 9" xfId="51817"/>
    <cellStyle name="40% - Accent3 5 3 3" xfId="3818"/>
    <cellStyle name="40% - Accent3 5 3 3 2" xfId="5729"/>
    <cellStyle name="40% - Accent3 5 3 3 2 2" xfId="9026"/>
    <cellStyle name="40% - Accent3 5 3 3 2 2 2" xfId="16815"/>
    <cellStyle name="40% - Accent3 5 3 3 2 2 2 2" xfId="34437"/>
    <cellStyle name="40% - Accent3 5 3 3 2 2 3" xfId="27400"/>
    <cellStyle name="40% - Accent3 5 3 3 2 3" xfId="13579"/>
    <cellStyle name="40% - Accent3 5 3 3 2 3 2" xfId="31205"/>
    <cellStyle name="40% - Accent3 5 3 3 2 4" xfId="24539"/>
    <cellStyle name="40% - Accent3 5 3 3 3" xfId="6359"/>
    <cellStyle name="40% - Accent3 5 3 3 3 2" xfId="9566"/>
    <cellStyle name="40% - Accent3 5 3 3 3 2 2" xfId="17354"/>
    <cellStyle name="40% - Accent3 5 3 3 3 2 2 2" xfId="34977"/>
    <cellStyle name="40% - Accent3 5 3 3 3 2 3" xfId="27936"/>
    <cellStyle name="40% - Accent3 5 3 3 3 3" xfId="14142"/>
    <cellStyle name="40% - Accent3 5 3 3 3 3 2" xfId="31763"/>
    <cellStyle name="40% - Accent3 5 3 3 3 4" xfId="25075"/>
    <cellStyle name="40% - Accent3 5 3 3 4" xfId="6896"/>
    <cellStyle name="40% - Accent3 5 3 3 4 2" xfId="10103"/>
    <cellStyle name="40% - Accent3 5 3 3 4 2 2" xfId="17890"/>
    <cellStyle name="40% - Accent3 5 3 3 4 2 2 2" xfId="35513"/>
    <cellStyle name="40% - Accent3 5 3 3 4 2 3" xfId="28472"/>
    <cellStyle name="40% - Accent3 5 3 3 4 3" xfId="14678"/>
    <cellStyle name="40% - Accent3 5 3 3 4 3 2" xfId="32299"/>
    <cellStyle name="40% - Accent3 5 3 3 4 4" xfId="25612"/>
    <cellStyle name="40% - Accent3 5 3 3 5" xfId="8379"/>
    <cellStyle name="40% - Accent3 5 3 3 5 2" xfId="16169"/>
    <cellStyle name="40% - Accent3 5 3 3 5 2 2" xfId="33790"/>
    <cellStyle name="40% - Accent3 5 3 3 5 3" xfId="26779"/>
    <cellStyle name="40% - Accent3 5 3 3 6" xfId="12524"/>
    <cellStyle name="40% - Accent3 5 3 3 6 2" xfId="30178"/>
    <cellStyle name="40% - Accent3 5 3 3 7" xfId="23918"/>
    <cellStyle name="40% - Accent3 5 3 4" xfId="3816"/>
    <cellStyle name="40% - Accent3 5 3 4 2" xfId="8377"/>
    <cellStyle name="40% - Accent3 5 3 4 2 2" xfId="16167"/>
    <cellStyle name="40% - Accent3 5 3 4 2 2 2" xfId="33788"/>
    <cellStyle name="40% - Accent3 5 3 4 2 3" xfId="26777"/>
    <cellStyle name="40% - Accent3 5 3 4 3" xfId="12522"/>
    <cellStyle name="40% - Accent3 5 3 4 3 2" xfId="30176"/>
    <cellStyle name="40% - Accent3 5 3 4 4" xfId="23916"/>
    <cellStyle name="40% - Accent3 5 3 5" xfId="5727"/>
    <cellStyle name="40% - Accent3 5 3 5 2" xfId="9024"/>
    <cellStyle name="40% - Accent3 5 3 5 2 2" xfId="16813"/>
    <cellStyle name="40% - Accent3 5 3 5 2 2 2" xfId="34435"/>
    <cellStyle name="40% - Accent3 5 3 5 2 3" xfId="27398"/>
    <cellStyle name="40% - Accent3 5 3 5 3" xfId="13577"/>
    <cellStyle name="40% - Accent3 5 3 5 3 2" xfId="31203"/>
    <cellStyle name="40% - Accent3 5 3 5 4" xfId="24537"/>
    <cellStyle name="40% - Accent3 5 3 6" xfId="6357"/>
    <cellStyle name="40% - Accent3 5 3 6 2" xfId="9564"/>
    <cellStyle name="40% - Accent3 5 3 6 2 2" xfId="17352"/>
    <cellStyle name="40% - Accent3 5 3 6 2 2 2" xfId="34975"/>
    <cellStyle name="40% - Accent3 5 3 6 2 3" xfId="27934"/>
    <cellStyle name="40% - Accent3 5 3 6 3" xfId="14140"/>
    <cellStyle name="40% - Accent3 5 3 6 3 2" xfId="31761"/>
    <cellStyle name="40% - Accent3 5 3 6 4" xfId="25073"/>
    <cellStyle name="40% - Accent3 5 3 7" xfId="6894"/>
    <cellStyle name="40% - Accent3 5 3 7 2" xfId="10101"/>
    <cellStyle name="40% - Accent3 5 3 7 2 2" xfId="17888"/>
    <cellStyle name="40% - Accent3 5 3 7 2 2 2" xfId="35511"/>
    <cellStyle name="40% - Accent3 5 3 7 2 3" xfId="28470"/>
    <cellStyle name="40% - Accent3 5 3 7 3" xfId="14676"/>
    <cellStyle name="40% - Accent3 5 3 7 3 2" xfId="32297"/>
    <cellStyle name="40% - Accent3 5 3 7 4" xfId="25610"/>
    <cellStyle name="40% - Accent3 5 3 8" xfId="7717"/>
    <cellStyle name="40% - Accent3 5 3 8 2" xfId="15508"/>
    <cellStyle name="40% - Accent3 5 3 8 2 2" xfId="33129"/>
    <cellStyle name="40% - Accent3 5 3 8 3" xfId="26136"/>
    <cellStyle name="40% - Accent3 5 3 9" xfId="11375"/>
    <cellStyle name="40% - Accent3 5 3 9 2" xfId="29083"/>
    <cellStyle name="40% - Accent3 5 4" xfId="682"/>
    <cellStyle name="40% - Accent3 5 4 10" xfId="52884"/>
    <cellStyle name="40% - Accent3 5 4 2" xfId="3819"/>
    <cellStyle name="40% - Accent3 5 4 2 2" xfId="8380"/>
    <cellStyle name="40% - Accent3 5 4 2 2 2" xfId="16170"/>
    <cellStyle name="40% - Accent3 5 4 2 2 2 2" xfId="33791"/>
    <cellStyle name="40% - Accent3 5 4 2 2 3" xfId="26780"/>
    <cellStyle name="40% - Accent3 5 4 2 3" xfId="12525"/>
    <cellStyle name="40% - Accent3 5 4 2 3 2" xfId="30179"/>
    <cellStyle name="40% - Accent3 5 4 2 4" xfId="23919"/>
    <cellStyle name="40% - Accent3 5 4 3" xfId="5730"/>
    <cellStyle name="40% - Accent3 5 4 3 2" xfId="9027"/>
    <cellStyle name="40% - Accent3 5 4 3 2 2" xfId="16816"/>
    <cellStyle name="40% - Accent3 5 4 3 2 2 2" xfId="34438"/>
    <cellStyle name="40% - Accent3 5 4 3 2 3" xfId="27401"/>
    <cellStyle name="40% - Accent3 5 4 3 3" xfId="13580"/>
    <cellStyle name="40% - Accent3 5 4 3 3 2" xfId="31206"/>
    <cellStyle name="40% - Accent3 5 4 3 4" xfId="24540"/>
    <cellStyle name="40% - Accent3 5 4 4" xfId="6360"/>
    <cellStyle name="40% - Accent3 5 4 4 2" xfId="9567"/>
    <cellStyle name="40% - Accent3 5 4 4 2 2" xfId="17355"/>
    <cellStyle name="40% - Accent3 5 4 4 2 2 2" xfId="34978"/>
    <cellStyle name="40% - Accent3 5 4 4 2 3" xfId="27937"/>
    <cellStyle name="40% - Accent3 5 4 4 3" xfId="14143"/>
    <cellStyle name="40% - Accent3 5 4 4 3 2" xfId="31764"/>
    <cellStyle name="40% - Accent3 5 4 4 4" xfId="25076"/>
    <cellStyle name="40% - Accent3 5 4 5" xfId="6897"/>
    <cellStyle name="40% - Accent3 5 4 5 2" xfId="10104"/>
    <cellStyle name="40% - Accent3 5 4 5 2 2" xfId="17891"/>
    <cellStyle name="40% - Accent3 5 4 5 2 2 2" xfId="35514"/>
    <cellStyle name="40% - Accent3 5 4 5 2 3" xfId="28473"/>
    <cellStyle name="40% - Accent3 5 4 5 3" xfId="14679"/>
    <cellStyle name="40% - Accent3 5 4 5 3 2" xfId="32300"/>
    <cellStyle name="40% - Accent3 5 4 5 4" xfId="25613"/>
    <cellStyle name="40% - Accent3 5 4 6" xfId="7719"/>
    <cellStyle name="40% - Accent3 5 4 6 2" xfId="15510"/>
    <cellStyle name="40% - Accent3 5 4 6 2 2" xfId="33131"/>
    <cellStyle name="40% - Accent3 5 4 6 3" xfId="26138"/>
    <cellStyle name="40% - Accent3 5 4 7" xfId="11377"/>
    <cellStyle name="40% - Accent3 5 4 7 2" xfId="29085"/>
    <cellStyle name="40% - Accent3 5 4 8" xfId="23277"/>
    <cellStyle name="40% - Accent3 5 4 9" xfId="51818"/>
    <cellStyle name="40% - Accent3 5 5" xfId="683"/>
    <cellStyle name="40% - Accent3 5 5 2" xfId="3820"/>
    <cellStyle name="40% - Accent3 5 5 2 2" xfId="8381"/>
    <cellStyle name="40% - Accent3 5 5 2 2 2" xfId="16171"/>
    <cellStyle name="40% - Accent3 5 5 2 2 2 2" xfId="33792"/>
    <cellStyle name="40% - Accent3 5 5 2 2 3" xfId="26781"/>
    <cellStyle name="40% - Accent3 5 5 2 3" xfId="12526"/>
    <cellStyle name="40% - Accent3 5 5 2 3 2" xfId="30180"/>
    <cellStyle name="40% - Accent3 5 5 2 4" xfId="23920"/>
    <cellStyle name="40% - Accent3 5 5 3" xfId="5731"/>
    <cellStyle name="40% - Accent3 5 5 3 2" xfId="9028"/>
    <cellStyle name="40% - Accent3 5 5 3 2 2" xfId="16817"/>
    <cellStyle name="40% - Accent3 5 5 3 2 2 2" xfId="34439"/>
    <cellStyle name="40% - Accent3 5 5 3 2 3" xfId="27402"/>
    <cellStyle name="40% - Accent3 5 5 3 3" xfId="13581"/>
    <cellStyle name="40% - Accent3 5 5 3 3 2" xfId="31207"/>
    <cellStyle name="40% - Accent3 5 5 3 4" xfId="24541"/>
    <cellStyle name="40% - Accent3 5 5 4" xfId="6361"/>
    <cellStyle name="40% - Accent3 5 5 4 2" xfId="9568"/>
    <cellStyle name="40% - Accent3 5 5 4 2 2" xfId="17356"/>
    <cellStyle name="40% - Accent3 5 5 4 2 2 2" xfId="34979"/>
    <cellStyle name="40% - Accent3 5 5 4 2 3" xfId="27938"/>
    <cellStyle name="40% - Accent3 5 5 4 3" xfId="14144"/>
    <cellStyle name="40% - Accent3 5 5 4 3 2" xfId="31765"/>
    <cellStyle name="40% - Accent3 5 5 4 4" xfId="25077"/>
    <cellStyle name="40% - Accent3 5 5 5" xfId="6898"/>
    <cellStyle name="40% - Accent3 5 5 5 2" xfId="10105"/>
    <cellStyle name="40% - Accent3 5 5 5 2 2" xfId="17892"/>
    <cellStyle name="40% - Accent3 5 5 5 2 2 2" xfId="35515"/>
    <cellStyle name="40% - Accent3 5 5 5 2 3" xfId="28474"/>
    <cellStyle name="40% - Accent3 5 5 5 3" xfId="14680"/>
    <cellStyle name="40% - Accent3 5 5 5 3 2" xfId="32301"/>
    <cellStyle name="40% - Accent3 5 5 5 4" xfId="25614"/>
    <cellStyle name="40% - Accent3 5 5 6" xfId="7720"/>
    <cellStyle name="40% - Accent3 5 5 6 2" xfId="15511"/>
    <cellStyle name="40% - Accent3 5 5 6 2 2" xfId="33132"/>
    <cellStyle name="40% - Accent3 5 5 6 3" xfId="26139"/>
    <cellStyle name="40% - Accent3 5 5 7" xfId="11378"/>
    <cellStyle name="40% - Accent3 5 5 7 2" xfId="29086"/>
    <cellStyle name="40% - Accent3 5 5 8" xfId="23278"/>
    <cellStyle name="40% - Accent3 5 5 9" xfId="51819"/>
    <cellStyle name="40% - Accent3 5 6" xfId="684"/>
    <cellStyle name="40% - Accent3 5 6 2" xfId="3821"/>
    <cellStyle name="40% - Accent3 5 6 2 2" xfId="8382"/>
    <cellStyle name="40% - Accent3 5 6 2 2 2" xfId="16172"/>
    <cellStyle name="40% - Accent3 5 6 2 2 2 2" xfId="33793"/>
    <cellStyle name="40% - Accent3 5 6 2 2 3" xfId="26782"/>
    <cellStyle name="40% - Accent3 5 6 2 3" xfId="12527"/>
    <cellStyle name="40% - Accent3 5 6 2 3 2" xfId="30181"/>
    <cellStyle name="40% - Accent3 5 6 2 4" xfId="23921"/>
    <cellStyle name="40% - Accent3 5 6 3" xfId="5732"/>
    <cellStyle name="40% - Accent3 5 6 3 2" xfId="9029"/>
    <cellStyle name="40% - Accent3 5 6 3 2 2" xfId="16818"/>
    <cellStyle name="40% - Accent3 5 6 3 2 2 2" xfId="34440"/>
    <cellStyle name="40% - Accent3 5 6 3 2 3" xfId="27403"/>
    <cellStyle name="40% - Accent3 5 6 3 3" xfId="13582"/>
    <cellStyle name="40% - Accent3 5 6 3 3 2" xfId="31208"/>
    <cellStyle name="40% - Accent3 5 6 3 4" xfId="24542"/>
    <cellStyle name="40% - Accent3 5 6 4" xfId="6362"/>
    <cellStyle name="40% - Accent3 5 6 4 2" xfId="9569"/>
    <cellStyle name="40% - Accent3 5 6 4 2 2" xfId="17357"/>
    <cellStyle name="40% - Accent3 5 6 4 2 2 2" xfId="34980"/>
    <cellStyle name="40% - Accent3 5 6 4 2 3" xfId="27939"/>
    <cellStyle name="40% - Accent3 5 6 4 3" xfId="14145"/>
    <cellStyle name="40% - Accent3 5 6 4 3 2" xfId="31766"/>
    <cellStyle name="40% - Accent3 5 6 4 4" xfId="25078"/>
    <cellStyle name="40% - Accent3 5 6 5" xfId="6899"/>
    <cellStyle name="40% - Accent3 5 6 5 2" xfId="10106"/>
    <cellStyle name="40% - Accent3 5 6 5 2 2" xfId="17893"/>
    <cellStyle name="40% - Accent3 5 6 5 2 2 2" xfId="35516"/>
    <cellStyle name="40% - Accent3 5 6 5 2 3" xfId="28475"/>
    <cellStyle name="40% - Accent3 5 6 5 3" xfId="14681"/>
    <cellStyle name="40% - Accent3 5 6 5 3 2" xfId="32302"/>
    <cellStyle name="40% - Accent3 5 6 5 4" xfId="25615"/>
    <cellStyle name="40% - Accent3 5 6 6" xfId="7721"/>
    <cellStyle name="40% - Accent3 5 6 6 2" xfId="15512"/>
    <cellStyle name="40% - Accent3 5 6 6 2 2" xfId="33133"/>
    <cellStyle name="40% - Accent3 5 6 6 3" xfId="26140"/>
    <cellStyle name="40% - Accent3 5 6 7" xfId="11379"/>
    <cellStyle name="40% - Accent3 5 6 7 2" xfId="29087"/>
    <cellStyle name="40% - Accent3 5 6 8" xfId="23279"/>
    <cellStyle name="40% - Accent3 5 6 9" xfId="51820"/>
    <cellStyle name="40% - Accent3 5 7" xfId="685"/>
    <cellStyle name="40% - Accent3 5 7 10" xfId="51821"/>
    <cellStyle name="40% - Accent3 5 7 2" xfId="686"/>
    <cellStyle name="40% - Accent3 5 7 2 2" xfId="8384"/>
    <cellStyle name="40% - Accent3 5 7 2 2 2" xfId="16174"/>
    <cellStyle name="40% - Accent3 5 7 2 2 2 2" xfId="33795"/>
    <cellStyle name="40% - Accent3 5 7 2 2 3" xfId="26784"/>
    <cellStyle name="40% - Accent3 5 7 2 3" xfId="12529"/>
    <cellStyle name="40% - Accent3 5 7 2 3 2" xfId="30183"/>
    <cellStyle name="40% - Accent3 5 7 2 4" xfId="23923"/>
    <cellStyle name="40% - Accent3 5 7 3" xfId="3822"/>
    <cellStyle name="40% - Accent3 5 7 3 2" xfId="8383"/>
    <cellStyle name="40% - Accent3 5 7 3 2 2" xfId="16173"/>
    <cellStyle name="40% - Accent3 5 7 3 2 2 2" xfId="33794"/>
    <cellStyle name="40% - Accent3 5 7 3 2 3" xfId="26783"/>
    <cellStyle name="40% - Accent3 5 7 3 3" xfId="12528"/>
    <cellStyle name="40% - Accent3 5 7 3 3 2" xfId="30182"/>
    <cellStyle name="40% - Accent3 5 7 3 4" xfId="23922"/>
    <cellStyle name="40% - Accent3 5 7 4" xfId="5733"/>
    <cellStyle name="40% - Accent3 5 7 4 2" xfId="9030"/>
    <cellStyle name="40% - Accent3 5 7 4 2 2" xfId="16819"/>
    <cellStyle name="40% - Accent3 5 7 4 2 2 2" xfId="34441"/>
    <cellStyle name="40% - Accent3 5 7 4 2 3" xfId="27404"/>
    <cellStyle name="40% - Accent3 5 7 4 3" xfId="13583"/>
    <cellStyle name="40% - Accent3 5 7 4 3 2" xfId="31209"/>
    <cellStyle name="40% - Accent3 5 7 4 4" xfId="24543"/>
    <cellStyle name="40% - Accent3 5 7 5" xfId="6363"/>
    <cellStyle name="40% - Accent3 5 7 5 2" xfId="9570"/>
    <cellStyle name="40% - Accent3 5 7 5 2 2" xfId="17358"/>
    <cellStyle name="40% - Accent3 5 7 5 2 2 2" xfId="34981"/>
    <cellStyle name="40% - Accent3 5 7 5 2 3" xfId="27940"/>
    <cellStyle name="40% - Accent3 5 7 5 3" xfId="14146"/>
    <cellStyle name="40% - Accent3 5 7 5 3 2" xfId="31767"/>
    <cellStyle name="40% - Accent3 5 7 5 4" xfId="25079"/>
    <cellStyle name="40% - Accent3 5 7 6" xfId="6900"/>
    <cellStyle name="40% - Accent3 5 7 6 2" xfId="10107"/>
    <cellStyle name="40% - Accent3 5 7 6 2 2" xfId="17894"/>
    <cellStyle name="40% - Accent3 5 7 6 2 2 2" xfId="35517"/>
    <cellStyle name="40% - Accent3 5 7 6 2 3" xfId="28476"/>
    <cellStyle name="40% - Accent3 5 7 6 3" xfId="14682"/>
    <cellStyle name="40% - Accent3 5 7 6 3 2" xfId="32303"/>
    <cellStyle name="40% - Accent3 5 7 6 4" xfId="25616"/>
    <cellStyle name="40% - Accent3 5 7 7" xfId="7722"/>
    <cellStyle name="40% - Accent3 5 7 7 2" xfId="15513"/>
    <cellStyle name="40% - Accent3 5 7 7 2 2" xfId="33134"/>
    <cellStyle name="40% - Accent3 5 7 7 3" xfId="26141"/>
    <cellStyle name="40% - Accent3 5 7 8" xfId="11380"/>
    <cellStyle name="40% - Accent3 5 7 8 2" xfId="29088"/>
    <cellStyle name="40% - Accent3 5 7 9" xfId="23280"/>
    <cellStyle name="40% - Accent3 5 8" xfId="3823"/>
    <cellStyle name="40% - Accent3 5 8 2" xfId="8385"/>
    <cellStyle name="40% - Accent3 5 8 2 2" xfId="16175"/>
    <cellStyle name="40% - Accent3 5 8 2 2 2" xfId="33796"/>
    <cellStyle name="40% - Accent3 5 8 2 3" xfId="26785"/>
    <cellStyle name="40% - Accent3 5 8 3" xfId="12530"/>
    <cellStyle name="40% - Accent3 5 8 3 2" xfId="30184"/>
    <cellStyle name="40% - Accent3 5 8 4" xfId="23924"/>
    <cellStyle name="40% - Accent3 5 9" xfId="3824"/>
    <cellStyle name="40% - Accent3 6" xfId="687"/>
    <cellStyle name="40% - Accent3 6 10" xfId="3825"/>
    <cellStyle name="40% - Accent3 6 10 2" xfId="8386"/>
    <cellStyle name="40% - Accent3 6 10 2 2" xfId="16176"/>
    <cellStyle name="40% - Accent3 6 10 2 2 2" xfId="33797"/>
    <cellStyle name="40% - Accent3 6 10 2 3" xfId="26786"/>
    <cellStyle name="40% - Accent3 6 10 3" xfId="12532"/>
    <cellStyle name="40% - Accent3 6 10 3 2" xfId="30186"/>
    <cellStyle name="40% - Accent3 6 10 4" xfId="23925"/>
    <cellStyle name="40% - Accent3 6 11" xfId="5734"/>
    <cellStyle name="40% - Accent3 6 11 2" xfId="9031"/>
    <cellStyle name="40% - Accent3 6 11 2 2" xfId="16820"/>
    <cellStyle name="40% - Accent3 6 11 2 2 2" xfId="34442"/>
    <cellStyle name="40% - Accent3 6 11 2 3" xfId="27405"/>
    <cellStyle name="40% - Accent3 6 11 3" xfId="13584"/>
    <cellStyle name="40% - Accent3 6 11 3 2" xfId="31210"/>
    <cellStyle name="40% - Accent3 6 11 4" xfId="24544"/>
    <cellStyle name="40% - Accent3 6 12" xfId="6364"/>
    <cellStyle name="40% - Accent3 6 12 2" xfId="9571"/>
    <cellStyle name="40% - Accent3 6 12 2 2" xfId="17359"/>
    <cellStyle name="40% - Accent3 6 12 2 2 2" xfId="34982"/>
    <cellStyle name="40% - Accent3 6 12 2 3" xfId="27941"/>
    <cellStyle name="40% - Accent3 6 12 3" xfId="14147"/>
    <cellStyle name="40% - Accent3 6 12 3 2" xfId="31768"/>
    <cellStyle name="40% - Accent3 6 12 4" xfId="25080"/>
    <cellStyle name="40% - Accent3 6 13" xfId="6901"/>
    <cellStyle name="40% - Accent3 6 13 2" xfId="10108"/>
    <cellStyle name="40% - Accent3 6 13 2 2" xfId="17895"/>
    <cellStyle name="40% - Accent3 6 13 2 2 2" xfId="35518"/>
    <cellStyle name="40% - Accent3 6 13 2 3" xfId="28477"/>
    <cellStyle name="40% - Accent3 6 13 3" xfId="14683"/>
    <cellStyle name="40% - Accent3 6 13 3 2" xfId="32304"/>
    <cellStyle name="40% - Accent3 6 13 4" xfId="25617"/>
    <cellStyle name="40% - Accent3 6 14" xfId="7723"/>
    <cellStyle name="40% - Accent3 6 14 2" xfId="15514"/>
    <cellStyle name="40% - Accent3 6 14 2 2" xfId="33135"/>
    <cellStyle name="40% - Accent3 6 14 3" xfId="26142"/>
    <cellStyle name="40% - Accent3 6 15" xfId="11381"/>
    <cellStyle name="40% - Accent3 6 15 2" xfId="29089"/>
    <cellStyle name="40% - Accent3 6 16" xfId="21937"/>
    <cellStyle name="40% - Accent3 6 16 2" xfId="38676"/>
    <cellStyle name="40% - Accent3 6 17" xfId="23281"/>
    <cellStyle name="40% - Accent3 6 18" xfId="51822"/>
    <cellStyle name="40% - Accent3 6 2" xfId="688"/>
    <cellStyle name="40% - Accent3 6 2 10" xfId="51823"/>
    <cellStyle name="40% - Accent3 6 2 2" xfId="3826"/>
    <cellStyle name="40% - Accent3 6 2 2 2" xfId="8387"/>
    <cellStyle name="40% - Accent3 6 2 2 2 2" xfId="16177"/>
    <cellStyle name="40% - Accent3 6 2 2 2 2 2" xfId="33798"/>
    <cellStyle name="40% - Accent3 6 2 2 2 3" xfId="26787"/>
    <cellStyle name="40% - Accent3 6 2 2 3" xfId="12533"/>
    <cellStyle name="40% - Accent3 6 2 2 3 2" xfId="30187"/>
    <cellStyle name="40% - Accent3 6 2 2 4" xfId="23926"/>
    <cellStyle name="40% - Accent3 6 2 3" xfId="5735"/>
    <cellStyle name="40% - Accent3 6 2 3 2" xfId="9032"/>
    <cellStyle name="40% - Accent3 6 2 3 2 2" xfId="16821"/>
    <cellStyle name="40% - Accent3 6 2 3 2 2 2" xfId="34443"/>
    <cellStyle name="40% - Accent3 6 2 3 2 3" xfId="27406"/>
    <cellStyle name="40% - Accent3 6 2 3 3" xfId="13585"/>
    <cellStyle name="40% - Accent3 6 2 3 3 2" xfId="31211"/>
    <cellStyle name="40% - Accent3 6 2 3 4" xfId="24545"/>
    <cellStyle name="40% - Accent3 6 2 4" xfId="6365"/>
    <cellStyle name="40% - Accent3 6 2 4 2" xfId="9572"/>
    <cellStyle name="40% - Accent3 6 2 4 2 2" xfId="17360"/>
    <cellStyle name="40% - Accent3 6 2 4 2 2 2" xfId="34983"/>
    <cellStyle name="40% - Accent3 6 2 4 2 3" xfId="27942"/>
    <cellStyle name="40% - Accent3 6 2 4 3" xfId="14148"/>
    <cellStyle name="40% - Accent3 6 2 4 3 2" xfId="31769"/>
    <cellStyle name="40% - Accent3 6 2 4 4" xfId="25081"/>
    <cellStyle name="40% - Accent3 6 2 5" xfId="6902"/>
    <cellStyle name="40% - Accent3 6 2 5 2" xfId="10109"/>
    <cellStyle name="40% - Accent3 6 2 5 2 2" xfId="17896"/>
    <cellStyle name="40% - Accent3 6 2 5 2 2 2" xfId="35519"/>
    <cellStyle name="40% - Accent3 6 2 5 2 3" xfId="28478"/>
    <cellStyle name="40% - Accent3 6 2 5 3" xfId="14684"/>
    <cellStyle name="40% - Accent3 6 2 5 3 2" xfId="32305"/>
    <cellStyle name="40% - Accent3 6 2 5 4" xfId="25618"/>
    <cellStyle name="40% - Accent3 6 2 6" xfId="7724"/>
    <cellStyle name="40% - Accent3 6 2 6 2" xfId="15515"/>
    <cellStyle name="40% - Accent3 6 2 6 2 2" xfId="33136"/>
    <cellStyle name="40% - Accent3 6 2 6 3" xfId="26143"/>
    <cellStyle name="40% - Accent3 6 2 7" xfId="11382"/>
    <cellStyle name="40% - Accent3 6 2 7 2" xfId="29090"/>
    <cellStyle name="40% - Accent3 6 2 8" xfId="22836"/>
    <cellStyle name="40% - Accent3 6 2 8 2" xfId="38996"/>
    <cellStyle name="40% - Accent3 6 2 9" xfId="23282"/>
    <cellStyle name="40% - Accent3 6 3" xfId="689"/>
    <cellStyle name="40% - Accent3 6 3 10" xfId="22111"/>
    <cellStyle name="40% - Accent3 6 3 11" xfId="23283"/>
    <cellStyle name="40% - Accent3 6 3 12" xfId="51824"/>
    <cellStyle name="40% - Accent3 6 3 2" xfId="690"/>
    <cellStyle name="40% - Accent3 6 3 2 2" xfId="3828"/>
    <cellStyle name="40% - Accent3 6 3 2 2 2" xfId="8389"/>
    <cellStyle name="40% - Accent3 6 3 2 2 2 2" xfId="16179"/>
    <cellStyle name="40% - Accent3 6 3 2 2 2 2 2" xfId="33800"/>
    <cellStyle name="40% - Accent3 6 3 2 2 2 3" xfId="26789"/>
    <cellStyle name="40% - Accent3 6 3 2 2 3" xfId="12535"/>
    <cellStyle name="40% - Accent3 6 3 2 2 3 2" xfId="30189"/>
    <cellStyle name="40% - Accent3 6 3 2 2 4" xfId="23928"/>
    <cellStyle name="40% - Accent3 6 3 2 3" xfId="5737"/>
    <cellStyle name="40% - Accent3 6 3 2 3 2" xfId="9034"/>
    <cellStyle name="40% - Accent3 6 3 2 3 2 2" xfId="16823"/>
    <cellStyle name="40% - Accent3 6 3 2 3 2 2 2" xfId="34445"/>
    <cellStyle name="40% - Accent3 6 3 2 3 2 3" xfId="27408"/>
    <cellStyle name="40% - Accent3 6 3 2 3 3" xfId="13587"/>
    <cellStyle name="40% - Accent3 6 3 2 3 3 2" xfId="31213"/>
    <cellStyle name="40% - Accent3 6 3 2 3 4" xfId="24547"/>
    <cellStyle name="40% - Accent3 6 3 2 4" xfId="6367"/>
    <cellStyle name="40% - Accent3 6 3 2 4 2" xfId="9574"/>
    <cellStyle name="40% - Accent3 6 3 2 4 2 2" xfId="17362"/>
    <cellStyle name="40% - Accent3 6 3 2 4 2 2 2" xfId="34985"/>
    <cellStyle name="40% - Accent3 6 3 2 4 2 3" xfId="27944"/>
    <cellStyle name="40% - Accent3 6 3 2 4 3" xfId="14150"/>
    <cellStyle name="40% - Accent3 6 3 2 4 3 2" xfId="31771"/>
    <cellStyle name="40% - Accent3 6 3 2 4 4" xfId="25083"/>
    <cellStyle name="40% - Accent3 6 3 2 5" xfId="6904"/>
    <cellStyle name="40% - Accent3 6 3 2 5 2" xfId="10111"/>
    <cellStyle name="40% - Accent3 6 3 2 5 2 2" xfId="17898"/>
    <cellStyle name="40% - Accent3 6 3 2 5 2 2 2" xfId="35521"/>
    <cellStyle name="40% - Accent3 6 3 2 5 2 3" xfId="28480"/>
    <cellStyle name="40% - Accent3 6 3 2 5 3" xfId="14686"/>
    <cellStyle name="40% - Accent3 6 3 2 5 3 2" xfId="32307"/>
    <cellStyle name="40% - Accent3 6 3 2 5 4" xfId="25620"/>
    <cellStyle name="40% - Accent3 6 3 2 6" xfId="7726"/>
    <cellStyle name="40% - Accent3 6 3 2 6 2" xfId="15517"/>
    <cellStyle name="40% - Accent3 6 3 2 6 2 2" xfId="33138"/>
    <cellStyle name="40% - Accent3 6 3 2 6 3" xfId="26145"/>
    <cellStyle name="40% - Accent3 6 3 2 7" xfId="11384"/>
    <cellStyle name="40% - Accent3 6 3 2 7 2" xfId="29092"/>
    <cellStyle name="40% - Accent3 6 3 2 8" xfId="23284"/>
    <cellStyle name="40% - Accent3 6 3 2 9" xfId="51825"/>
    <cellStyle name="40% - Accent3 6 3 3" xfId="3829"/>
    <cellStyle name="40% - Accent3 6 3 3 2" xfId="5738"/>
    <cellStyle name="40% - Accent3 6 3 3 2 2" xfId="9035"/>
    <cellStyle name="40% - Accent3 6 3 3 2 2 2" xfId="16824"/>
    <cellStyle name="40% - Accent3 6 3 3 2 2 2 2" xfId="34446"/>
    <cellStyle name="40% - Accent3 6 3 3 2 2 3" xfId="27409"/>
    <cellStyle name="40% - Accent3 6 3 3 2 3" xfId="13588"/>
    <cellStyle name="40% - Accent3 6 3 3 2 3 2" xfId="31214"/>
    <cellStyle name="40% - Accent3 6 3 3 2 4" xfId="24548"/>
    <cellStyle name="40% - Accent3 6 3 3 3" xfId="6368"/>
    <cellStyle name="40% - Accent3 6 3 3 3 2" xfId="9575"/>
    <cellStyle name="40% - Accent3 6 3 3 3 2 2" xfId="17363"/>
    <cellStyle name="40% - Accent3 6 3 3 3 2 2 2" xfId="34986"/>
    <cellStyle name="40% - Accent3 6 3 3 3 2 3" xfId="27945"/>
    <cellStyle name="40% - Accent3 6 3 3 3 3" xfId="14151"/>
    <cellStyle name="40% - Accent3 6 3 3 3 3 2" xfId="31772"/>
    <cellStyle name="40% - Accent3 6 3 3 3 4" xfId="25084"/>
    <cellStyle name="40% - Accent3 6 3 3 4" xfId="6905"/>
    <cellStyle name="40% - Accent3 6 3 3 4 2" xfId="10112"/>
    <cellStyle name="40% - Accent3 6 3 3 4 2 2" xfId="17899"/>
    <cellStyle name="40% - Accent3 6 3 3 4 2 2 2" xfId="35522"/>
    <cellStyle name="40% - Accent3 6 3 3 4 2 3" xfId="28481"/>
    <cellStyle name="40% - Accent3 6 3 3 4 3" xfId="14687"/>
    <cellStyle name="40% - Accent3 6 3 3 4 3 2" xfId="32308"/>
    <cellStyle name="40% - Accent3 6 3 3 4 4" xfId="25621"/>
    <cellStyle name="40% - Accent3 6 3 3 5" xfId="8390"/>
    <cellStyle name="40% - Accent3 6 3 3 5 2" xfId="16180"/>
    <cellStyle name="40% - Accent3 6 3 3 5 2 2" xfId="33801"/>
    <cellStyle name="40% - Accent3 6 3 3 5 3" xfId="26790"/>
    <cellStyle name="40% - Accent3 6 3 3 6" xfId="12536"/>
    <cellStyle name="40% - Accent3 6 3 3 6 2" xfId="30190"/>
    <cellStyle name="40% - Accent3 6 3 3 7" xfId="23929"/>
    <cellStyle name="40% - Accent3 6 3 4" xfId="3827"/>
    <cellStyle name="40% - Accent3 6 3 4 2" xfId="8388"/>
    <cellStyle name="40% - Accent3 6 3 4 2 2" xfId="16178"/>
    <cellStyle name="40% - Accent3 6 3 4 2 2 2" xfId="33799"/>
    <cellStyle name="40% - Accent3 6 3 4 2 3" xfId="26788"/>
    <cellStyle name="40% - Accent3 6 3 4 3" xfId="12534"/>
    <cellStyle name="40% - Accent3 6 3 4 3 2" xfId="30188"/>
    <cellStyle name="40% - Accent3 6 3 4 4" xfId="23927"/>
    <cellStyle name="40% - Accent3 6 3 5" xfId="5736"/>
    <cellStyle name="40% - Accent3 6 3 5 2" xfId="9033"/>
    <cellStyle name="40% - Accent3 6 3 5 2 2" xfId="16822"/>
    <cellStyle name="40% - Accent3 6 3 5 2 2 2" xfId="34444"/>
    <cellStyle name="40% - Accent3 6 3 5 2 3" xfId="27407"/>
    <cellStyle name="40% - Accent3 6 3 5 3" xfId="13586"/>
    <cellStyle name="40% - Accent3 6 3 5 3 2" xfId="31212"/>
    <cellStyle name="40% - Accent3 6 3 5 4" xfId="24546"/>
    <cellStyle name="40% - Accent3 6 3 6" xfId="6366"/>
    <cellStyle name="40% - Accent3 6 3 6 2" xfId="9573"/>
    <cellStyle name="40% - Accent3 6 3 6 2 2" xfId="17361"/>
    <cellStyle name="40% - Accent3 6 3 6 2 2 2" xfId="34984"/>
    <cellStyle name="40% - Accent3 6 3 6 2 3" xfId="27943"/>
    <cellStyle name="40% - Accent3 6 3 6 3" xfId="14149"/>
    <cellStyle name="40% - Accent3 6 3 6 3 2" xfId="31770"/>
    <cellStyle name="40% - Accent3 6 3 6 4" xfId="25082"/>
    <cellStyle name="40% - Accent3 6 3 7" xfId="6903"/>
    <cellStyle name="40% - Accent3 6 3 7 2" xfId="10110"/>
    <cellStyle name="40% - Accent3 6 3 7 2 2" xfId="17897"/>
    <cellStyle name="40% - Accent3 6 3 7 2 2 2" xfId="35520"/>
    <cellStyle name="40% - Accent3 6 3 7 2 3" xfId="28479"/>
    <cellStyle name="40% - Accent3 6 3 7 3" xfId="14685"/>
    <cellStyle name="40% - Accent3 6 3 7 3 2" xfId="32306"/>
    <cellStyle name="40% - Accent3 6 3 7 4" xfId="25619"/>
    <cellStyle name="40% - Accent3 6 3 8" xfId="7725"/>
    <cellStyle name="40% - Accent3 6 3 8 2" xfId="15516"/>
    <cellStyle name="40% - Accent3 6 3 8 2 2" xfId="33137"/>
    <cellStyle name="40% - Accent3 6 3 8 3" xfId="26144"/>
    <cellStyle name="40% - Accent3 6 3 9" xfId="11383"/>
    <cellStyle name="40% - Accent3 6 3 9 2" xfId="29091"/>
    <cellStyle name="40% - Accent3 6 4" xfId="691"/>
    <cellStyle name="40% - Accent3 6 4 10" xfId="52885"/>
    <cellStyle name="40% - Accent3 6 4 2" xfId="3830"/>
    <cellStyle name="40% - Accent3 6 4 2 2" xfId="8391"/>
    <cellStyle name="40% - Accent3 6 4 2 2 2" xfId="16181"/>
    <cellStyle name="40% - Accent3 6 4 2 2 2 2" xfId="33802"/>
    <cellStyle name="40% - Accent3 6 4 2 2 3" xfId="26791"/>
    <cellStyle name="40% - Accent3 6 4 2 3" xfId="12537"/>
    <cellStyle name="40% - Accent3 6 4 2 3 2" xfId="30191"/>
    <cellStyle name="40% - Accent3 6 4 2 4" xfId="23930"/>
    <cellStyle name="40% - Accent3 6 4 3" xfId="5739"/>
    <cellStyle name="40% - Accent3 6 4 3 2" xfId="9036"/>
    <cellStyle name="40% - Accent3 6 4 3 2 2" xfId="16825"/>
    <cellStyle name="40% - Accent3 6 4 3 2 2 2" xfId="34447"/>
    <cellStyle name="40% - Accent3 6 4 3 2 3" xfId="27410"/>
    <cellStyle name="40% - Accent3 6 4 3 3" xfId="13589"/>
    <cellStyle name="40% - Accent3 6 4 3 3 2" xfId="31215"/>
    <cellStyle name="40% - Accent3 6 4 3 4" xfId="24549"/>
    <cellStyle name="40% - Accent3 6 4 4" xfId="6369"/>
    <cellStyle name="40% - Accent3 6 4 4 2" xfId="9576"/>
    <cellStyle name="40% - Accent3 6 4 4 2 2" xfId="17364"/>
    <cellStyle name="40% - Accent3 6 4 4 2 2 2" xfId="34987"/>
    <cellStyle name="40% - Accent3 6 4 4 2 3" xfId="27946"/>
    <cellStyle name="40% - Accent3 6 4 4 3" xfId="14152"/>
    <cellStyle name="40% - Accent3 6 4 4 3 2" xfId="31773"/>
    <cellStyle name="40% - Accent3 6 4 4 4" xfId="25085"/>
    <cellStyle name="40% - Accent3 6 4 5" xfId="6906"/>
    <cellStyle name="40% - Accent3 6 4 5 2" xfId="10113"/>
    <cellStyle name="40% - Accent3 6 4 5 2 2" xfId="17900"/>
    <cellStyle name="40% - Accent3 6 4 5 2 2 2" xfId="35523"/>
    <cellStyle name="40% - Accent3 6 4 5 2 3" xfId="28482"/>
    <cellStyle name="40% - Accent3 6 4 5 3" xfId="14688"/>
    <cellStyle name="40% - Accent3 6 4 5 3 2" xfId="32309"/>
    <cellStyle name="40% - Accent3 6 4 5 4" xfId="25622"/>
    <cellStyle name="40% - Accent3 6 4 6" xfId="7727"/>
    <cellStyle name="40% - Accent3 6 4 6 2" xfId="15518"/>
    <cellStyle name="40% - Accent3 6 4 6 2 2" xfId="33139"/>
    <cellStyle name="40% - Accent3 6 4 6 3" xfId="26146"/>
    <cellStyle name="40% - Accent3 6 4 7" xfId="11385"/>
    <cellStyle name="40% - Accent3 6 4 7 2" xfId="29093"/>
    <cellStyle name="40% - Accent3 6 4 8" xfId="23285"/>
    <cellStyle name="40% - Accent3 6 4 9" xfId="51826"/>
    <cellStyle name="40% - Accent3 6 5" xfId="692"/>
    <cellStyle name="40% - Accent3 6 5 2" xfId="3831"/>
    <cellStyle name="40% - Accent3 6 5 2 2" xfId="8392"/>
    <cellStyle name="40% - Accent3 6 5 2 2 2" xfId="16182"/>
    <cellStyle name="40% - Accent3 6 5 2 2 2 2" xfId="33803"/>
    <cellStyle name="40% - Accent3 6 5 2 2 3" xfId="26792"/>
    <cellStyle name="40% - Accent3 6 5 2 3" xfId="12538"/>
    <cellStyle name="40% - Accent3 6 5 2 3 2" xfId="30192"/>
    <cellStyle name="40% - Accent3 6 5 2 4" xfId="23931"/>
    <cellStyle name="40% - Accent3 6 5 3" xfId="5740"/>
    <cellStyle name="40% - Accent3 6 5 3 2" xfId="9037"/>
    <cellStyle name="40% - Accent3 6 5 3 2 2" xfId="16826"/>
    <cellStyle name="40% - Accent3 6 5 3 2 2 2" xfId="34448"/>
    <cellStyle name="40% - Accent3 6 5 3 2 3" xfId="27411"/>
    <cellStyle name="40% - Accent3 6 5 3 3" xfId="13590"/>
    <cellStyle name="40% - Accent3 6 5 3 3 2" xfId="31216"/>
    <cellStyle name="40% - Accent3 6 5 3 4" xfId="24550"/>
    <cellStyle name="40% - Accent3 6 5 4" xfId="6370"/>
    <cellStyle name="40% - Accent3 6 5 4 2" xfId="9577"/>
    <cellStyle name="40% - Accent3 6 5 4 2 2" xfId="17365"/>
    <cellStyle name="40% - Accent3 6 5 4 2 2 2" xfId="34988"/>
    <cellStyle name="40% - Accent3 6 5 4 2 3" xfId="27947"/>
    <cellStyle name="40% - Accent3 6 5 4 3" xfId="14153"/>
    <cellStyle name="40% - Accent3 6 5 4 3 2" xfId="31774"/>
    <cellStyle name="40% - Accent3 6 5 4 4" xfId="25086"/>
    <cellStyle name="40% - Accent3 6 5 5" xfId="6907"/>
    <cellStyle name="40% - Accent3 6 5 5 2" xfId="10114"/>
    <cellStyle name="40% - Accent3 6 5 5 2 2" xfId="17901"/>
    <cellStyle name="40% - Accent3 6 5 5 2 2 2" xfId="35524"/>
    <cellStyle name="40% - Accent3 6 5 5 2 3" xfId="28483"/>
    <cellStyle name="40% - Accent3 6 5 5 3" xfId="14689"/>
    <cellStyle name="40% - Accent3 6 5 5 3 2" xfId="32310"/>
    <cellStyle name="40% - Accent3 6 5 5 4" xfId="25623"/>
    <cellStyle name="40% - Accent3 6 5 6" xfId="7728"/>
    <cellStyle name="40% - Accent3 6 5 6 2" xfId="15519"/>
    <cellStyle name="40% - Accent3 6 5 6 2 2" xfId="33140"/>
    <cellStyle name="40% - Accent3 6 5 6 3" xfId="26147"/>
    <cellStyle name="40% - Accent3 6 5 7" xfId="11386"/>
    <cellStyle name="40% - Accent3 6 5 7 2" xfId="29094"/>
    <cellStyle name="40% - Accent3 6 5 8" xfId="23286"/>
    <cellStyle name="40% - Accent3 6 5 9" xfId="51827"/>
    <cellStyle name="40% - Accent3 6 6" xfId="693"/>
    <cellStyle name="40% - Accent3 6 6 2" xfId="3832"/>
    <cellStyle name="40% - Accent3 6 6 2 2" xfId="8393"/>
    <cellStyle name="40% - Accent3 6 6 2 2 2" xfId="16183"/>
    <cellStyle name="40% - Accent3 6 6 2 2 2 2" xfId="33804"/>
    <cellStyle name="40% - Accent3 6 6 2 2 3" xfId="26793"/>
    <cellStyle name="40% - Accent3 6 6 2 3" xfId="12539"/>
    <cellStyle name="40% - Accent3 6 6 2 3 2" xfId="30193"/>
    <cellStyle name="40% - Accent3 6 6 2 4" xfId="23932"/>
    <cellStyle name="40% - Accent3 6 6 3" xfId="5741"/>
    <cellStyle name="40% - Accent3 6 6 3 2" xfId="9038"/>
    <cellStyle name="40% - Accent3 6 6 3 2 2" xfId="16827"/>
    <cellStyle name="40% - Accent3 6 6 3 2 2 2" xfId="34449"/>
    <cellStyle name="40% - Accent3 6 6 3 2 3" xfId="27412"/>
    <cellStyle name="40% - Accent3 6 6 3 3" xfId="13591"/>
    <cellStyle name="40% - Accent3 6 6 3 3 2" xfId="31217"/>
    <cellStyle name="40% - Accent3 6 6 3 4" xfId="24551"/>
    <cellStyle name="40% - Accent3 6 6 4" xfId="6371"/>
    <cellStyle name="40% - Accent3 6 6 4 2" xfId="9578"/>
    <cellStyle name="40% - Accent3 6 6 4 2 2" xfId="17366"/>
    <cellStyle name="40% - Accent3 6 6 4 2 2 2" xfId="34989"/>
    <cellStyle name="40% - Accent3 6 6 4 2 3" xfId="27948"/>
    <cellStyle name="40% - Accent3 6 6 4 3" xfId="14154"/>
    <cellStyle name="40% - Accent3 6 6 4 3 2" xfId="31775"/>
    <cellStyle name="40% - Accent3 6 6 4 4" xfId="25087"/>
    <cellStyle name="40% - Accent3 6 6 5" xfId="6908"/>
    <cellStyle name="40% - Accent3 6 6 5 2" xfId="10115"/>
    <cellStyle name="40% - Accent3 6 6 5 2 2" xfId="17902"/>
    <cellStyle name="40% - Accent3 6 6 5 2 2 2" xfId="35525"/>
    <cellStyle name="40% - Accent3 6 6 5 2 3" xfId="28484"/>
    <cellStyle name="40% - Accent3 6 6 5 3" xfId="14690"/>
    <cellStyle name="40% - Accent3 6 6 5 3 2" xfId="32311"/>
    <cellStyle name="40% - Accent3 6 6 5 4" xfId="25624"/>
    <cellStyle name="40% - Accent3 6 6 6" xfId="7729"/>
    <cellStyle name="40% - Accent3 6 6 6 2" xfId="15520"/>
    <cellStyle name="40% - Accent3 6 6 6 2 2" xfId="33141"/>
    <cellStyle name="40% - Accent3 6 6 6 3" xfId="26148"/>
    <cellStyle name="40% - Accent3 6 6 7" xfId="11387"/>
    <cellStyle name="40% - Accent3 6 6 7 2" xfId="29095"/>
    <cellStyle name="40% - Accent3 6 6 8" xfId="23287"/>
    <cellStyle name="40% - Accent3 6 6 9" xfId="51828"/>
    <cellStyle name="40% - Accent3 6 7" xfId="694"/>
    <cellStyle name="40% - Accent3 6 7 10" xfId="51829"/>
    <cellStyle name="40% - Accent3 6 7 2" xfId="695"/>
    <cellStyle name="40% - Accent3 6 7 2 2" xfId="8395"/>
    <cellStyle name="40% - Accent3 6 7 2 2 2" xfId="16185"/>
    <cellStyle name="40% - Accent3 6 7 2 2 2 2" xfId="33806"/>
    <cellStyle name="40% - Accent3 6 7 2 2 3" xfId="26795"/>
    <cellStyle name="40% - Accent3 6 7 2 3" xfId="12541"/>
    <cellStyle name="40% - Accent3 6 7 2 3 2" xfId="30195"/>
    <cellStyle name="40% - Accent3 6 7 2 4" xfId="23934"/>
    <cellStyle name="40% - Accent3 6 7 3" xfId="3833"/>
    <cellStyle name="40% - Accent3 6 7 3 2" xfId="8394"/>
    <cellStyle name="40% - Accent3 6 7 3 2 2" xfId="16184"/>
    <cellStyle name="40% - Accent3 6 7 3 2 2 2" xfId="33805"/>
    <cellStyle name="40% - Accent3 6 7 3 2 3" xfId="26794"/>
    <cellStyle name="40% - Accent3 6 7 3 3" xfId="12540"/>
    <cellStyle name="40% - Accent3 6 7 3 3 2" xfId="30194"/>
    <cellStyle name="40% - Accent3 6 7 3 4" xfId="23933"/>
    <cellStyle name="40% - Accent3 6 7 4" xfId="5742"/>
    <cellStyle name="40% - Accent3 6 7 4 2" xfId="9039"/>
    <cellStyle name="40% - Accent3 6 7 4 2 2" xfId="16828"/>
    <cellStyle name="40% - Accent3 6 7 4 2 2 2" xfId="34450"/>
    <cellStyle name="40% - Accent3 6 7 4 2 3" xfId="27413"/>
    <cellStyle name="40% - Accent3 6 7 4 3" xfId="13592"/>
    <cellStyle name="40% - Accent3 6 7 4 3 2" xfId="31218"/>
    <cellStyle name="40% - Accent3 6 7 4 4" xfId="24552"/>
    <cellStyle name="40% - Accent3 6 7 5" xfId="6372"/>
    <cellStyle name="40% - Accent3 6 7 5 2" xfId="9579"/>
    <cellStyle name="40% - Accent3 6 7 5 2 2" xfId="17367"/>
    <cellStyle name="40% - Accent3 6 7 5 2 2 2" xfId="34990"/>
    <cellStyle name="40% - Accent3 6 7 5 2 3" xfId="27949"/>
    <cellStyle name="40% - Accent3 6 7 5 3" xfId="14155"/>
    <cellStyle name="40% - Accent3 6 7 5 3 2" xfId="31776"/>
    <cellStyle name="40% - Accent3 6 7 5 4" xfId="25088"/>
    <cellStyle name="40% - Accent3 6 7 6" xfId="6909"/>
    <cellStyle name="40% - Accent3 6 7 6 2" xfId="10116"/>
    <cellStyle name="40% - Accent3 6 7 6 2 2" xfId="17903"/>
    <cellStyle name="40% - Accent3 6 7 6 2 2 2" xfId="35526"/>
    <cellStyle name="40% - Accent3 6 7 6 2 3" xfId="28485"/>
    <cellStyle name="40% - Accent3 6 7 6 3" xfId="14691"/>
    <cellStyle name="40% - Accent3 6 7 6 3 2" xfId="32312"/>
    <cellStyle name="40% - Accent3 6 7 6 4" xfId="25625"/>
    <cellStyle name="40% - Accent3 6 7 7" xfId="7730"/>
    <cellStyle name="40% - Accent3 6 7 7 2" xfId="15521"/>
    <cellStyle name="40% - Accent3 6 7 7 2 2" xfId="33142"/>
    <cellStyle name="40% - Accent3 6 7 7 3" xfId="26149"/>
    <cellStyle name="40% - Accent3 6 7 8" xfId="11388"/>
    <cellStyle name="40% - Accent3 6 7 8 2" xfId="29096"/>
    <cellStyle name="40% - Accent3 6 7 9" xfId="23288"/>
    <cellStyle name="40% - Accent3 6 8" xfId="3834"/>
    <cellStyle name="40% - Accent3 6 8 2" xfId="8396"/>
    <cellStyle name="40% - Accent3 6 8 2 2" xfId="16186"/>
    <cellStyle name="40% - Accent3 6 8 2 2 2" xfId="33807"/>
    <cellStyle name="40% - Accent3 6 8 2 3" xfId="26796"/>
    <cellStyle name="40% - Accent3 6 8 3" xfId="12542"/>
    <cellStyle name="40% - Accent3 6 8 3 2" xfId="30196"/>
    <cellStyle name="40% - Accent3 6 8 4" xfId="23935"/>
    <cellStyle name="40% - Accent3 6 9" xfId="3835"/>
    <cellStyle name="40% - Accent3 6 9 2" xfId="8397"/>
    <cellStyle name="40% - Accent3 6 9 2 2" xfId="16187"/>
    <cellStyle name="40% - Accent3 6 9 2 2 2" xfId="33808"/>
    <cellStyle name="40% - Accent3 6 9 2 3" xfId="26797"/>
    <cellStyle name="40% - Accent3 6 9 3" xfId="12543"/>
    <cellStyle name="40% - Accent3 6 9 3 2" xfId="30197"/>
    <cellStyle name="40% - Accent3 6 9 4" xfId="23936"/>
    <cellStyle name="40% - Accent3 7" xfId="696"/>
    <cellStyle name="40% - Accent3 7 10" xfId="3836"/>
    <cellStyle name="40% - Accent3 7 10 2" xfId="8398"/>
    <cellStyle name="40% - Accent3 7 10 2 2" xfId="16188"/>
    <cellStyle name="40% - Accent3 7 10 2 2 2" xfId="33809"/>
    <cellStyle name="40% - Accent3 7 10 2 3" xfId="26798"/>
    <cellStyle name="40% - Accent3 7 10 3" xfId="12544"/>
    <cellStyle name="40% - Accent3 7 10 3 2" xfId="30198"/>
    <cellStyle name="40% - Accent3 7 10 4" xfId="23937"/>
    <cellStyle name="40% - Accent3 7 11" xfId="5743"/>
    <cellStyle name="40% - Accent3 7 11 2" xfId="9040"/>
    <cellStyle name="40% - Accent3 7 11 2 2" xfId="16829"/>
    <cellStyle name="40% - Accent3 7 11 2 2 2" xfId="34451"/>
    <cellStyle name="40% - Accent3 7 11 2 3" xfId="27414"/>
    <cellStyle name="40% - Accent3 7 11 3" xfId="13593"/>
    <cellStyle name="40% - Accent3 7 11 3 2" xfId="31219"/>
    <cellStyle name="40% - Accent3 7 11 4" xfId="24553"/>
    <cellStyle name="40% - Accent3 7 12" xfId="6373"/>
    <cellStyle name="40% - Accent3 7 12 2" xfId="9580"/>
    <cellStyle name="40% - Accent3 7 12 2 2" xfId="17368"/>
    <cellStyle name="40% - Accent3 7 12 2 2 2" xfId="34991"/>
    <cellStyle name="40% - Accent3 7 12 2 3" xfId="27950"/>
    <cellStyle name="40% - Accent3 7 12 3" xfId="14156"/>
    <cellStyle name="40% - Accent3 7 12 3 2" xfId="31777"/>
    <cellStyle name="40% - Accent3 7 12 4" xfId="25089"/>
    <cellStyle name="40% - Accent3 7 13" xfId="6910"/>
    <cellStyle name="40% - Accent3 7 13 2" xfId="10117"/>
    <cellStyle name="40% - Accent3 7 13 2 2" xfId="17904"/>
    <cellStyle name="40% - Accent3 7 13 2 2 2" xfId="35527"/>
    <cellStyle name="40% - Accent3 7 13 2 3" xfId="28486"/>
    <cellStyle name="40% - Accent3 7 13 3" xfId="14692"/>
    <cellStyle name="40% - Accent3 7 13 3 2" xfId="32313"/>
    <cellStyle name="40% - Accent3 7 13 4" xfId="25626"/>
    <cellStyle name="40% - Accent3 7 14" xfId="7731"/>
    <cellStyle name="40% - Accent3 7 14 2" xfId="15522"/>
    <cellStyle name="40% - Accent3 7 14 2 2" xfId="33143"/>
    <cellStyle name="40% - Accent3 7 14 3" xfId="26150"/>
    <cellStyle name="40% - Accent3 7 15" xfId="11389"/>
    <cellStyle name="40% - Accent3 7 15 2" xfId="29097"/>
    <cellStyle name="40% - Accent3 7 16" xfId="22112"/>
    <cellStyle name="40% - Accent3 7 16 2" xfId="38779"/>
    <cellStyle name="40% - Accent3 7 17" xfId="23289"/>
    <cellStyle name="40% - Accent3 7 18" xfId="51830"/>
    <cellStyle name="40% - Accent3 7 2" xfId="697"/>
    <cellStyle name="40% - Accent3 7 2 10" xfId="51831"/>
    <cellStyle name="40% - Accent3 7 2 2" xfId="3837"/>
    <cellStyle name="40% - Accent3 7 2 2 2" xfId="8399"/>
    <cellStyle name="40% - Accent3 7 2 2 2 2" xfId="16189"/>
    <cellStyle name="40% - Accent3 7 2 2 2 2 2" xfId="33810"/>
    <cellStyle name="40% - Accent3 7 2 2 2 3" xfId="26799"/>
    <cellStyle name="40% - Accent3 7 2 2 3" xfId="12545"/>
    <cellStyle name="40% - Accent3 7 2 2 3 2" xfId="30199"/>
    <cellStyle name="40% - Accent3 7 2 2 4" xfId="23938"/>
    <cellStyle name="40% - Accent3 7 2 3" xfId="5744"/>
    <cellStyle name="40% - Accent3 7 2 3 2" xfId="9041"/>
    <cellStyle name="40% - Accent3 7 2 3 2 2" xfId="16830"/>
    <cellStyle name="40% - Accent3 7 2 3 2 2 2" xfId="34452"/>
    <cellStyle name="40% - Accent3 7 2 3 2 3" xfId="27415"/>
    <cellStyle name="40% - Accent3 7 2 3 3" xfId="13594"/>
    <cellStyle name="40% - Accent3 7 2 3 3 2" xfId="31220"/>
    <cellStyle name="40% - Accent3 7 2 3 4" xfId="24554"/>
    <cellStyle name="40% - Accent3 7 2 4" xfId="6374"/>
    <cellStyle name="40% - Accent3 7 2 4 2" xfId="9581"/>
    <cellStyle name="40% - Accent3 7 2 4 2 2" xfId="17369"/>
    <cellStyle name="40% - Accent3 7 2 4 2 2 2" xfId="34992"/>
    <cellStyle name="40% - Accent3 7 2 4 2 3" xfId="27951"/>
    <cellStyle name="40% - Accent3 7 2 4 3" xfId="14157"/>
    <cellStyle name="40% - Accent3 7 2 4 3 2" xfId="31778"/>
    <cellStyle name="40% - Accent3 7 2 4 4" xfId="25090"/>
    <cellStyle name="40% - Accent3 7 2 5" xfId="6911"/>
    <cellStyle name="40% - Accent3 7 2 5 2" xfId="10118"/>
    <cellStyle name="40% - Accent3 7 2 5 2 2" xfId="17905"/>
    <cellStyle name="40% - Accent3 7 2 5 2 2 2" xfId="35528"/>
    <cellStyle name="40% - Accent3 7 2 5 2 3" xfId="28487"/>
    <cellStyle name="40% - Accent3 7 2 5 3" xfId="14693"/>
    <cellStyle name="40% - Accent3 7 2 5 3 2" xfId="32314"/>
    <cellStyle name="40% - Accent3 7 2 5 4" xfId="25627"/>
    <cellStyle name="40% - Accent3 7 2 6" xfId="7732"/>
    <cellStyle name="40% - Accent3 7 2 6 2" xfId="15523"/>
    <cellStyle name="40% - Accent3 7 2 6 2 2" xfId="33144"/>
    <cellStyle name="40% - Accent3 7 2 6 3" xfId="26151"/>
    <cellStyle name="40% - Accent3 7 2 7" xfId="11390"/>
    <cellStyle name="40% - Accent3 7 2 7 2" xfId="29098"/>
    <cellStyle name="40% - Accent3 7 2 8" xfId="22722"/>
    <cellStyle name="40% - Accent3 7 2 8 2" xfId="38918"/>
    <cellStyle name="40% - Accent3 7 2 9" xfId="23290"/>
    <cellStyle name="40% - Accent3 7 3" xfId="698"/>
    <cellStyle name="40% - Accent3 7 3 10" xfId="23291"/>
    <cellStyle name="40% - Accent3 7 3 11" xfId="51832"/>
    <cellStyle name="40% - Accent3 7 3 2" xfId="699"/>
    <cellStyle name="40% - Accent3 7 3 2 2" xfId="3839"/>
    <cellStyle name="40% - Accent3 7 3 2 2 2" xfId="8401"/>
    <cellStyle name="40% - Accent3 7 3 2 2 2 2" xfId="16191"/>
    <cellStyle name="40% - Accent3 7 3 2 2 2 2 2" xfId="33812"/>
    <cellStyle name="40% - Accent3 7 3 2 2 2 3" xfId="26801"/>
    <cellStyle name="40% - Accent3 7 3 2 2 3" xfId="12547"/>
    <cellStyle name="40% - Accent3 7 3 2 2 3 2" xfId="30201"/>
    <cellStyle name="40% - Accent3 7 3 2 2 4" xfId="23940"/>
    <cellStyle name="40% - Accent3 7 3 2 3" xfId="5746"/>
    <cellStyle name="40% - Accent3 7 3 2 3 2" xfId="9043"/>
    <cellStyle name="40% - Accent3 7 3 2 3 2 2" xfId="16832"/>
    <cellStyle name="40% - Accent3 7 3 2 3 2 2 2" xfId="34454"/>
    <cellStyle name="40% - Accent3 7 3 2 3 2 3" xfId="27417"/>
    <cellStyle name="40% - Accent3 7 3 2 3 3" xfId="13596"/>
    <cellStyle name="40% - Accent3 7 3 2 3 3 2" xfId="31222"/>
    <cellStyle name="40% - Accent3 7 3 2 3 4" xfId="24556"/>
    <cellStyle name="40% - Accent3 7 3 2 4" xfId="6376"/>
    <cellStyle name="40% - Accent3 7 3 2 4 2" xfId="9583"/>
    <cellStyle name="40% - Accent3 7 3 2 4 2 2" xfId="17371"/>
    <cellStyle name="40% - Accent3 7 3 2 4 2 2 2" xfId="34994"/>
    <cellStyle name="40% - Accent3 7 3 2 4 2 3" xfId="27953"/>
    <cellStyle name="40% - Accent3 7 3 2 4 3" xfId="14159"/>
    <cellStyle name="40% - Accent3 7 3 2 4 3 2" xfId="31780"/>
    <cellStyle name="40% - Accent3 7 3 2 4 4" xfId="25092"/>
    <cellStyle name="40% - Accent3 7 3 2 5" xfId="6913"/>
    <cellStyle name="40% - Accent3 7 3 2 5 2" xfId="10120"/>
    <cellStyle name="40% - Accent3 7 3 2 5 2 2" xfId="17907"/>
    <cellStyle name="40% - Accent3 7 3 2 5 2 2 2" xfId="35530"/>
    <cellStyle name="40% - Accent3 7 3 2 5 2 3" xfId="28489"/>
    <cellStyle name="40% - Accent3 7 3 2 5 3" xfId="14695"/>
    <cellStyle name="40% - Accent3 7 3 2 5 3 2" xfId="32316"/>
    <cellStyle name="40% - Accent3 7 3 2 5 4" xfId="25629"/>
    <cellStyle name="40% - Accent3 7 3 2 6" xfId="7734"/>
    <cellStyle name="40% - Accent3 7 3 2 6 2" xfId="15525"/>
    <cellStyle name="40% - Accent3 7 3 2 6 2 2" xfId="33146"/>
    <cellStyle name="40% - Accent3 7 3 2 6 3" xfId="26153"/>
    <cellStyle name="40% - Accent3 7 3 2 7" xfId="11392"/>
    <cellStyle name="40% - Accent3 7 3 2 7 2" xfId="29100"/>
    <cellStyle name="40% - Accent3 7 3 2 8" xfId="23292"/>
    <cellStyle name="40% - Accent3 7 3 2 9" xfId="51833"/>
    <cellStyle name="40% - Accent3 7 3 3" xfId="3840"/>
    <cellStyle name="40% - Accent3 7 3 3 2" xfId="5747"/>
    <cellStyle name="40% - Accent3 7 3 3 2 2" xfId="9044"/>
    <cellStyle name="40% - Accent3 7 3 3 2 2 2" xfId="16833"/>
    <cellStyle name="40% - Accent3 7 3 3 2 2 2 2" xfId="34455"/>
    <cellStyle name="40% - Accent3 7 3 3 2 2 3" xfId="27418"/>
    <cellStyle name="40% - Accent3 7 3 3 2 3" xfId="13597"/>
    <cellStyle name="40% - Accent3 7 3 3 2 3 2" xfId="31223"/>
    <cellStyle name="40% - Accent3 7 3 3 2 4" xfId="24557"/>
    <cellStyle name="40% - Accent3 7 3 3 3" xfId="6377"/>
    <cellStyle name="40% - Accent3 7 3 3 3 2" xfId="9584"/>
    <cellStyle name="40% - Accent3 7 3 3 3 2 2" xfId="17372"/>
    <cellStyle name="40% - Accent3 7 3 3 3 2 2 2" xfId="34995"/>
    <cellStyle name="40% - Accent3 7 3 3 3 2 3" xfId="27954"/>
    <cellStyle name="40% - Accent3 7 3 3 3 3" xfId="14160"/>
    <cellStyle name="40% - Accent3 7 3 3 3 3 2" xfId="31781"/>
    <cellStyle name="40% - Accent3 7 3 3 3 4" xfId="25093"/>
    <cellStyle name="40% - Accent3 7 3 3 4" xfId="6914"/>
    <cellStyle name="40% - Accent3 7 3 3 4 2" xfId="10121"/>
    <cellStyle name="40% - Accent3 7 3 3 4 2 2" xfId="17908"/>
    <cellStyle name="40% - Accent3 7 3 3 4 2 2 2" xfId="35531"/>
    <cellStyle name="40% - Accent3 7 3 3 4 2 3" xfId="28490"/>
    <cellStyle name="40% - Accent3 7 3 3 4 3" xfId="14696"/>
    <cellStyle name="40% - Accent3 7 3 3 4 3 2" xfId="32317"/>
    <cellStyle name="40% - Accent3 7 3 3 4 4" xfId="25630"/>
    <cellStyle name="40% - Accent3 7 3 3 5" xfId="8402"/>
    <cellStyle name="40% - Accent3 7 3 3 5 2" xfId="16192"/>
    <cellStyle name="40% - Accent3 7 3 3 5 2 2" xfId="33813"/>
    <cellStyle name="40% - Accent3 7 3 3 5 3" xfId="26802"/>
    <cellStyle name="40% - Accent3 7 3 3 6" xfId="12548"/>
    <cellStyle name="40% - Accent3 7 3 3 6 2" xfId="30202"/>
    <cellStyle name="40% - Accent3 7 3 3 7" xfId="23941"/>
    <cellStyle name="40% - Accent3 7 3 4" xfId="3838"/>
    <cellStyle name="40% - Accent3 7 3 4 2" xfId="8400"/>
    <cellStyle name="40% - Accent3 7 3 4 2 2" xfId="16190"/>
    <cellStyle name="40% - Accent3 7 3 4 2 2 2" xfId="33811"/>
    <cellStyle name="40% - Accent3 7 3 4 2 3" xfId="26800"/>
    <cellStyle name="40% - Accent3 7 3 4 3" xfId="12546"/>
    <cellStyle name="40% - Accent3 7 3 4 3 2" xfId="30200"/>
    <cellStyle name="40% - Accent3 7 3 4 4" xfId="23939"/>
    <cellStyle name="40% - Accent3 7 3 5" xfId="5745"/>
    <cellStyle name="40% - Accent3 7 3 5 2" xfId="9042"/>
    <cellStyle name="40% - Accent3 7 3 5 2 2" xfId="16831"/>
    <cellStyle name="40% - Accent3 7 3 5 2 2 2" xfId="34453"/>
    <cellStyle name="40% - Accent3 7 3 5 2 3" xfId="27416"/>
    <cellStyle name="40% - Accent3 7 3 5 3" xfId="13595"/>
    <cellStyle name="40% - Accent3 7 3 5 3 2" xfId="31221"/>
    <cellStyle name="40% - Accent3 7 3 5 4" xfId="24555"/>
    <cellStyle name="40% - Accent3 7 3 6" xfId="6375"/>
    <cellStyle name="40% - Accent3 7 3 6 2" xfId="9582"/>
    <cellStyle name="40% - Accent3 7 3 6 2 2" xfId="17370"/>
    <cellStyle name="40% - Accent3 7 3 6 2 2 2" xfId="34993"/>
    <cellStyle name="40% - Accent3 7 3 6 2 3" xfId="27952"/>
    <cellStyle name="40% - Accent3 7 3 6 3" xfId="14158"/>
    <cellStyle name="40% - Accent3 7 3 6 3 2" xfId="31779"/>
    <cellStyle name="40% - Accent3 7 3 6 4" xfId="25091"/>
    <cellStyle name="40% - Accent3 7 3 7" xfId="6912"/>
    <cellStyle name="40% - Accent3 7 3 7 2" xfId="10119"/>
    <cellStyle name="40% - Accent3 7 3 7 2 2" xfId="17906"/>
    <cellStyle name="40% - Accent3 7 3 7 2 2 2" xfId="35529"/>
    <cellStyle name="40% - Accent3 7 3 7 2 3" xfId="28488"/>
    <cellStyle name="40% - Accent3 7 3 7 3" xfId="14694"/>
    <cellStyle name="40% - Accent3 7 3 7 3 2" xfId="32315"/>
    <cellStyle name="40% - Accent3 7 3 7 4" xfId="25628"/>
    <cellStyle name="40% - Accent3 7 3 8" xfId="7733"/>
    <cellStyle name="40% - Accent3 7 3 8 2" xfId="15524"/>
    <cellStyle name="40% - Accent3 7 3 8 2 2" xfId="33145"/>
    <cellStyle name="40% - Accent3 7 3 8 3" xfId="26152"/>
    <cellStyle name="40% - Accent3 7 3 9" xfId="11391"/>
    <cellStyle name="40% - Accent3 7 3 9 2" xfId="29099"/>
    <cellStyle name="40% - Accent3 7 4" xfId="700"/>
    <cellStyle name="40% - Accent3 7 4 2" xfId="3841"/>
    <cellStyle name="40% - Accent3 7 4 2 2" xfId="8403"/>
    <cellStyle name="40% - Accent3 7 4 2 2 2" xfId="16193"/>
    <cellStyle name="40% - Accent3 7 4 2 2 2 2" xfId="33814"/>
    <cellStyle name="40% - Accent3 7 4 2 2 3" xfId="26803"/>
    <cellStyle name="40% - Accent3 7 4 2 3" xfId="12549"/>
    <cellStyle name="40% - Accent3 7 4 2 3 2" xfId="30203"/>
    <cellStyle name="40% - Accent3 7 4 2 4" xfId="23942"/>
    <cellStyle name="40% - Accent3 7 4 3" xfId="5748"/>
    <cellStyle name="40% - Accent3 7 4 3 2" xfId="9045"/>
    <cellStyle name="40% - Accent3 7 4 3 2 2" xfId="16834"/>
    <cellStyle name="40% - Accent3 7 4 3 2 2 2" xfId="34456"/>
    <cellStyle name="40% - Accent3 7 4 3 2 3" xfId="27419"/>
    <cellStyle name="40% - Accent3 7 4 3 3" xfId="13598"/>
    <cellStyle name="40% - Accent3 7 4 3 3 2" xfId="31224"/>
    <cellStyle name="40% - Accent3 7 4 3 4" xfId="24558"/>
    <cellStyle name="40% - Accent3 7 4 4" xfId="6378"/>
    <cellStyle name="40% - Accent3 7 4 4 2" xfId="9585"/>
    <cellStyle name="40% - Accent3 7 4 4 2 2" xfId="17373"/>
    <cellStyle name="40% - Accent3 7 4 4 2 2 2" xfId="34996"/>
    <cellStyle name="40% - Accent3 7 4 4 2 3" xfId="27955"/>
    <cellStyle name="40% - Accent3 7 4 4 3" xfId="14161"/>
    <cellStyle name="40% - Accent3 7 4 4 3 2" xfId="31782"/>
    <cellStyle name="40% - Accent3 7 4 4 4" xfId="25094"/>
    <cellStyle name="40% - Accent3 7 4 5" xfId="6915"/>
    <cellStyle name="40% - Accent3 7 4 5 2" xfId="10122"/>
    <cellStyle name="40% - Accent3 7 4 5 2 2" xfId="17909"/>
    <cellStyle name="40% - Accent3 7 4 5 2 2 2" xfId="35532"/>
    <cellStyle name="40% - Accent3 7 4 5 2 3" xfId="28491"/>
    <cellStyle name="40% - Accent3 7 4 5 3" xfId="14697"/>
    <cellStyle name="40% - Accent3 7 4 5 3 2" xfId="32318"/>
    <cellStyle name="40% - Accent3 7 4 5 4" xfId="25631"/>
    <cellStyle name="40% - Accent3 7 4 6" xfId="7735"/>
    <cellStyle name="40% - Accent3 7 4 6 2" xfId="15526"/>
    <cellStyle name="40% - Accent3 7 4 6 2 2" xfId="33147"/>
    <cellStyle name="40% - Accent3 7 4 6 3" xfId="26154"/>
    <cellStyle name="40% - Accent3 7 4 7" xfId="11393"/>
    <cellStyle name="40% - Accent3 7 4 7 2" xfId="29101"/>
    <cellStyle name="40% - Accent3 7 4 8" xfId="23293"/>
    <cellStyle name="40% - Accent3 7 4 9" xfId="51834"/>
    <cellStyle name="40% - Accent3 7 5" xfId="701"/>
    <cellStyle name="40% - Accent3 7 5 2" xfId="3842"/>
    <cellStyle name="40% - Accent3 7 5 2 2" xfId="8404"/>
    <cellStyle name="40% - Accent3 7 5 2 2 2" xfId="16194"/>
    <cellStyle name="40% - Accent3 7 5 2 2 2 2" xfId="33815"/>
    <cellStyle name="40% - Accent3 7 5 2 2 3" xfId="26804"/>
    <cellStyle name="40% - Accent3 7 5 2 3" xfId="12550"/>
    <cellStyle name="40% - Accent3 7 5 2 3 2" xfId="30204"/>
    <cellStyle name="40% - Accent3 7 5 2 4" xfId="23943"/>
    <cellStyle name="40% - Accent3 7 5 3" xfId="5749"/>
    <cellStyle name="40% - Accent3 7 5 3 2" xfId="9046"/>
    <cellStyle name="40% - Accent3 7 5 3 2 2" xfId="16835"/>
    <cellStyle name="40% - Accent3 7 5 3 2 2 2" xfId="34457"/>
    <cellStyle name="40% - Accent3 7 5 3 2 3" xfId="27420"/>
    <cellStyle name="40% - Accent3 7 5 3 3" xfId="13599"/>
    <cellStyle name="40% - Accent3 7 5 3 3 2" xfId="31225"/>
    <cellStyle name="40% - Accent3 7 5 3 4" xfId="24559"/>
    <cellStyle name="40% - Accent3 7 5 4" xfId="6379"/>
    <cellStyle name="40% - Accent3 7 5 4 2" xfId="9586"/>
    <cellStyle name="40% - Accent3 7 5 4 2 2" xfId="17374"/>
    <cellStyle name="40% - Accent3 7 5 4 2 2 2" xfId="34997"/>
    <cellStyle name="40% - Accent3 7 5 4 2 3" xfId="27956"/>
    <cellStyle name="40% - Accent3 7 5 4 3" xfId="14162"/>
    <cellStyle name="40% - Accent3 7 5 4 3 2" xfId="31783"/>
    <cellStyle name="40% - Accent3 7 5 4 4" xfId="25095"/>
    <cellStyle name="40% - Accent3 7 5 5" xfId="6916"/>
    <cellStyle name="40% - Accent3 7 5 5 2" xfId="10123"/>
    <cellStyle name="40% - Accent3 7 5 5 2 2" xfId="17910"/>
    <cellStyle name="40% - Accent3 7 5 5 2 2 2" xfId="35533"/>
    <cellStyle name="40% - Accent3 7 5 5 2 3" xfId="28492"/>
    <cellStyle name="40% - Accent3 7 5 5 3" xfId="14698"/>
    <cellStyle name="40% - Accent3 7 5 5 3 2" xfId="32319"/>
    <cellStyle name="40% - Accent3 7 5 5 4" xfId="25632"/>
    <cellStyle name="40% - Accent3 7 5 6" xfId="7736"/>
    <cellStyle name="40% - Accent3 7 5 6 2" xfId="15527"/>
    <cellStyle name="40% - Accent3 7 5 6 2 2" xfId="33148"/>
    <cellStyle name="40% - Accent3 7 5 6 3" xfId="26155"/>
    <cellStyle name="40% - Accent3 7 5 7" xfId="11394"/>
    <cellStyle name="40% - Accent3 7 5 7 2" xfId="29102"/>
    <cellStyle name="40% - Accent3 7 5 8" xfId="23294"/>
    <cellStyle name="40% - Accent3 7 5 9" xfId="51835"/>
    <cellStyle name="40% - Accent3 7 6" xfId="702"/>
    <cellStyle name="40% - Accent3 7 6 2" xfId="3843"/>
    <cellStyle name="40% - Accent3 7 6 2 2" xfId="8405"/>
    <cellStyle name="40% - Accent3 7 6 2 2 2" xfId="16195"/>
    <cellStyle name="40% - Accent3 7 6 2 2 2 2" xfId="33816"/>
    <cellStyle name="40% - Accent3 7 6 2 2 3" xfId="26805"/>
    <cellStyle name="40% - Accent3 7 6 2 3" xfId="12551"/>
    <cellStyle name="40% - Accent3 7 6 2 3 2" xfId="30205"/>
    <cellStyle name="40% - Accent3 7 6 2 4" xfId="23944"/>
    <cellStyle name="40% - Accent3 7 6 3" xfId="5750"/>
    <cellStyle name="40% - Accent3 7 6 3 2" xfId="9047"/>
    <cellStyle name="40% - Accent3 7 6 3 2 2" xfId="16836"/>
    <cellStyle name="40% - Accent3 7 6 3 2 2 2" xfId="34458"/>
    <cellStyle name="40% - Accent3 7 6 3 2 3" xfId="27421"/>
    <cellStyle name="40% - Accent3 7 6 3 3" xfId="13600"/>
    <cellStyle name="40% - Accent3 7 6 3 3 2" xfId="31226"/>
    <cellStyle name="40% - Accent3 7 6 3 4" xfId="24560"/>
    <cellStyle name="40% - Accent3 7 6 4" xfId="6380"/>
    <cellStyle name="40% - Accent3 7 6 4 2" xfId="9587"/>
    <cellStyle name="40% - Accent3 7 6 4 2 2" xfId="17375"/>
    <cellStyle name="40% - Accent3 7 6 4 2 2 2" xfId="34998"/>
    <cellStyle name="40% - Accent3 7 6 4 2 3" xfId="27957"/>
    <cellStyle name="40% - Accent3 7 6 4 3" xfId="14163"/>
    <cellStyle name="40% - Accent3 7 6 4 3 2" xfId="31784"/>
    <cellStyle name="40% - Accent3 7 6 4 4" xfId="25096"/>
    <cellStyle name="40% - Accent3 7 6 5" xfId="6917"/>
    <cellStyle name="40% - Accent3 7 6 5 2" xfId="10124"/>
    <cellStyle name="40% - Accent3 7 6 5 2 2" xfId="17911"/>
    <cellStyle name="40% - Accent3 7 6 5 2 2 2" xfId="35534"/>
    <cellStyle name="40% - Accent3 7 6 5 2 3" xfId="28493"/>
    <cellStyle name="40% - Accent3 7 6 5 3" xfId="14699"/>
    <cellStyle name="40% - Accent3 7 6 5 3 2" xfId="32320"/>
    <cellStyle name="40% - Accent3 7 6 5 4" xfId="25633"/>
    <cellStyle name="40% - Accent3 7 6 6" xfId="7737"/>
    <cellStyle name="40% - Accent3 7 6 6 2" xfId="15528"/>
    <cellStyle name="40% - Accent3 7 6 6 2 2" xfId="33149"/>
    <cellStyle name="40% - Accent3 7 6 6 3" xfId="26156"/>
    <cellStyle name="40% - Accent3 7 6 7" xfId="11395"/>
    <cellStyle name="40% - Accent3 7 6 7 2" xfId="29103"/>
    <cellStyle name="40% - Accent3 7 6 8" xfId="23295"/>
    <cellStyle name="40% - Accent3 7 6 9" xfId="51836"/>
    <cellStyle name="40% - Accent3 7 7" xfId="703"/>
    <cellStyle name="40% - Accent3 7 7 10" xfId="51837"/>
    <cellStyle name="40% - Accent3 7 7 2" xfId="704"/>
    <cellStyle name="40% - Accent3 7 7 2 2" xfId="8407"/>
    <cellStyle name="40% - Accent3 7 7 2 2 2" xfId="16197"/>
    <cellStyle name="40% - Accent3 7 7 2 2 2 2" xfId="33818"/>
    <cellStyle name="40% - Accent3 7 7 2 2 3" xfId="26807"/>
    <cellStyle name="40% - Accent3 7 7 2 3" xfId="12553"/>
    <cellStyle name="40% - Accent3 7 7 2 3 2" xfId="30207"/>
    <cellStyle name="40% - Accent3 7 7 2 4" xfId="23946"/>
    <cellStyle name="40% - Accent3 7 7 3" xfId="3844"/>
    <cellStyle name="40% - Accent3 7 7 3 2" xfId="8406"/>
    <cellStyle name="40% - Accent3 7 7 3 2 2" xfId="16196"/>
    <cellStyle name="40% - Accent3 7 7 3 2 2 2" xfId="33817"/>
    <cellStyle name="40% - Accent3 7 7 3 2 3" xfId="26806"/>
    <cellStyle name="40% - Accent3 7 7 3 3" xfId="12552"/>
    <cellStyle name="40% - Accent3 7 7 3 3 2" xfId="30206"/>
    <cellStyle name="40% - Accent3 7 7 3 4" xfId="23945"/>
    <cellStyle name="40% - Accent3 7 7 4" xfId="5751"/>
    <cellStyle name="40% - Accent3 7 7 4 2" xfId="9048"/>
    <cellStyle name="40% - Accent3 7 7 4 2 2" xfId="16837"/>
    <cellStyle name="40% - Accent3 7 7 4 2 2 2" xfId="34459"/>
    <cellStyle name="40% - Accent3 7 7 4 2 3" xfId="27422"/>
    <cellStyle name="40% - Accent3 7 7 4 3" xfId="13601"/>
    <cellStyle name="40% - Accent3 7 7 4 3 2" xfId="31227"/>
    <cellStyle name="40% - Accent3 7 7 4 4" xfId="24561"/>
    <cellStyle name="40% - Accent3 7 7 5" xfId="6381"/>
    <cellStyle name="40% - Accent3 7 7 5 2" xfId="9588"/>
    <cellStyle name="40% - Accent3 7 7 5 2 2" xfId="17376"/>
    <cellStyle name="40% - Accent3 7 7 5 2 2 2" xfId="34999"/>
    <cellStyle name="40% - Accent3 7 7 5 2 3" xfId="27958"/>
    <cellStyle name="40% - Accent3 7 7 5 3" xfId="14164"/>
    <cellStyle name="40% - Accent3 7 7 5 3 2" xfId="31785"/>
    <cellStyle name="40% - Accent3 7 7 5 4" xfId="25097"/>
    <cellStyle name="40% - Accent3 7 7 6" xfId="6918"/>
    <cellStyle name="40% - Accent3 7 7 6 2" xfId="10125"/>
    <cellStyle name="40% - Accent3 7 7 6 2 2" xfId="17912"/>
    <cellStyle name="40% - Accent3 7 7 6 2 2 2" xfId="35535"/>
    <cellStyle name="40% - Accent3 7 7 6 2 3" xfId="28494"/>
    <cellStyle name="40% - Accent3 7 7 6 3" xfId="14700"/>
    <cellStyle name="40% - Accent3 7 7 6 3 2" xfId="32321"/>
    <cellStyle name="40% - Accent3 7 7 6 4" xfId="25634"/>
    <cellStyle name="40% - Accent3 7 7 7" xfId="7738"/>
    <cellStyle name="40% - Accent3 7 7 7 2" xfId="15529"/>
    <cellStyle name="40% - Accent3 7 7 7 2 2" xfId="33150"/>
    <cellStyle name="40% - Accent3 7 7 7 3" xfId="26157"/>
    <cellStyle name="40% - Accent3 7 7 8" xfId="11396"/>
    <cellStyle name="40% - Accent3 7 7 8 2" xfId="29104"/>
    <cellStyle name="40% - Accent3 7 7 9" xfId="23296"/>
    <cellStyle name="40% - Accent3 7 8" xfId="3845"/>
    <cellStyle name="40% - Accent3 7 8 2" xfId="8408"/>
    <cellStyle name="40% - Accent3 7 8 2 2" xfId="16198"/>
    <cellStyle name="40% - Accent3 7 8 2 2 2" xfId="33819"/>
    <cellStyle name="40% - Accent3 7 8 2 3" xfId="26808"/>
    <cellStyle name="40% - Accent3 7 8 3" xfId="12554"/>
    <cellStyle name="40% - Accent3 7 8 3 2" xfId="30208"/>
    <cellStyle name="40% - Accent3 7 8 4" xfId="23947"/>
    <cellStyle name="40% - Accent3 7 9" xfId="3846"/>
    <cellStyle name="40% - Accent3 7 9 2" xfId="8409"/>
    <cellStyle name="40% - Accent3 7 9 2 2" xfId="16199"/>
    <cellStyle name="40% - Accent3 7 9 2 2 2" xfId="33820"/>
    <cellStyle name="40% - Accent3 7 9 2 3" xfId="26809"/>
    <cellStyle name="40% - Accent3 7 9 3" xfId="12555"/>
    <cellStyle name="40% - Accent3 7 9 3 2" xfId="30209"/>
    <cellStyle name="40% - Accent3 7 9 4" xfId="23948"/>
    <cellStyle name="40% - Accent3 8" xfId="705"/>
    <cellStyle name="40% - Accent3 8 10" xfId="3847"/>
    <cellStyle name="40% - Accent3 8 10 2" xfId="8410"/>
    <cellStyle name="40% - Accent3 8 10 2 2" xfId="16200"/>
    <cellStyle name="40% - Accent3 8 10 2 2 2" xfId="33821"/>
    <cellStyle name="40% - Accent3 8 10 2 3" xfId="26810"/>
    <cellStyle name="40% - Accent3 8 10 3" xfId="12556"/>
    <cellStyle name="40% - Accent3 8 10 3 2" xfId="30210"/>
    <cellStyle name="40% - Accent3 8 10 4" xfId="23949"/>
    <cellStyle name="40% - Accent3 8 11" xfId="5752"/>
    <cellStyle name="40% - Accent3 8 11 2" xfId="9049"/>
    <cellStyle name="40% - Accent3 8 11 2 2" xfId="16838"/>
    <cellStyle name="40% - Accent3 8 11 2 2 2" xfId="34460"/>
    <cellStyle name="40% - Accent3 8 11 2 3" xfId="27423"/>
    <cellStyle name="40% - Accent3 8 11 3" xfId="13602"/>
    <cellStyle name="40% - Accent3 8 11 3 2" xfId="31228"/>
    <cellStyle name="40% - Accent3 8 11 4" xfId="24562"/>
    <cellStyle name="40% - Accent3 8 12" xfId="6382"/>
    <cellStyle name="40% - Accent3 8 12 2" xfId="9589"/>
    <cellStyle name="40% - Accent3 8 12 2 2" xfId="17377"/>
    <cellStyle name="40% - Accent3 8 12 2 2 2" xfId="35000"/>
    <cellStyle name="40% - Accent3 8 12 2 3" xfId="27959"/>
    <cellStyle name="40% - Accent3 8 12 3" xfId="14165"/>
    <cellStyle name="40% - Accent3 8 12 3 2" xfId="31786"/>
    <cellStyle name="40% - Accent3 8 12 4" xfId="25098"/>
    <cellStyle name="40% - Accent3 8 13" xfId="6919"/>
    <cellStyle name="40% - Accent3 8 13 2" xfId="10126"/>
    <cellStyle name="40% - Accent3 8 13 2 2" xfId="17913"/>
    <cellStyle name="40% - Accent3 8 13 2 2 2" xfId="35536"/>
    <cellStyle name="40% - Accent3 8 13 2 3" xfId="28495"/>
    <cellStyle name="40% - Accent3 8 13 3" xfId="14701"/>
    <cellStyle name="40% - Accent3 8 13 3 2" xfId="32322"/>
    <cellStyle name="40% - Accent3 8 13 4" xfId="25635"/>
    <cellStyle name="40% - Accent3 8 14" xfId="7739"/>
    <cellStyle name="40% - Accent3 8 14 2" xfId="15530"/>
    <cellStyle name="40% - Accent3 8 14 2 2" xfId="33151"/>
    <cellStyle name="40% - Accent3 8 14 3" xfId="26158"/>
    <cellStyle name="40% - Accent3 8 15" xfId="11397"/>
    <cellStyle name="40% - Accent3 8 15 2" xfId="29105"/>
    <cellStyle name="40% - Accent3 8 16" xfId="22113"/>
    <cellStyle name="40% - Accent3 8 16 2" xfId="38780"/>
    <cellStyle name="40% - Accent3 8 17" xfId="23297"/>
    <cellStyle name="40% - Accent3 8 18" xfId="51838"/>
    <cellStyle name="40% - Accent3 8 2" xfId="706"/>
    <cellStyle name="40% - Accent3 8 2 10" xfId="51839"/>
    <cellStyle name="40% - Accent3 8 2 2" xfId="3848"/>
    <cellStyle name="40% - Accent3 8 2 2 2" xfId="8411"/>
    <cellStyle name="40% - Accent3 8 2 2 2 2" xfId="16201"/>
    <cellStyle name="40% - Accent3 8 2 2 2 2 2" xfId="33822"/>
    <cellStyle name="40% - Accent3 8 2 2 2 3" xfId="26811"/>
    <cellStyle name="40% - Accent3 8 2 2 3" xfId="12557"/>
    <cellStyle name="40% - Accent3 8 2 2 3 2" xfId="30211"/>
    <cellStyle name="40% - Accent3 8 2 2 4" xfId="22724"/>
    <cellStyle name="40% - Accent3 8 2 2 4 2" xfId="38920"/>
    <cellStyle name="40% - Accent3 8 2 2 5" xfId="23950"/>
    <cellStyle name="40% - Accent3 8 2 3" xfId="5753"/>
    <cellStyle name="40% - Accent3 8 2 3 2" xfId="9050"/>
    <cellStyle name="40% - Accent3 8 2 3 2 2" xfId="16839"/>
    <cellStyle name="40% - Accent3 8 2 3 2 2 2" xfId="34461"/>
    <cellStyle name="40% - Accent3 8 2 3 2 3" xfId="27424"/>
    <cellStyle name="40% - Accent3 8 2 3 3" xfId="13603"/>
    <cellStyle name="40% - Accent3 8 2 3 3 2" xfId="31229"/>
    <cellStyle name="40% - Accent3 8 2 3 4" xfId="24563"/>
    <cellStyle name="40% - Accent3 8 2 4" xfId="6383"/>
    <cellStyle name="40% - Accent3 8 2 4 2" xfId="9590"/>
    <cellStyle name="40% - Accent3 8 2 4 2 2" xfId="17378"/>
    <cellStyle name="40% - Accent3 8 2 4 2 2 2" xfId="35001"/>
    <cellStyle name="40% - Accent3 8 2 4 2 3" xfId="27960"/>
    <cellStyle name="40% - Accent3 8 2 4 3" xfId="14166"/>
    <cellStyle name="40% - Accent3 8 2 4 3 2" xfId="31787"/>
    <cellStyle name="40% - Accent3 8 2 4 4" xfId="25099"/>
    <cellStyle name="40% - Accent3 8 2 5" xfId="6920"/>
    <cellStyle name="40% - Accent3 8 2 5 2" xfId="10127"/>
    <cellStyle name="40% - Accent3 8 2 5 2 2" xfId="17914"/>
    <cellStyle name="40% - Accent3 8 2 5 2 2 2" xfId="35537"/>
    <cellStyle name="40% - Accent3 8 2 5 2 3" xfId="28496"/>
    <cellStyle name="40% - Accent3 8 2 5 3" xfId="14702"/>
    <cellStyle name="40% - Accent3 8 2 5 3 2" xfId="32323"/>
    <cellStyle name="40% - Accent3 8 2 5 4" xfId="25636"/>
    <cellStyle name="40% - Accent3 8 2 6" xfId="7740"/>
    <cellStyle name="40% - Accent3 8 2 6 2" xfId="15531"/>
    <cellStyle name="40% - Accent3 8 2 6 2 2" xfId="33152"/>
    <cellStyle name="40% - Accent3 8 2 6 3" xfId="26159"/>
    <cellStyle name="40% - Accent3 8 2 7" xfId="11398"/>
    <cellStyle name="40% - Accent3 8 2 7 2" xfId="29106"/>
    <cellStyle name="40% - Accent3 8 2 8" xfId="22114"/>
    <cellStyle name="40% - Accent3 8 2 8 2" xfId="38781"/>
    <cellStyle name="40% - Accent3 8 2 9" xfId="23298"/>
    <cellStyle name="40% - Accent3 8 3" xfId="707"/>
    <cellStyle name="40% - Accent3 8 3 10" xfId="22723"/>
    <cellStyle name="40% - Accent3 8 3 10 2" xfId="38919"/>
    <cellStyle name="40% - Accent3 8 3 11" xfId="23299"/>
    <cellStyle name="40% - Accent3 8 3 12" xfId="51840"/>
    <cellStyle name="40% - Accent3 8 3 2" xfId="708"/>
    <cellStyle name="40% - Accent3 8 3 2 2" xfId="3850"/>
    <cellStyle name="40% - Accent3 8 3 2 2 2" xfId="8413"/>
    <cellStyle name="40% - Accent3 8 3 2 2 2 2" xfId="16203"/>
    <cellStyle name="40% - Accent3 8 3 2 2 2 2 2" xfId="33824"/>
    <cellStyle name="40% - Accent3 8 3 2 2 2 3" xfId="26813"/>
    <cellStyle name="40% - Accent3 8 3 2 2 3" xfId="12559"/>
    <cellStyle name="40% - Accent3 8 3 2 2 3 2" xfId="30213"/>
    <cellStyle name="40% - Accent3 8 3 2 2 4" xfId="23952"/>
    <cellStyle name="40% - Accent3 8 3 2 3" xfId="5755"/>
    <cellStyle name="40% - Accent3 8 3 2 3 2" xfId="9052"/>
    <cellStyle name="40% - Accent3 8 3 2 3 2 2" xfId="16841"/>
    <cellStyle name="40% - Accent3 8 3 2 3 2 2 2" xfId="34463"/>
    <cellStyle name="40% - Accent3 8 3 2 3 2 3" xfId="27426"/>
    <cellStyle name="40% - Accent3 8 3 2 3 3" xfId="13605"/>
    <cellStyle name="40% - Accent3 8 3 2 3 3 2" xfId="31231"/>
    <cellStyle name="40% - Accent3 8 3 2 3 4" xfId="24565"/>
    <cellStyle name="40% - Accent3 8 3 2 4" xfId="6385"/>
    <cellStyle name="40% - Accent3 8 3 2 4 2" xfId="9592"/>
    <cellStyle name="40% - Accent3 8 3 2 4 2 2" xfId="17380"/>
    <cellStyle name="40% - Accent3 8 3 2 4 2 2 2" xfId="35003"/>
    <cellStyle name="40% - Accent3 8 3 2 4 2 3" xfId="27962"/>
    <cellStyle name="40% - Accent3 8 3 2 4 3" xfId="14168"/>
    <cellStyle name="40% - Accent3 8 3 2 4 3 2" xfId="31789"/>
    <cellStyle name="40% - Accent3 8 3 2 4 4" xfId="25101"/>
    <cellStyle name="40% - Accent3 8 3 2 5" xfId="6922"/>
    <cellStyle name="40% - Accent3 8 3 2 5 2" xfId="10129"/>
    <cellStyle name="40% - Accent3 8 3 2 5 2 2" xfId="17916"/>
    <cellStyle name="40% - Accent3 8 3 2 5 2 2 2" xfId="35539"/>
    <cellStyle name="40% - Accent3 8 3 2 5 2 3" xfId="28498"/>
    <cellStyle name="40% - Accent3 8 3 2 5 3" xfId="14704"/>
    <cellStyle name="40% - Accent3 8 3 2 5 3 2" xfId="32325"/>
    <cellStyle name="40% - Accent3 8 3 2 5 4" xfId="25638"/>
    <cellStyle name="40% - Accent3 8 3 2 6" xfId="7742"/>
    <cellStyle name="40% - Accent3 8 3 2 6 2" xfId="15533"/>
    <cellStyle name="40% - Accent3 8 3 2 6 2 2" xfId="33154"/>
    <cellStyle name="40% - Accent3 8 3 2 6 3" xfId="26161"/>
    <cellStyle name="40% - Accent3 8 3 2 7" xfId="11400"/>
    <cellStyle name="40% - Accent3 8 3 2 7 2" xfId="29108"/>
    <cellStyle name="40% - Accent3 8 3 2 8" xfId="23300"/>
    <cellStyle name="40% - Accent3 8 3 2 9" xfId="51841"/>
    <cellStyle name="40% - Accent3 8 3 3" xfId="3851"/>
    <cellStyle name="40% - Accent3 8 3 3 2" xfId="5756"/>
    <cellStyle name="40% - Accent3 8 3 3 2 2" xfId="9053"/>
    <cellStyle name="40% - Accent3 8 3 3 2 2 2" xfId="16842"/>
    <cellStyle name="40% - Accent3 8 3 3 2 2 2 2" xfId="34464"/>
    <cellStyle name="40% - Accent3 8 3 3 2 2 3" xfId="27427"/>
    <cellStyle name="40% - Accent3 8 3 3 2 3" xfId="13606"/>
    <cellStyle name="40% - Accent3 8 3 3 2 3 2" xfId="31232"/>
    <cellStyle name="40% - Accent3 8 3 3 2 4" xfId="24566"/>
    <cellStyle name="40% - Accent3 8 3 3 3" xfId="6386"/>
    <cellStyle name="40% - Accent3 8 3 3 3 2" xfId="9593"/>
    <cellStyle name="40% - Accent3 8 3 3 3 2 2" xfId="17381"/>
    <cellStyle name="40% - Accent3 8 3 3 3 2 2 2" xfId="35004"/>
    <cellStyle name="40% - Accent3 8 3 3 3 2 3" xfId="27963"/>
    <cellStyle name="40% - Accent3 8 3 3 3 3" xfId="14169"/>
    <cellStyle name="40% - Accent3 8 3 3 3 3 2" xfId="31790"/>
    <cellStyle name="40% - Accent3 8 3 3 3 4" xfId="25102"/>
    <cellStyle name="40% - Accent3 8 3 3 4" xfId="6923"/>
    <cellStyle name="40% - Accent3 8 3 3 4 2" xfId="10130"/>
    <cellStyle name="40% - Accent3 8 3 3 4 2 2" xfId="17917"/>
    <cellStyle name="40% - Accent3 8 3 3 4 2 2 2" xfId="35540"/>
    <cellStyle name="40% - Accent3 8 3 3 4 2 3" xfId="28499"/>
    <cellStyle name="40% - Accent3 8 3 3 4 3" xfId="14705"/>
    <cellStyle name="40% - Accent3 8 3 3 4 3 2" xfId="32326"/>
    <cellStyle name="40% - Accent3 8 3 3 4 4" xfId="25639"/>
    <cellStyle name="40% - Accent3 8 3 3 5" xfId="8414"/>
    <cellStyle name="40% - Accent3 8 3 3 5 2" xfId="16204"/>
    <cellStyle name="40% - Accent3 8 3 3 5 2 2" xfId="33825"/>
    <cellStyle name="40% - Accent3 8 3 3 5 3" xfId="26814"/>
    <cellStyle name="40% - Accent3 8 3 3 6" xfId="12560"/>
    <cellStyle name="40% - Accent3 8 3 3 6 2" xfId="30214"/>
    <cellStyle name="40% - Accent3 8 3 3 7" xfId="23953"/>
    <cellStyle name="40% - Accent3 8 3 4" xfId="3849"/>
    <cellStyle name="40% - Accent3 8 3 4 2" xfId="8412"/>
    <cellStyle name="40% - Accent3 8 3 4 2 2" xfId="16202"/>
    <cellStyle name="40% - Accent3 8 3 4 2 2 2" xfId="33823"/>
    <cellStyle name="40% - Accent3 8 3 4 2 3" xfId="26812"/>
    <cellStyle name="40% - Accent3 8 3 4 3" xfId="12558"/>
    <cellStyle name="40% - Accent3 8 3 4 3 2" xfId="30212"/>
    <cellStyle name="40% - Accent3 8 3 4 4" xfId="23951"/>
    <cellStyle name="40% - Accent3 8 3 5" xfId="5754"/>
    <cellStyle name="40% - Accent3 8 3 5 2" xfId="9051"/>
    <cellStyle name="40% - Accent3 8 3 5 2 2" xfId="16840"/>
    <cellStyle name="40% - Accent3 8 3 5 2 2 2" xfId="34462"/>
    <cellStyle name="40% - Accent3 8 3 5 2 3" xfId="27425"/>
    <cellStyle name="40% - Accent3 8 3 5 3" xfId="13604"/>
    <cellStyle name="40% - Accent3 8 3 5 3 2" xfId="31230"/>
    <cellStyle name="40% - Accent3 8 3 5 4" xfId="24564"/>
    <cellStyle name="40% - Accent3 8 3 6" xfId="6384"/>
    <cellStyle name="40% - Accent3 8 3 6 2" xfId="9591"/>
    <cellStyle name="40% - Accent3 8 3 6 2 2" xfId="17379"/>
    <cellStyle name="40% - Accent3 8 3 6 2 2 2" xfId="35002"/>
    <cellStyle name="40% - Accent3 8 3 6 2 3" xfId="27961"/>
    <cellStyle name="40% - Accent3 8 3 6 3" xfId="14167"/>
    <cellStyle name="40% - Accent3 8 3 6 3 2" xfId="31788"/>
    <cellStyle name="40% - Accent3 8 3 6 4" xfId="25100"/>
    <cellStyle name="40% - Accent3 8 3 7" xfId="6921"/>
    <cellStyle name="40% - Accent3 8 3 7 2" xfId="10128"/>
    <cellStyle name="40% - Accent3 8 3 7 2 2" xfId="17915"/>
    <cellStyle name="40% - Accent3 8 3 7 2 2 2" xfId="35538"/>
    <cellStyle name="40% - Accent3 8 3 7 2 3" xfId="28497"/>
    <cellStyle name="40% - Accent3 8 3 7 3" xfId="14703"/>
    <cellStyle name="40% - Accent3 8 3 7 3 2" xfId="32324"/>
    <cellStyle name="40% - Accent3 8 3 7 4" xfId="25637"/>
    <cellStyle name="40% - Accent3 8 3 8" xfId="7741"/>
    <cellStyle name="40% - Accent3 8 3 8 2" xfId="15532"/>
    <cellStyle name="40% - Accent3 8 3 8 2 2" xfId="33153"/>
    <cellStyle name="40% - Accent3 8 3 8 3" xfId="26160"/>
    <cellStyle name="40% - Accent3 8 3 9" xfId="11399"/>
    <cellStyle name="40% - Accent3 8 3 9 2" xfId="29107"/>
    <cellStyle name="40% - Accent3 8 4" xfId="709"/>
    <cellStyle name="40% - Accent3 8 4 2" xfId="3852"/>
    <cellStyle name="40% - Accent3 8 4 2 2" xfId="8415"/>
    <cellStyle name="40% - Accent3 8 4 2 2 2" xfId="16205"/>
    <cellStyle name="40% - Accent3 8 4 2 2 2 2" xfId="33826"/>
    <cellStyle name="40% - Accent3 8 4 2 2 3" xfId="26815"/>
    <cellStyle name="40% - Accent3 8 4 2 3" xfId="12561"/>
    <cellStyle name="40% - Accent3 8 4 2 3 2" xfId="30215"/>
    <cellStyle name="40% - Accent3 8 4 2 4" xfId="23954"/>
    <cellStyle name="40% - Accent3 8 4 3" xfId="5757"/>
    <cellStyle name="40% - Accent3 8 4 3 2" xfId="9054"/>
    <cellStyle name="40% - Accent3 8 4 3 2 2" xfId="16843"/>
    <cellStyle name="40% - Accent3 8 4 3 2 2 2" xfId="34465"/>
    <cellStyle name="40% - Accent3 8 4 3 2 3" xfId="27428"/>
    <cellStyle name="40% - Accent3 8 4 3 3" xfId="13607"/>
    <cellStyle name="40% - Accent3 8 4 3 3 2" xfId="31233"/>
    <cellStyle name="40% - Accent3 8 4 3 4" xfId="24567"/>
    <cellStyle name="40% - Accent3 8 4 4" xfId="6387"/>
    <cellStyle name="40% - Accent3 8 4 4 2" xfId="9594"/>
    <cellStyle name="40% - Accent3 8 4 4 2 2" xfId="17382"/>
    <cellStyle name="40% - Accent3 8 4 4 2 2 2" xfId="35005"/>
    <cellStyle name="40% - Accent3 8 4 4 2 3" xfId="27964"/>
    <cellStyle name="40% - Accent3 8 4 4 3" xfId="14170"/>
    <cellStyle name="40% - Accent3 8 4 4 3 2" xfId="31791"/>
    <cellStyle name="40% - Accent3 8 4 4 4" xfId="25103"/>
    <cellStyle name="40% - Accent3 8 4 5" xfId="6924"/>
    <cellStyle name="40% - Accent3 8 4 5 2" xfId="10131"/>
    <cellStyle name="40% - Accent3 8 4 5 2 2" xfId="17918"/>
    <cellStyle name="40% - Accent3 8 4 5 2 2 2" xfId="35541"/>
    <cellStyle name="40% - Accent3 8 4 5 2 3" xfId="28500"/>
    <cellStyle name="40% - Accent3 8 4 5 3" xfId="14706"/>
    <cellStyle name="40% - Accent3 8 4 5 3 2" xfId="32327"/>
    <cellStyle name="40% - Accent3 8 4 5 4" xfId="25640"/>
    <cellStyle name="40% - Accent3 8 4 6" xfId="7743"/>
    <cellStyle name="40% - Accent3 8 4 6 2" xfId="15534"/>
    <cellStyle name="40% - Accent3 8 4 6 2 2" xfId="33155"/>
    <cellStyle name="40% - Accent3 8 4 6 3" xfId="26162"/>
    <cellStyle name="40% - Accent3 8 4 7" xfId="11401"/>
    <cellStyle name="40% - Accent3 8 4 7 2" xfId="29109"/>
    <cellStyle name="40% - Accent3 8 4 8" xfId="23301"/>
    <cellStyle name="40% - Accent3 8 4 9" xfId="51842"/>
    <cellStyle name="40% - Accent3 8 5" xfId="710"/>
    <cellStyle name="40% - Accent3 8 5 2" xfId="3853"/>
    <cellStyle name="40% - Accent3 8 5 2 2" xfId="8416"/>
    <cellStyle name="40% - Accent3 8 5 2 2 2" xfId="16206"/>
    <cellStyle name="40% - Accent3 8 5 2 2 2 2" xfId="33827"/>
    <cellStyle name="40% - Accent3 8 5 2 2 3" xfId="26816"/>
    <cellStyle name="40% - Accent3 8 5 2 3" xfId="12562"/>
    <cellStyle name="40% - Accent3 8 5 2 3 2" xfId="30216"/>
    <cellStyle name="40% - Accent3 8 5 2 4" xfId="23955"/>
    <cellStyle name="40% - Accent3 8 5 3" xfId="5758"/>
    <cellStyle name="40% - Accent3 8 5 3 2" xfId="9055"/>
    <cellStyle name="40% - Accent3 8 5 3 2 2" xfId="16844"/>
    <cellStyle name="40% - Accent3 8 5 3 2 2 2" xfId="34466"/>
    <cellStyle name="40% - Accent3 8 5 3 2 3" xfId="27429"/>
    <cellStyle name="40% - Accent3 8 5 3 3" xfId="13608"/>
    <cellStyle name="40% - Accent3 8 5 3 3 2" xfId="31234"/>
    <cellStyle name="40% - Accent3 8 5 3 4" xfId="24568"/>
    <cellStyle name="40% - Accent3 8 5 4" xfId="6388"/>
    <cellStyle name="40% - Accent3 8 5 4 2" xfId="9595"/>
    <cellStyle name="40% - Accent3 8 5 4 2 2" xfId="17383"/>
    <cellStyle name="40% - Accent3 8 5 4 2 2 2" xfId="35006"/>
    <cellStyle name="40% - Accent3 8 5 4 2 3" xfId="27965"/>
    <cellStyle name="40% - Accent3 8 5 4 3" xfId="14171"/>
    <cellStyle name="40% - Accent3 8 5 4 3 2" xfId="31792"/>
    <cellStyle name="40% - Accent3 8 5 4 4" xfId="25104"/>
    <cellStyle name="40% - Accent3 8 5 5" xfId="6925"/>
    <cellStyle name="40% - Accent3 8 5 5 2" xfId="10132"/>
    <cellStyle name="40% - Accent3 8 5 5 2 2" xfId="17919"/>
    <cellStyle name="40% - Accent3 8 5 5 2 2 2" xfId="35542"/>
    <cellStyle name="40% - Accent3 8 5 5 2 3" xfId="28501"/>
    <cellStyle name="40% - Accent3 8 5 5 3" xfId="14707"/>
    <cellStyle name="40% - Accent3 8 5 5 3 2" xfId="32328"/>
    <cellStyle name="40% - Accent3 8 5 5 4" xfId="25641"/>
    <cellStyle name="40% - Accent3 8 5 6" xfId="7744"/>
    <cellStyle name="40% - Accent3 8 5 6 2" xfId="15535"/>
    <cellStyle name="40% - Accent3 8 5 6 2 2" xfId="33156"/>
    <cellStyle name="40% - Accent3 8 5 6 3" xfId="26163"/>
    <cellStyle name="40% - Accent3 8 5 7" xfId="11402"/>
    <cellStyle name="40% - Accent3 8 5 7 2" xfId="29110"/>
    <cellStyle name="40% - Accent3 8 5 8" xfId="23302"/>
    <cellStyle name="40% - Accent3 8 5 9" xfId="51843"/>
    <cellStyle name="40% - Accent3 8 6" xfId="711"/>
    <cellStyle name="40% - Accent3 8 6 2" xfId="3854"/>
    <cellStyle name="40% - Accent3 8 6 2 2" xfId="8417"/>
    <cellStyle name="40% - Accent3 8 6 2 2 2" xfId="16207"/>
    <cellStyle name="40% - Accent3 8 6 2 2 2 2" xfId="33828"/>
    <cellStyle name="40% - Accent3 8 6 2 2 3" xfId="26817"/>
    <cellStyle name="40% - Accent3 8 6 2 3" xfId="12563"/>
    <cellStyle name="40% - Accent3 8 6 2 3 2" xfId="30217"/>
    <cellStyle name="40% - Accent3 8 6 2 4" xfId="23956"/>
    <cellStyle name="40% - Accent3 8 6 3" xfId="5759"/>
    <cellStyle name="40% - Accent3 8 6 3 2" xfId="9056"/>
    <cellStyle name="40% - Accent3 8 6 3 2 2" xfId="16845"/>
    <cellStyle name="40% - Accent3 8 6 3 2 2 2" xfId="34467"/>
    <cellStyle name="40% - Accent3 8 6 3 2 3" xfId="27430"/>
    <cellStyle name="40% - Accent3 8 6 3 3" xfId="13609"/>
    <cellStyle name="40% - Accent3 8 6 3 3 2" xfId="31235"/>
    <cellStyle name="40% - Accent3 8 6 3 4" xfId="24569"/>
    <cellStyle name="40% - Accent3 8 6 4" xfId="6389"/>
    <cellStyle name="40% - Accent3 8 6 4 2" xfId="9596"/>
    <cellStyle name="40% - Accent3 8 6 4 2 2" xfId="17384"/>
    <cellStyle name="40% - Accent3 8 6 4 2 2 2" xfId="35007"/>
    <cellStyle name="40% - Accent3 8 6 4 2 3" xfId="27966"/>
    <cellStyle name="40% - Accent3 8 6 4 3" xfId="14172"/>
    <cellStyle name="40% - Accent3 8 6 4 3 2" xfId="31793"/>
    <cellStyle name="40% - Accent3 8 6 4 4" xfId="25105"/>
    <cellStyle name="40% - Accent3 8 6 5" xfId="6926"/>
    <cellStyle name="40% - Accent3 8 6 5 2" xfId="10133"/>
    <cellStyle name="40% - Accent3 8 6 5 2 2" xfId="17920"/>
    <cellStyle name="40% - Accent3 8 6 5 2 2 2" xfId="35543"/>
    <cellStyle name="40% - Accent3 8 6 5 2 3" xfId="28502"/>
    <cellStyle name="40% - Accent3 8 6 5 3" xfId="14708"/>
    <cellStyle name="40% - Accent3 8 6 5 3 2" xfId="32329"/>
    <cellStyle name="40% - Accent3 8 6 5 4" xfId="25642"/>
    <cellStyle name="40% - Accent3 8 6 6" xfId="7745"/>
    <cellStyle name="40% - Accent3 8 6 6 2" xfId="15536"/>
    <cellStyle name="40% - Accent3 8 6 6 2 2" xfId="33157"/>
    <cellStyle name="40% - Accent3 8 6 6 3" xfId="26164"/>
    <cellStyle name="40% - Accent3 8 6 7" xfId="11403"/>
    <cellStyle name="40% - Accent3 8 6 7 2" xfId="29111"/>
    <cellStyle name="40% - Accent3 8 6 8" xfId="23303"/>
    <cellStyle name="40% - Accent3 8 6 9" xfId="51844"/>
    <cellStyle name="40% - Accent3 8 7" xfId="712"/>
    <cellStyle name="40% - Accent3 8 7 10" xfId="51845"/>
    <cellStyle name="40% - Accent3 8 7 2" xfId="713"/>
    <cellStyle name="40% - Accent3 8 7 2 2" xfId="8419"/>
    <cellStyle name="40% - Accent3 8 7 2 2 2" xfId="16209"/>
    <cellStyle name="40% - Accent3 8 7 2 2 2 2" xfId="33830"/>
    <cellStyle name="40% - Accent3 8 7 2 2 3" xfId="26819"/>
    <cellStyle name="40% - Accent3 8 7 2 3" xfId="12565"/>
    <cellStyle name="40% - Accent3 8 7 2 3 2" xfId="30219"/>
    <cellStyle name="40% - Accent3 8 7 2 4" xfId="23958"/>
    <cellStyle name="40% - Accent3 8 7 3" xfId="3855"/>
    <cellStyle name="40% - Accent3 8 7 3 2" xfId="8418"/>
    <cellStyle name="40% - Accent3 8 7 3 2 2" xfId="16208"/>
    <cellStyle name="40% - Accent3 8 7 3 2 2 2" xfId="33829"/>
    <cellStyle name="40% - Accent3 8 7 3 2 3" xfId="26818"/>
    <cellStyle name="40% - Accent3 8 7 3 3" xfId="12564"/>
    <cellStyle name="40% - Accent3 8 7 3 3 2" xfId="30218"/>
    <cellStyle name="40% - Accent3 8 7 3 4" xfId="23957"/>
    <cellStyle name="40% - Accent3 8 7 4" xfId="5760"/>
    <cellStyle name="40% - Accent3 8 7 4 2" xfId="9057"/>
    <cellStyle name="40% - Accent3 8 7 4 2 2" xfId="16846"/>
    <cellStyle name="40% - Accent3 8 7 4 2 2 2" xfId="34468"/>
    <cellStyle name="40% - Accent3 8 7 4 2 3" xfId="27431"/>
    <cellStyle name="40% - Accent3 8 7 4 3" xfId="13610"/>
    <cellStyle name="40% - Accent3 8 7 4 3 2" xfId="31236"/>
    <cellStyle name="40% - Accent3 8 7 4 4" xfId="24570"/>
    <cellStyle name="40% - Accent3 8 7 5" xfId="6390"/>
    <cellStyle name="40% - Accent3 8 7 5 2" xfId="9597"/>
    <cellStyle name="40% - Accent3 8 7 5 2 2" xfId="17385"/>
    <cellStyle name="40% - Accent3 8 7 5 2 2 2" xfId="35008"/>
    <cellStyle name="40% - Accent3 8 7 5 2 3" xfId="27967"/>
    <cellStyle name="40% - Accent3 8 7 5 3" xfId="14173"/>
    <cellStyle name="40% - Accent3 8 7 5 3 2" xfId="31794"/>
    <cellStyle name="40% - Accent3 8 7 5 4" xfId="25106"/>
    <cellStyle name="40% - Accent3 8 7 6" xfId="6927"/>
    <cellStyle name="40% - Accent3 8 7 6 2" xfId="10134"/>
    <cellStyle name="40% - Accent3 8 7 6 2 2" xfId="17921"/>
    <cellStyle name="40% - Accent3 8 7 6 2 2 2" xfId="35544"/>
    <cellStyle name="40% - Accent3 8 7 6 2 3" xfId="28503"/>
    <cellStyle name="40% - Accent3 8 7 6 3" xfId="14709"/>
    <cellStyle name="40% - Accent3 8 7 6 3 2" xfId="32330"/>
    <cellStyle name="40% - Accent3 8 7 6 4" xfId="25643"/>
    <cellStyle name="40% - Accent3 8 7 7" xfId="7746"/>
    <cellStyle name="40% - Accent3 8 7 7 2" xfId="15537"/>
    <cellStyle name="40% - Accent3 8 7 7 2 2" xfId="33158"/>
    <cellStyle name="40% - Accent3 8 7 7 3" xfId="26165"/>
    <cellStyle name="40% - Accent3 8 7 8" xfId="11404"/>
    <cellStyle name="40% - Accent3 8 7 8 2" xfId="29112"/>
    <cellStyle name="40% - Accent3 8 7 9" xfId="23304"/>
    <cellStyle name="40% - Accent3 8 8" xfId="3856"/>
    <cellStyle name="40% - Accent3 8 8 2" xfId="8420"/>
    <cellStyle name="40% - Accent3 8 8 2 2" xfId="16210"/>
    <cellStyle name="40% - Accent3 8 8 2 2 2" xfId="33831"/>
    <cellStyle name="40% - Accent3 8 8 2 3" xfId="26820"/>
    <cellStyle name="40% - Accent3 8 8 3" xfId="12566"/>
    <cellStyle name="40% - Accent3 8 8 3 2" xfId="30220"/>
    <cellStyle name="40% - Accent3 8 8 4" xfId="23959"/>
    <cellStyle name="40% - Accent3 8 9" xfId="3857"/>
    <cellStyle name="40% - Accent3 8 9 2" xfId="8421"/>
    <cellStyle name="40% - Accent3 8 9 2 2" xfId="16211"/>
    <cellStyle name="40% - Accent3 8 9 2 2 2" xfId="33832"/>
    <cellStyle name="40% - Accent3 8 9 2 3" xfId="26821"/>
    <cellStyle name="40% - Accent3 8 9 3" xfId="12567"/>
    <cellStyle name="40% - Accent3 8 9 3 2" xfId="30221"/>
    <cellStyle name="40% - Accent3 8 9 4" xfId="23960"/>
    <cellStyle name="40% - Accent3 9" xfId="714"/>
    <cellStyle name="40% - Accent3 9 10" xfId="3858"/>
    <cellStyle name="40% - Accent3 9 10 2" xfId="8422"/>
    <cellStyle name="40% - Accent3 9 10 2 2" xfId="16212"/>
    <cellStyle name="40% - Accent3 9 10 2 2 2" xfId="33833"/>
    <cellStyle name="40% - Accent3 9 10 2 3" xfId="26822"/>
    <cellStyle name="40% - Accent3 9 10 3" xfId="12568"/>
    <cellStyle name="40% - Accent3 9 10 3 2" xfId="30222"/>
    <cellStyle name="40% - Accent3 9 10 4" xfId="23961"/>
    <cellStyle name="40% - Accent3 9 11" xfId="5761"/>
    <cellStyle name="40% - Accent3 9 11 2" xfId="9058"/>
    <cellStyle name="40% - Accent3 9 11 2 2" xfId="16847"/>
    <cellStyle name="40% - Accent3 9 11 2 2 2" xfId="34469"/>
    <cellStyle name="40% - Accent3 9 11 2 3" xfId="27432"/>
    <cellStyle name="40% - Accent3 9 11 3" xfId="13611"/>
    <cellStyle name="40% - Accent3 9 11 3 2" xfId="31237"/>
    <cellStyle name="40% - Accent3 9 11 4" xfId="24571"/>
    <cellStyle name="40% - Accent3 9 12" xfId="6391"/>
    <cellStyle name="40% - Accent3 9 12 2" xfId="9598"/>
    <cellStyle name="40% - Accent3 9 12 2 2" xfId="17386"/>
    <cellStyle name="40% - Accent3 9 12 2 2 2" xfId="35009"/>
    <cellStyle name="40% - Accent3 9 12 2 3" xfId="27968"/>
    <cellStyle name="40% - Accent3 9 12 3" xfId="14174"/>
    <cellStyle name="40% - Accent3 9 12 3 2" xfId="31795"/>
    <cellStyle name="40% - Accent3 9 12 4" xfId="25107"/>
    <cellStyle name="40% - Accent3 9 13" xfId="6928"/>
    <cellStyle name="40% - Accent3 9 13 2" xfId="10135"/>
    <cellStyle name="40% - Accent3 9 13 2 2" xfId="17922"/>
    <cellStyle name="40% - Accent3 9 13 2 2 2" xfId="35545"/>
    <cellStyle name="40% - Accent3 9 13 2 3" xfId="28504"/>
    <cellStyle name="40% - Accent3 9 13 3" xfId="14710"/>
    <cellStyle name="40% - Accent3 9 13 3 2" xfId="32331"/>
    <cellStyle name="40% - Accent3 9 13 4" xfId="25644"/>
    <cellStyle name="40% - Accent3 9 14" xfId="7747"/>
    <cellStyle name="40% - Accent3 9 14 2" xfId="15538"/>
    <cellStyle name="40% - Accent3 9 14 2 2" xfId="33159"/>
    <cellStyle name="40% - Accent3 9 14 3" xfId="26166"/>
    <cellStyle name="40% - Accent3 9 15" xfId="11405"/>
    <cellStyle name="40% - Accent3 9 15 2" xfId="29113"/>
    <cellStyle name="40% - Accent3 9 16" xfId="22115"/>
    <cellStyle name="40% - Accent3 9 16 2" xfId="38782"/>
    <cellStyle name="40% - Accent3 9 17" xfId="23305"/>
    <cellStyle name="40% - Accent3 9 18" xfId="51846"/>
    <cellStyle name="40% - Accent3 9 2" xfId="715"/>
    <cellStyle name="40% - Accent3 9 2 10" xfId="51847"/>
    <cellStyle name="40% - Accent3 9 2 2" xfId="3859"/>
    <cellStyle name="40% - Accent3 9 2 2 2" xfId="8423"/>
    <cellStyle name="40% - Accent3 9 2 2 2 2" xfId="16213"/>
    <cellStyle name="40% - Accent3 9 2 2 2 2 2" xfId="33834"/>
    <cellStyle name="40% - Accent3 9 2 2 2 3" xfId="26823"/>
    <cellStyle name="40% - Accent3 9 2 2 3" xfId="12569"/>
    <cellStyle name="40% - Accent3 9 2 2 3 2" xfId="30223"/>
    <cellStyle name="40% - Accent3 9 2 2 4" xfId="23962"/>
    <cellStyle name="40% - Accent3 9 2 3" xfId="5762"/>
    <cellStyle name="40% - Accent3 9 2 3 2" xfId="9059"/>
    <cellStyle name="40% - Accent3 9 2 3 2 2" xfId="16848"/>
    <cellStyle name="40% - Accent3 9 2 3 2 2 2" xfId="34470"/>
    <cellStyle name="40% - Accent3 9 2 3 2 3" xfId="27433"/>
    <cellStyle name="40% - Accent3 9 2 3 3" xfId="13612"/>
    <cellStyle name="40% - Accent3 9 2 3 3 2" xfId="31238"/>
    <cellStyle name="40% - Accent3 9 2 3 4" xfId="24572"/>
    <cellStyle name="40% - Accent3 9 2 4" xfId="6392"/>
    <cellStyle name="40% - Accent3 9 2 4 2" xfId="9599"/>
    <cellStyle name="40% - Accent3 9 2 4 2 2" xfId="17387"/>
    <cellStyle name="40% - Accent3 9 2 4 2 2 2" xfId="35010"/>
    <cellStyle name="40% - Accent3 9 2 4 2 3" xfId="27969"/>
    <cellStyle name="40% - Accent3 9 2 4 3" xfId="14175"/>
    <cellStyle name="40% - Accent3 9 2 4 3 2" xfId="31796"/>
    <cellStyle name="40% - Accent3 9 2 4 4" xfId="25108"/>
    <cellStyle name="40% - Accent3 9 2 5" xfId="6929"/>
    <cellStyle name="40% - Accent3 9 2 5 2" xfId="10136"/>
    <cellStyle name="40% - Accent3 9 2 5 2 2" xfId="17923"/>
    <cellStyle name="40% - Accent3 9 2 5 2 2 2" xfId="35546"/>
    <cellStyle name="40% - Accent3 9 2 5 2 3" xfId="28505"/>
    <cellStyle name="40% - Accent3 9 2 5 3" xfId="14711"/>
    <cellStyle name="40% - Accent3 9 2 5 3 2" xfId="32332"/>
    <cellStyle name="40% - Accent3 9 2 5 4" xfId="25645"/>
    <cellStyle name="40% - Accent3 9 2 6" xfId="7748"/>
    <cellStyle name="40% - Accent3 9 2 6 2" xfId="15539"/>
    <cellStyle name="40% - Accent3 9 2 6 2 2" xfId="33160"/>
    <cellStyle name="40% - Accent3 9 2 6 3" xfId="26167"/>
    <cellStyle name="40% - Accent3 9 2 7" xfId="11406"/>
    <cellStyle name="40% - Accent3 9 2 7 2" xfId="29114"/>
    <cellStyle name="40% - Accent3 9 2 8" xfId="22725"/>
    <cellStyle name="40% - Accent3 9 2 8 2" xfId="38921"/>
    <cellStyle name="40% - Accent3 9 2 9" xfId="23306"/>
    <cellStyle name="40% - Accent3 9 3" xfId="716"/>
    <cellStyle name="40% - Accent3 9 3 10" xfId="23307"/>
    <cellStyle name="40% - Accent3 9 3 11" xfId="51848"/>
    <cellStyle name="40% - Accent3 9 3 2" xfId="717"/>
    <cellStyle name="40% - Accent3 9 3 2 2" xfId="3861"/>
    <cellStyle name="40% - Accent3 9 3 2 2 2" xfId="8425"/>
    <cellStyle name="40% - Accent3 9 3 2 2 2 2" xfId="16215"/>
    <cellStyle name="40% - Accent3 9 3 2 2 2 2 2" xfId="33836"/>
    <cellStyle name="40% - Accent3 9 3 2 2 2 3" xfId="26825"/>
    <cellStyle name="40% - Accent3 9 3 2 2 3" xfId="12571"/>
    <cellStyle name="40% - Accent3 9 3 2 2 3 2" xfId="30225"/>
    <cellStyle name="40% - Accent3 9 3 2 2 4" xfId="23964"/>
    <cellStyle name="40% - Accent3 9 3 2 3" xfId="5764"/>
    <cellStyle name="40% - Accent3 9 3 2 3 2" xfId="9061"/>
    <cellStyle name="40% - Accent3 9 3 2 3 2 2" xfId="16850"/>
    <cellStyle name="40% - Accent3 9 3 2 3 2 2 2" xfId="34472"/>
    <cellStyle name="40% - Accent3 9 3 2 3 2 3" xfId="27435"/>
    <cellStyle name="40% - Accent3 9 3 2 3 3" xfId="13614"/>
    <cellStyle name="40% - Accent3 9 3 2 3 3 2" xfId="31240"/>
    <cellStyle name="40% - Accent3 9 3 2 3 4" xfId="24574"/>
    <cellStyle name="40% - Accent3 9 3 2 4" xfId="6394"/>
    <cellStyle name="40% - Accent3 9 3 2 4 2" xfId="9601"/>
    <cellStyle name="40% - Accent3 9 3 2 4 2 2" xfId="17389"/>
    <cellStyle name="40% - Accent3 9 3 2 4 2 2 2" xfId="35012"/>
    <cellStyle name="40% - Accent3 9 3 2 4 2 3" xfId="27971"/>
    <cellStyle name="40% - Accent3 9 3 2 4 3" xfId="14177"/>
    <cellStyle name="40% - Accent3 9 3 2 4 3 2" xfId="31798"/>
    <cellStyle name="40% - Accent3 9 3 2 4 4" xfId="25110"/>
    <cellStyle name="40% - Accent3 9 3 2 5" xfId="6931"/>
    <cellStyle name="40% - Accent3 9 3 2 5 2" xfId="10138"/>
    <cellStyle name="40% - Accent3 9 3 2 5 2 2" xfId="17925"/>
    <cellStyle name="40% - Accent3 9 3 2 5 2 2 2" xfId="35548"/>
    <cellStyle name="40% - Accent3 9 3 2 5 2 3" xfId="28507"/>
    <cellStyle name="40% - Accent3 9 3 2 5 3" xfId="14713"/>
    <cellStyle name="40% - Accent3 9 3 2 5 3 2" xfId="32334"/>
    <cellStyle name="40% - Accent3 9 3 2 5 4" xfId="25647"/>
    <cellStyle name="40% - Accent3 9 3 2 6" xfId="7750"/>
    <cellStyle name="40% - Accent3 9 3 2 6 2" xfId="15541"/>
    <cellStyle name="40% - Accent3 9 3 2 6 2 2" xfId="33162"/>
    <cellStyle name="40% - Accent3 9 3 2 6 3" xfId="26169"/>
    <cellStyle name="40% - Accent3 9 3 2 7" xfId="11408"/>
    <cellStyle name="40% - Accent3 9 3 2 7 2" xfId="29116"/>
    <cellStyle name="40% - Accent3 9 3 2 8" xfId="23308"/>
    <cellStyle name="40% - Accent3 9 3 2 9" xfId="51849"/>
    <cellStyle name="40% - Accent3 9 3 3" xfId="3862"/>
    <cellStyle name="40% - Accent3 9 3 3 2" xfId="5765"/>
    <cellStyle name="40% - Accent3 9 3 3 2 2" xfId="9062"/>
    <cellStyle name="40% - Accent3 9 3 3 2 2 2" xfId="16851"/>
    <cellStyle name="40% - Accent3 9 3 3 2 2 2 2" xfId="34473"/>
    <cellStyle name="40% - Accent3 9 3 3 2 2 3" xfId="27436"/>
    <cellStyle name="40% - Accent3 9 3 3 2 3" xfId="13615"/>
    <cellStyle name="40% - Accent3 9 3 3 2 3 2" xfId="31241"/>
    <cellStyle name="40% - Accent3 9 3 3 2 4" xfId="24575"/>
    <cellStyle name="40% - Accent3 9 3 3 3" xfId="6395"/>
    <cellStyle name="40% - Accent3 9 3 3 3 2" xfId="9602"/>
    <cellStyle name="40% - Accent3 9 3 3 3 2 2" xfId="17390"/>
    <cellStyle name="40% - Accent3 9 3 3 3 2 2 2" xfId="35013"/>
    <cellStyle name="40% - Accent3 9 3 3 3 2 3" xfId="27972"/>
    <cellStyle name="40% - Accent3 9 3 3 3 3" xfId="14178"/>
    <cellStyle name="40% - Accent3 9 3 3 3 3 2" xfId="31799"/>
    <cellStyle name="40% - Accent3 9 3 3 3 4" xfId="25111"/>
    <cellStyle name="40% - Accent3 9 3 3 4" xfId="6932"/>
    <cellStyle name="40% - Accent3 9 3 3 4 2" xfId="10139"/>
    <cellStyle name="40% - Accent3 9 3 3 4 2 2" xfId="17926"/>
    <cellStyle name="40% - Accent3 9 3 3 4 2 2 2" xfId="35549"/>
    <cellStyle name="40% - Accent3 9 3 3 4 2 3" xfId="28508"/>
    <cellStyle name="40% - Accent3 9 3 3 4 3" xfId="14714"/>
    <cellStyle name="40% - Accent3 9 3 3 4 3 2" xfId="32335"/>
    <cellStyle name="40% - Accent3 9 3 3 4 4" xfId="25648"/>
    <cellStyle name="40% - Accent3 9 3 3 5" xfId="8426"/>
    <cellStyle name="40% - Accent3 9 3 3 5 2" xfId="16216"/>
    <cellStyle name="40% - Accent3 9 3 3 5 2 2" xfId="33837"/>
    <cellStyle name="40% - Accent3 9 3 3 5 3" xfId="26826"/>
    <cellStyle name="40% - Accent3 9 3 3 6" xfId="12572"/>
    <cellStyle name="40% - Accent3 9 3 3 6 2" xfId="30226"/>
    <cellStyle name="40% - Accent3 9 3 3 7" xfId="23965"/>
    <cellStyle name="40% - Accent3 9 3 4" xfId="3860"/>
    <cellStyle name="40% - Accent3 9 3 4 2" xfId="8424"/>
    <cellStyle name="40% - Accent3 9 3 4 2 2" xfId="16214"/>
    <cellStyle name="40% - Accent3 9 3 4 2 2 2" xfId="33835"/>
    <cellStyle name="40% - Accent3 9 3 4 2 3" xfId="26824"/>
    <cellStyle name="40% - Accent3 9 3 4 3" xfId="12570"/>
    <cellStyle name="40% - Accent3 9 3 4 3 2" xfId="30224"/>
    <cellStyle name="40% - Accent3 9 3 4 4" xfId="23963"/>
    <cellStyle name="40% - Accent3 9 3 5" xfId="5763"/>
    <cellStyle name="40% - Accent3 9 3 5 2" xfId="9060"/>
    <cellStyle name="40% - Accent3 9 3 5 2 2" xfId="16849"/>
    <cellStyle name="40% - Accent3 9 3 5 2 2 2" xfId="34471"/>
    <cellStyle name="40% - Accent3 9 3 5 2 3" xfId="27434"/>
    <cellStyle name="40% - Accent3 9 3 5 3" xfId="13613"/>
    <cellStyle name="40% - Accent3 9 3 5 3 2" xfId="31239"/>
    <cellStyle name="40% - Accent3 9 3 5 4" xfId="24573"/>
    <cellStyle name="40% - Accent3 9 3 6" xfId="6393"/>
    <cellStyle name="40% - Accent3 9 3 6 2" xfId="9600"/>
    <cellStyle name="40% - Accent3 9 3 6 2 2" xfId="17388"/>
    <cellStyle name="40% - Accent3 9 3 6 2 2 2" xfId="35011"/>
    <cellStyle name="40% - Accent3 9 3 6 2 3" xfId="27970"/>
    <cellStyle name="40% - Accent3 9 3 6 3" xfId="14176"/>
    <cellStyle name="40% - Accent3 9 3 6 3 2" xfId="31797"/>
    <cellStyle name="40% - Accent3 9 3 6 4" xfId="25109"/>
    <cellStyle name="40% - Accent3 9 3 7" xfId="6930"/>
    <cellStyle name="40% - Accent3 9 3 7 2" xfId="10137"/>
    <cellStyle name="40% - Accent3 9 3 7 2 2" xfId="17924"/>
    <cellStyle name="40% - Accent3 9 3 7 2 2 2" xfId="35547"/>
    <cellStyle name="40% - Accent3 9 3 7 2 3" xfId="28506"/>
    <cellStyle name="40% - Accent3 9 3 7 3" xfId="14712"/>
    <cellStyle name="40% - Accent3 9 3 7 3 2" xfId="32333"/>
    <cellStyle name="40% - Accent3 9 3 7 4" xfId="25646"/>
    <cellStyle name="40% - Accent3 9 3 8" xfId="7749"/>
    <cellStyle name="40% - Accent3 9 3 8 2" xfId="15540"/>
    <cellStyle name="40% - Accent3 9 3 8 2 2" xfId="33161"/>
    <cellStyle name="40% - Accent3 9 3 8 3" xfId="26168"/>
    <cellStyle name="40% - Accent3 9 3 9" xfId="11407"/>
    <cellStyle name="40% - Accent3 9 3 9 2" xfId="29115"/>
    <cellStyle name="40% - Accent3 9 4" xfId="718"/>
    <cellStyle name="40% - Accent3 9 4 2" xfId="3863"/>
    <cellStyle name="40% - Accent3 9 4 2 2" xfId="8427"/>
    <cellStyle name="40% - Accent3 9 4 2 2 2" xfId="16217"/>
    <cellStyle name="40% - Accent3 9 4 2 2 2 2" xfId="33838"/>
    <cellStyle name="40% - Accent3 9 4 2 2 3" xfId="26827"/>
    <cellStyle name="40% - Accent3 9 4 2 3" xfId="12573"/>
    <cellStyle name="40% - Accent3 9 4 2 3 2" xfId="30227"/>
    <cellStyle name="40% - Accent3 9 4 2 4" xfId="23966"/>
    <cellStyle name="40% - Accent3 9 4 3" xfId="5766"/>
    <cellStyle name="40% - Accent3 9 4 3 2" xfId="9063"/>
    <cellStyle name="40% - Accent3 9 4 3 2 2" xfId="16852"/>
    <cellStyle name="40% - Accent3 9 4 3 2 2 2" xfId="34474"/>
    <cellStyle name="40% - Accent3 9 4 3 2 3" xfId="27437"/>
    <cellStyle name="40% - Accent3 9 4 3 3" xfId="13616"/>
    <cellStyle name="40% - Accent3 9 4 3 3 2" xfId="31242"/>
    <cellStyle name="40% - Accent3 9 4 3 4" xfId="24576"/>
    <cellStyle name="40% - Accent3 9 4 4" xfId="6396"/>
    <cellStyle name="40% - Accent3 9 4 4 2" xfId="9603"/>
    <cellStyle name="40% - Accent3 9 4 4 2 2" xfId="17391"/>
    <cellStyle name="40% - Accent3 9 4 4 2 2 2" xfId="35014"/>
    <cellStyle name="40% - Accent3 9 4 4 2 3" xfId="27973"/>
    <cellStyle name="40% - Accent3 9 4 4 3" xfId="14179"/>
    <cellStyle name="40% - Accent3 9 4 4 3 2" xfId="31800"/>
    <cellStyle name="40% - Accent3 9 4 4 4" xfId="25112"/>
    <cellStyle name="40% - Accent3 9 4 5" xfId="6933"/>
    <cellStyle name="40% - Accent3 9 4 5 2" xfId="10140"/>
    <cellStyle name="40% - Accent3 9 4 5 2 2" xfId="17927"/>
    <cellStyle name="40% - Accent3 9 4 5 2 2 2" xfId="35550"/>
    <cellStyle name="40% - Accent3 9 4 5 2 3" xfId="28509"/>
    <cellStyle name="40% - Accent3 9 4 5 3" xfId="14715"/>
    <cellStyle name="40% - Accent3 9 4 5 3 2" xfId="32336"/>
    <cellStyle name="40% - Accent3 9 4 5 4" xfId="25649"/>
    <cellStyle name="40% - Accent3 9 4 6" xfId="7751"/>
    <cellStyle name="40% - Accent3 9 4 6 2" xfId="15542"/>
    <cellStyle name="40% - Accent3 9 4 6 2 2" xfId="33163"/>
    <cellStyle name="40% - Accent3 9 4 6 3" xfId="26170"/>
    <cellStyle name="40% - Accent3 9 4 7" xfId="11409"/>
    <cellStyle name="40% - Accent3 9 4 7 2" xfId="29117"/>
    <cellStyle name="40% - Accent3 9 4 8" xfId="23309"/>
    <cellStyle name="40% - Accent3 9 4 9" xfId="51850"/>
    <cellStyle name="40% - Accent3 9 5" xfId="719"/>
    <cellStyle name="40% - Accent3 9 5 2" xfId="3864"/>
    <cellStyle name="40% - Accent3 9 5 2 2" xfId="8428"/>
    <cellStyle name="40% - Accent3 9 5 2 2 2" xfId="16218"/>
    <cellStyle name="40% - Accent3 9 5 2 2 2 2" xfId="33839"/>
    <cellStyle name="40% - Accent3 9 5 2 2 3" xfId="26828"/>
    <cellStyle name="40% - Accent3 9 5 2 3" xfId="12574"/>
    <cellStyle name="40% - Accent3 9 5 2 3 2" xfId="30228"/>
    <cellStyle name="40% - Accent3 9 5 2 4" xfId="23967"/>
    <cellStyle name="40% - Accent3 9 5 3" xfId="5767"/>
    <cellStyle name="40% - Accent3 9 5 3 2" xfId="9064"/>
    <cellStyle name="40% - Accent3 9 5 3 2 2" xfId="16853"/>
    <cellStyle name="40% - Accent3 9 5 3 2 2 2" xfId="34475"/>
    <cellStyle name="40% - Accent3 9 5 3 2 3" xfId="27438"/>
    <cellStyle name="40% - Accent3 9 5 3 3" xfId="13617"/>
    <cellStyle name="40% - Accent3 9 5 3 3 2" xfId="31243"/>
    <cellStyle name="40% - Accent3 9 5 3 4" xfId="24577"/>
    <cellStyle name="40% - Accent3 9 5 4" xfId="6397"/>
    <cellStyle name="40% - Accent3 9 5 4 2" xfId="9604"/>
    <cellStyle name="40% - Accent3 9 5 4 2 2" xfId="17392"/>
    <cellStyle name="40% - Accent3 9 5 4 2 2 2" xfId="35015"/>
    <cellStyle name="40% - Accent3 9 5 4 2 3" xfId="27974"/>
    <cellStyle name="40% - Accent3 9 5 4 3" xfId="14180"/>
    <cellStyle name="40% - Accent3 9 5 4 3 2" xfId="31801"/>
    <cellStyle name="40% - Accent3 9 5 4 4" xfId="25113"/>
    <cellStyle name="40% - Accent3 9 5 5" xfId="6934"/>
    <cellStyle name="40% - Accent3 9 5 5 2" xfId="10141"/>
    <cellStyle name="40% - Accent3 9 5 5 2 2" xfId="17928"/>
    <cellStyle name="40% - Accent3 9 5 5 2 2 2" xfId="35551"/>
    <cellStyle name="40% - Accent3 9 5 5 2 3" xfId="28510"/>
    <cellStyle name="40% - Accent3 9 5 5 3" xfId="14716"/>
    <cellStyle name="40% - Accent3 9 5 5 3 2" xfId="32337"/>
    <cellStyle name="40% - Accent3 9 5 5 4" xfId="25650"/>
    <cellStyle name="40% - Accent3 9 5 6" xfId="7752"/>
    <cellStyle name="40% - Accent3 9 5 6 2" xfId="15543"/>
    <cellStyle name="40% - Accent3 9 5 6 2 2" xfId="33164"/>
    <cellStyle name="40% - Accent3 9 5 6 3" xfId="26171"/>
    <cellStyle name="40% - Accent3 9 5 7" xfId="11410"/>
    <cellStyle name="40% - Accent3 9 5 7 2" xfId="29118"/>
    <cellStyle name="40% - Accent3 9 5 8" xfId="23310"/>
    <cellStyle name="40% - Accent3 9 5 9" xfId="51851"/>
    <cellStyle name="40% - Accent3 9 6" xfId="720"/>
    <cellStyle name="40% - Accent3 9 6 2" xfId="3865"/>
    <cellStyle name="40% - Accent3 9 6 2 2" xfId="8429"/>
    <cellStyle name="40% - Accent3 9 6 2 2 2" xfId="16219"/>
    <cellStyle name="40% - Accent3 9 6 2 2 2 2" xfId="33840"/>
    <cellStyle name="40% - Accent3 9 6 2 2 3" xfId="26829"/>
    <cellStyle name="40% - Accent3 9 6 2 3" xfId="12575"/>
    <cellStyle name="40% - Accent3 9 6 2 3 2" xfId="30229"/>
    <cellStyle name="40% - Accent3 9 6 2 4" xfId="23968"/>
    <cellStyle name="40% - Accent3 9 6 3" xfId="5768"/>
    <cellStyle name="40% - Accent3 9 6 3 2" xfId="9065"/>
    <cellStyle name="40% - Accent3 9 6 3 2 2" xfId="16854"/>
    <cellStyle name="40% - Accent3 9 6 3 2 2 2" xfId="34476"/>
    <cellStyle name="40% - Accent3 9 6 3 2 3" xfId="27439"/>
    <cellStyle name="40% - Accent3 9 6 3 3" xfId="13618"/>
    <cellStyle name="40% - Accent3 9 6 3 3 2" xfId="31244"/>
    <cellStyle name="40% - Accent3 9 6 3 4" xfId="24578"/>
    <cellStyle name="40% - Accent3 9 6 4" xfId="6398"/>
    <cellStyle name="40% - Accent3 9 6 4 2" xfId="9605"/>
    <cellStyle name="40% - Accent3 9 6 4 2 2" xfId="17393"/>
    <cellStyle name="40% - Accent3 9 6 4 2 2 2" xfId="35016"/>
    <cellStyle name="40% - Accent3 9 6 4 2 3" xfId="27975"/>
    <cellStyle name="40% - Accent3 9 6 4 3" xfId="14181"/>
    <cellStyle name="40% - Accent3 9 6 4 3 2" xfId="31802"/>
    <cellStyle name="40% - Accent3 9 6 4 4" xfId="25114"/>
    <cellStyle name="40% - Accent3 9 6 5" xfId="6935"/>
    <cellStyle name="40% - Accent3 9 6 5 2" xfId="10142"/>
    <cellStyle name="40% - Accent3 9 6 5 2 2" xfId="17929"/>
    <cellStyle name="40% - Accent3 9 6 5 2 2 2" xfId="35552"/>
    <cellStyle name="40% - Accent3 9 6 5 2 3" xfId="28511"/>
    <cellStyle name="40% - Accent3 9 6 5 3" xfId="14717"/>
    <cellStyle name="40% - Accent3 9 6 5 3 2" xfId="32338"/>
    <cellStyle name="40% - Accent3 9 6 5 4" xfId="25651"/>
    <cellStyle name="40% - Accent3 9 6 6" xfId="7753"/>
    <cellStyle name="40% - Accent3 9 6 6 2" xfId="15544"/>
    <cellStyle name="40% - Accent3 9 6 6 2 2" xfId="33165"/>
    <cellStyle name="40% - Accent3 9 6 6 3" xfId="26172"/>
    <cellStyle name="40% - Accent3 9 6 7" xfId="11411"/>
    <cellStyle name="40% - Accent3 9 6 7 2" xfId="29119"/>
    <cellStyle name="40% - Accent3 9 6 8" xfId="23311"/>
    <cellStyle name="40% - Accent3 9 6 9" xfId="51852"/>
    <cellStyle name="40% - Accent3 9 7" xfId="721"/>
    <cellStyle name="40% - Accent3 9 7 10" xfId="51853"/>
    <cellStyle name="40% - Accent3 9 7 2" xfId="722"/>
    <cellStyle name="40% - Accent3 9 7 2 2" xfId="8431"/>
    <cellStyle name="40% - Accent3 9 7 2 2 2" xfId="16221"/>
    <cellStyle name="40% - Accent3 9 7 2 2 2 2" xfId="33842"/>
    <cellStyle name="40% - Accent3 9 7 2 2 3" xfId="26831"/>
    <cellStyle name="40% - Accent3 9 7 2 3" xfId="12577"/>
    <cellStyle name="40% - Accent3 9 7 2 3 2" xfId="30231"/>
    <cellStyle name="40% - Accent3 9 7 2 4" xfId="23970"/>
    <cellStyle name="40% - Accent3 9 7 3" xfId="3866"/>
    <cellStyle name="40% - Accent3 9 7 3 2" xfId="8430"/>
    <cellStyle name="40% - Accent3 9 7 3 2 2" xfId="16220"/>
    <cellStyle name="40% - Accent3 9 7 3 2 2 2" xfId="33841"/>
    <cellStyle name="40% - Accent3 9 7 3 2 3" xfId="26830"/>
    <cellStyle name="40% - Accent3 9 7 3 3" xfId="12576"/>
    <cellStyle name="40% - Accent3 9 7 3 3 2" xfId="30230"/>
    <cellStyle name="40% - Accent3 9 7 3 4" xfId="23969"/>
    <cellStyle name="40% - Accent3 9 7 4" xfId="5769"/>
    <cellStyle name="40% - Accent3 9 7 4 2" xfId="9066"/>
    <cellStyle name="40% - Accent3 9 7 4 2 2" xfId="16855"/>
    <cellStyle name="40% - Accent3 9 7 4 2 2 2" xfId="34477"/>
    <cellStyle name="40% - Accent3 9 7 4 2 3" xfId="27440"/>
    <cellStyle name="40% - Accent3 9 7 4 3" xfId="13619"/>
    <cellStyle name="40% - Accent3 9 7 4 3 2" xfId="31245"/>
    <cellStyle name="40% - Accent3 9 7 4 4" xfId="24579"/>
    <cellStyle name="40% - Accent3 9 7 5" xfId="6399"/>
    <cellStyle name="40% - Accent3 9 7 5 2" xfId="9606"/>
    <cellStyle name="40% - Accent3 9 7 5 2 2" xfId="17394"/>
    <cellStyle name="40% - Accent3 9 7 5 2 2 2" xfId="35017"/>
    <cellStyle name="40% - Accent3 9 7 5 2 3" xfId="27976"/>
    <cellStyle name="40% - Accent3 9 7 5 3" xfId="14182"/>
    <cellStyle name="40% - Accent3 9 7 5 3 2" xfId="31803"/>
    <cellStyle name="40% - Accent3 9 7 5 4" xfId="25115"/>
    <cellStyle name="40% - Accent3 9 7 6" xfId="6936"/>
    <cellStyle name="40% - Accent3 9 7 6 2" xfId="10143"/>
    <cellStyle name="40% - Accent3 9 7 6 2 2" xfId="17930"/>
    <cellStyle name="40% - Accent3 9 7 6 2 2 2" xfId="35553"/>
    <cellStyle name="40% - Accent3 9 7 6 2 3" xfId="28512"/>
    <cellStyle name="40% - Accent3 9 7 6 3" xfId="14718"/>
    <cellStyle name="40% - Accent3 9 7 6 3 2" xfId="32339"/>
    <cellStyle name="40% - Accent3 9 7 6 4" xfId="25652"/>
    <cellStyle name="40% - Accent3 9 7 7" xfId="7754"/>
    <cellStyle name="40% - Accent3 9 7 7 2" xfId="15545"/>
    <cellStyle name="40% - Accent3 9 7 7 2 2" xfId="33166"/>
    <cellStyle name="40% - Accent3 9 7 7 3" xfId="26173"/>
    <cellStyle name="40% - Accent3 9 7 8" xfId="11412"/>
    <cellStyle name="40% - Accent3 9 7 8 2" xfId="29120"/>
    <cellStyle name="40% - Accent3 9 7 9" xfId="23312"/>
    <cellStyle name="40% - Accent3 9 8" xfId="3867"/>
    <cellStyle name="40% - Accent3 9 8 2" xfId="8432"/>
    <cellStyle name="40% - Accent3 9 8 2 2" xfId="16222"/>
    <cellStyle name="40% - Accent3 9 8 2 2 2" xfId="33843"/>
    <cellStyle name="40% - Accent3 9 8 2 3" xfId="26832"/>
    <cellStyle name="40% - Accent3 9 8 3" xfId="12578"/>
    <cellStyle name="40% - Accent3 9 8 3 2" xfId="30232"/>
    <cellStyle name="40% - Accent3 9 8 4" xfId="23971"/>
    <cellStyle name="40% - Accent3 9 9" xfId="3868"/>
    <cellStyle name="40% - Accent3 9 9 2" xfId="8433"/>
    <cellStyle name="40% - Accent3 9 9 2 2" xfId="16223"/>
    <cellStyle name="40% - Accent3 9 9 2 2 2" xfId="33844"/>
    <cellStyle name="40% - Accent3 9 9 2 3" xfId="26833"/>
    <cellStyle name="40% - Accent3 9 9 3" xfId="12579"/>
    <cellStyle name="40% - Accent3 9 9 3 2" xfId="30233"/>
    <cellStyle name="40% - Accent3 9 9 4" xfId="23972"/>
    <cellStyle name="40% - Accent4" xfId="177" builtinId="43" customBuiltin="1"/>
    <cellStyle name="40% - Accent4 10" xfId="723"/>
    <cellStyle name="40% - Accent4 10 2" xfId="724"/>
    <cellStyle name="40% - Accent4 10 3" xfId="725"/>
    <cellStyle name="40% - Accent4 10 3 2" xfId="8434"/>
    <cellStyle name="40% - Accent4 10 3 2 2" xfId="16224"/>
    <cellStyle name="40% - Accent4 10 3 2 2 2" xfId="33845"/>
    <cellStyle name="40% - Accent4 10 3 2 3" xfId="26834"/>
    <cellStyle name="40% - Accent4 10 3 3" xfId="12580"/>
    <cellStyle name="40% - Accent4 10 3 3 2" xfId="30234"/>
    <cellStyle name="40% - Accent4 10 3 4" xfId="23973"/>
    <cellStyle name="40% - Accent4 10 3 5" xfId="51854"/>
    <cellStyle name="40% - Accent4 10 4" xfId="7755"/>
    <cellStyle name="40% - Accent4 10 4 2" xfId="15546"/>
    <cellStyle name="40% - Accent4 10 4 2 2" xfId="33167"/>
    <cellStyle name="40% - Accent4 10 4 3" xfId="26174"/>
    <cellStyle name="40% - Accent4 10 5" xfId="11413"/>
    <cellStyle name="40% - Accent4 10 5 2" xfId="29121"/>
    <cellStyle name="40% - Accent4 10 6" xfId="22117"/>
    <cellStyle name="40% - Accent4 10 6 2" xfId="38783"/>
    <cellStyle name="40% - Accent4 10 7" xfId="23313"/>
    <cellStyle name="40% - Accent4 11" xfId="726"/>
    <cellStyle name="40% - Accent4 11 10" xfId="51855"/>
    <cellStyle name="40% - Accent4 11 2" xfId="3869"/>
    <cellStyle name="40% - Accent4 11 2 2" xfId="8435"/>
    <cellStyle name="40% - Accent4 11 2 2 2" xfId="16225"/>
    <cellStyle name="40% - Accent4 11 2 2 2 2" xfId="33846"/>
    <cellStyle name="40% - Accent4 11 2 2 3" xfId="26835"/>
    <cellStyle name="40% - Accent4 11 2 3" xfId="12581"/>
    <cellStyle name="40% - Accent4 11 2 3 2" xfId="30235"/>
    <cellStyle name="40% - Accent4 11 2 4" xfId="23974"/>
    <cellStyle name="40% - Accent4 11 3" xfId="5770"/>
    <cellStyle name="40% - Accent4 11 3 2" xfId="9067"/>
    <cellStyle name="40% - Accent4 11 3 2 2" xfId="16856"/>
    <cellStyle name="40% - Accent4 11 3 2 2 2" xfId="34478"/>
    <cellStyle name="40% - Accent4 11 3 2 3" xfId="27441"/>
    <cellStyle name="40% - Accent4 11 3 3" xfId="13620"/>
    <cellStyle name="40% - Accent4 11 3 3 2" xfId="31246"/>
    <cellStyle name="40% - Accent4 11 3 4" xfId="24580"/>
    <cellStyle name="40% - Accent4 11 4" xfId="6400"/>
    <cellStyle name="40% - Accent4 11 4 2" xfId="9607"/>
    <cellStyle name="40% - Accent4 11 4 2 2" xfId="17395"/>
    <cellStyle name="40% - Accent4 11 4 2 2 2" xfId="35018"/>
    <cellStyle name="40% - Accent4 11 4 2 3" xfId="27977"/>
    <cellStyle name="40% - Accent4 11 4 3" xfId="14183"/>
    <cellStyle name="40% - Accent4 11 4 3 2" xfId="31804"/>
    <cellStyle name="40% - Accent4 11 4 4" xfId="25116"/>
    <cellStyle name="40% - Accent4 11 5" xfId="6937"/>
    <cellStyle name="40% - Accent4 11 5 2" xfId="10144"/>
    <cellStyle name="40% - Accent4 11 5 2 2" xfId="17931"/>
    <cellStyle name="40% - Accent4 11 5 2 2 2" xfId="35554"/>
    <cellStyle name="40% - Accent4 11 5 2 3" xfId="28513"/>
    <cellStyle name="40% - Accent4 11 5 3" xfId="14719"/>
    <cellStyle name="40% - Accent4 11 5 3 2" xfId="32340"/>
    <cellStyle name="40% - Accent4 11 5 4" xfId="25653"/>
    <cellStyle name="40% - Accent4 11 6" xfId="7756"/>
    <cellStyle name="40% - Accent4 11 6 2" xfId="15547"/>
    <cellStyle name="40% - Accent4 11 6 2 2" xfId="33168"/>
    <cellStyle name="40% - Accent4 11 6 3" xfId="26175"/>
    <cellStyle name="40% - Accent4 11 7" xfId="11414"/>
    <cellStyle name="40% - Accent4 11 7 2" xfId="29122"/>
    <cellStyle name="40% - Accent4 11 8" xfId="22118"/>
    <cellStyle name="40% - Accent4 11 8 2" xfId="38784"/>
    <cellStyle name="40% - Accent4 11 9" xfId="23314"/>
    <cellStyle name="40% - Accent4 12" xfId="18863"/>
    <cellStyle name="40% - Accent4 12 2" xfId="22120"/>
    <cellStyle name="40% - Accent4 12 2 2" xfId="38786"/>
    <cellStyle name="40% - Accent4 12 3" xfId="22119"/>
    <cellStyle name="40% - Accent4 12 3 2" xfId="38785"/>
    <cellStyle name="40% - Accent4 12 4" xfId="36486"/>
    <cellStyle name="40% - Accent4 13" xfId="15291"/>
    <cellStyle name="40% - Accent4 13 2" xfId="22121"/>
    <cellStyle name="40% - Accent4 13 2 2" xfId="38787"/>
    <cellStyle name="40% - Accent4 13 3" xfId="32912"/>
    <cellStyle name="40% - Accent4 14" xfId="22122"/>
    <cellStyle name="40% - Accent4 15" xfId="22674"/>
    <cellStyle name="40% - Accent4 15 2" xfId="38880"/>
    <cellStyle name="40% - Accent4 16" xfId="22116"/>
    <cellStyle name="40% - Accent4 17" xfId="23061"/>
    <cellStyle name="40% - Accent4 18" xfId="51459"/>
    <cellStyle name="40% - Accent4 19" xfId="51472"/>
    <cellStyle name="40% - Accent4 2" xfId="28"/>
    <cellStyle name="40% - Accent4 2 10" xfId="728"/>
    <cellStyle name="40% - Accent4 2 11" xfId="729"/>
    <cellStyle name="40% - Accent4 2 12" xfId="730"/>
    <cellStyle name="40% - Accent4 2 13" xfId="731"/>
    <cellStyle name="40% - Accent4 2 14" xfId="732"/>
    <cellStyle name="40% - Accent4 2 15" xfId="3870"/>
    <cellStyle name="40% - Accent4 2 16" xfId="3871"/>
    <cellStyle name="40% - Accent4 2 17" xfId="3872"/>
    <cellStyle name="40% - Accent4 2 18" xfId="727"/>
    <cellStyle name="40% - Accent4 2 2" xfId="733"/>
    <cellStyle name="40% - Accent4 2 2 2" xfId="734"/>
    <cellStyle name="40% - Accent4 2 2 3" xfId="735"/>
    <cellStyle name="40% - Accent4 2 2 4" xfId="3873"/>
    <cellStyle name="40% - Accent4 2 2 5" xfId="3874"/>
    <cellStyle name="40% - Accent4 2 2_Sheet1" xfId="736"/>
    <cellStyle name="40% - Accent4 2 3" xfId="737"/>
    <cellStyle name="40% - Accent4 2 4" xfId="738"/>
    <cellStyle name="40% - Accent4 2 5" xfId="739"/>
    <cellStyle name="40% - Accent4 2 6" xfId="740"/>
    <cellStyle name="40% - Accent4 2 7" xfId="741"/>
    <cellStyle name="40% - Accent4 2 8" xfId="742"/>
    <cellStyle name="40% - Accent4 2 9" xfId="743"/>
    <cellStyle name="40% - Accent4 2_BallGrid" xfId="744"/>
    <cellStyle name="40% - Accent4 20" xfId="51485"/>
    <cellStyle name="40% - Accent4 3" xfId="29"/>
    <cellStyle name="40% - Accent4 3 10" xfId="745"/>
    <cellStyle name="40% - Accent4 3 2" xfId="746"/>
    <cellStyle name="40% - Accent4 3 3" xfId="747"/>
    <cellStyle name="40% - Accent4 3 4" xfId="748"/>
    <cellStyle name="40% - Accent4 3 5" xfId="749"/>
    <cellStyle name="40% - Accent4 3 6" xfId="750"/>
    <cellStyle name="40% - Accent4 3 7" xfId="3875"/>
    <cellStyle name="40% - Accent4 3 8" xfId="3876"/>
    <cellStyle name="40% - Accent4 3 9" xfId="3877"/>
    <cellStyle name="40% - Accent4 3_BallGrid" xfId="751"/>
    <cellStyle name="40% - Accent4 4" xfId="30"/>
    <cellStyle name="40% - Accent4 4 2" xfId="753"/>
    <cellStyle name="40% - Accent4 4 2 2" xfId="22837"/>
    <cellStyle name="40% - Accent4 4 3" xfId="754"/>
    <cellStyle name="40% - Accent4 4 3 2" xfId="22123"/>
    <cellStyle name="40% - Accent4 4 4" xfId="755"/>
    <cellStyle name="40% - Accent4 4 5" xfId="756"/>
    <cellStyle name="40% - Accent4 4 6" xfId="3878"/>
    <cellStyle name="40% - Accent4 4 7" xfId="3879"/>
    <cellStyle name="40% - Accent4 4 8" xfId="3880"/>
    <cellStyle name="40% - Accent4 4 9" xfId="752"/>
    <cellStyle name="40% - Accent4 5" xfId="757"/>
    <cellStyle name="40% - Accent4 5 10" xfId="21938"/>
    <cellStyle name="40% - Accent4 5 10 2" xfId="38677"/>
    <cellStyle name="40% - Accent4 5 11" xfId="23315"/>
    <cellStyle name="40% - Accent4 5 12" xfId="51856"/>
    <cellStyle name="40% - Accent4 5 2" xfId="3882"/>
    <cellStyle name="40% - Accent4 5 2 2" xfId="8437"/>
    <cellStyle name="40% - Accent4 5 2 2 2" xfId="16227"/>
    <cellStyle name="40% - Accent4 5 2 2 2 2" xfId="33848"/>
    <cellStyle name="40% - Accent4 5 2 2 3" xfId="26837"/>
    <cellStyle name="40% - Accent4 5 2 3" xfId="12584"/>
    <cellStyle name="40% - Accent4 5 2 3 2" xfId="30237"/>
    <cellStyle name="40% - Accent4 5 2 4" xfId="22838"/>
    <cellStyle name="40% - Accent4 5 2 4 2" xfId="38997"/>
    <cellStyle name="40% - Accent4 5 2 5" xfId="23976"/>
    <cellStyle name="40% - Accent4 5 3" xfId="3883"/>
    <cellStyle name="40% - Accent4 5 3 2" xfId="22124"/>
    <cellStyle name="40% - Accent4 5 4" xfId="3881"/>
    <cellStyle name="40% - Accent4 5 4 2" xfId="8436"/>
    <cellStyle name="40% - Accent4 5 4 2 2" xfId="16226"/>
    <cellStyle name="40% - Accent4 5 4 2 2 2" xfId="33847"/>
    <cellStyle name="40% - Accent4 5 4 2 3" xfId="26836"/>
    <cellStyle name="40% - Accent4 5 4 3" xfId="12583"/>
    <cellStyle name="40% - Accent4 5 4 3 2" xfId="30236"/>
    <cellStyle name="40% - Accent4 5 4 4" xfId="23975"/>
    <cellStyle name="40% - Accent4 5 5" xfId="5771"/>
    <cellStyle name="40% - Accent4 5 5 2" xfId="9068"/>
    <cellStyle name="40% - Accent4 5 5 2 2" xfId="16857"/>
    <cellStyle name="40% - Accent4 5 5 2 2 2" xfId="34479"/>
    <cellStyle name="40% - Accent4 5 5 2 3" xfId="27442"/>
    <cellStyle name="40% - Accent4 5 5 3" xfId="13621"/>
    <cellStyle name="40% - Accent4 5 5 3 2" xfId="31247"/>
    <cellStyle name="40% - Accent4 5 5 4" xfId="24581"/>
    <cellStyle name="40% - Accent4 5 6" xfId="6401"/>
    <cellStyle name="40% - Accent4 5 6 2" xfId="9608"/>
    <cellStyle name="40% - Accent4 5 6 2 2" xfId="17396"/>
    <cellStyle name="40% - Accent4 5 6 2 2 2" xfId="35019"/>
    <cellStyle name="40% - Accent4 5 6 2 3" xfId="27978"/>
    <cellStyle name="40% - Accent4 5 6 3" xfId="14184"/>
    <cellStyle name="40% - Accent4 5 6 3 2" xfId="31805"/>
    <cellStyle name="40% - Accent4 5 6 4" xfId="25117"/>
    <cellStyle name="40% - Accent4 5 7" xfId="6938"/>
    <cellStyle name="40% - Accent4 5 7 2" xfId="10145"/>
    <cellStyle name="40% - Accent4 5 7 2 2" xfId="17932"/>
    <cellStyle name="40% - Accent4 5 7 2 2 2" xfId="35555"/>
    <cellStyle name="40% - Accent4 5 7 2 3" xfId="28514"/>
    <cellStyle name="40% - Accent4 5 7 3" xfId="14720"/>
    <cellStyle name="40% - Accent4 5 7 3 2" xfId="32341"/>
    <cellStyle name="40% - Accent4 5 7 4" xfId="25654"/>
    <cellStyle name="40% - Accent4 5 8" xfId="7757"/>
    <cellStyle name="40% - Accent4 5 8 2" xfId="15548"/>
    <cellStyle name="40% - Accent4 5 8 2 2" xfId="33169"/>
    <cellStyle name="40% - Accent4 5 8 3" xfId="26176"/>
    <cellStyle name="40% - Accent4 5 9" xfId="11422"/>
    <cellStyle name="40% - Accent4 5 9 2" xfId="29129"/>
    <cellStyle name="40% - Accent4 6" xfId="758"/>
    <cellStyle name="40% - Accent4 6 10" xfId="51857"/>
    <cellStyle name="40% - Accent4 6 2" xfId="3884"/>
    <cellStyle name="40% - Accent4 6 2 2" xfId="8438"/>
    <cellStyle name="40% - Accent4 6 2 2 2" xfId="16228"/>
    <cellStyle name="40% - Accent4 6 2 2 2 2" xfId="33849"/>
    <cellStyle name="40% - Accent4 6 2 2 3" xfId="26838"/>
    <cellStyle name="40% - Accent4 6 2 3" xfId="12585"/>
    <cellStyle name="40% - Accent4 6 2 3 2" xfId="30238"/>
    <cellStyle name="40% - Accent4 6 2 4" xfId="22839"/>
    <cellStyle name="40% - Accent4 6 2 4 2" xfId="38998"/>
    <cellStyle name="40% - Accent4 6 2 5" xfId="23977"/>
    <cellStyle name="40% - Accent4 6 3" xfId="5772"/>
    <cellStyle name="40% - Accent4 6 3 2" xfId="9069"/>
    <cellStyle name="40% - Accent4 6 3 2 2" xfId="16858"/>
    <cellStyle name="40% - Accent4 6 3 2 2 2" xfId="34480"/>
    <cellStyle name="40% - Accent4 6 3 2 3" xfId="27443"/>
    <cellStyle name="40% - Accent4 6 3 3" xfId="13622"/>
    <cellStyle name="40% - Accent4 6 3 3 2" xfId="31248"/>
    <cellStyle name="40% - Accent4 6 3 4" xfId="22125"/>
    <cellStyle name="40% - Accent4 6 3 5" xfId="24582"/>
    <cellStyle name="40% - Accent4 6 4" xfId="6402"/>
    <cellStyle name="40% - Accent4 6 4 2" xfId="9609"/>
    <cellStyle name="40% - Accent4 6 4 2 2" xfId="17397"/>
    <cellStyle name="40% - Accent4 6 4 2 2 2" xfId="35020"/>
    <cellStyle name="40% - Accent4 6 4 2 3" xfId="27979"/>
    <cellStyle name="40% - Accent4 6 4 3" xfId="14185"/>
    <cellStyle name="40% - Accent4 6 4 3 2" xfId="31806"/>
    <cellStyle name="40% - Accent4 6 4 4" xfId="25118"/>
    <cellStyle name="40% - Accent4 6 5" xfId="6939"/>
    <cellStyle name="40% - Accent4 6 5 2" xfId="10146"/>
    <cellStyle name="40% - Accent4 6 5 2 2" xfId="17933"/>
    <cellStyle name="40% - Accent4 6 5 2 2 2" xfId="35556"/>
    <cellStyle name="40% - Accent4 6 5 2 3" xfId="28515"/>
    <cellStyle name="40% - Accent4 6 5 3" xfId="14721"/>
    <cellStyle name="40% - Accent4 6 5 3 2" xfId="32342"/>
    <cellStyle name="40% - Accent4 6 5 4" xfId="25655"/>
    <cellStyle name="40% - Accent4 6 6" xfId="7758"/>
    <cellStyle name="40% - Accent4 6 6 2" xfId="15549"/>
    <cellStyle name="40% - Accent4 6 6 2 2" xfId="33170"/>
    <cellStyle name="40% - Accent4 6 6 3" xfId="26177"/>
    <cellStyle name="40% - Accent4 6 7" xfId="11423"/>
    <cellStyle name="40% - Accent4 6 7 2" xfId="29130"/>
    <cellStyle name="40% - Accent4 6 8" xfId="21939"/>
    <cellStyle name="40% - Accent4 6 8 2" xfId="38678"/>
    <cellStyle name="40% - Accent4 6 9" xfId="23316"/>
    <cellStyle name="40% - Accent4 7" xfId="759"/>
    <cellStyle name="40% - Accent4 7 10" xfId="51858"/>
    <cellStyle name="40% - Accent4 7 2" xfId="3885"/>
    <cellStyle name="40% - Accent4 7 2 2" xfId="8439"/>
    <cellStyle name="40% - Accent4 7 2 2 2" xfId="16229"/>
    <cellStyle name="40% - Accent4 7 2 2 2 2" xfId="33850"/>
    <cellStyle name="40% - Accent4 7 2 2 3" xfId="26839"/>
    <cellStyle name="40% - Accent4 7 2 3" xfId="12586"/>
    <cellStyle name="40% - Accent4 7 2 3 2" xfId="30239"/>
    <cellStyle name="40% - Accent4 7 2 4" xfId="22726"/>
    <cellStyle name="40% - Accent4 7 2 4 2" xfId="38922"/>
    <cellStyle name="40% - Accent4 7 2 5" xfId="23978"/>
    <cellStyle name="40% - Accent4 7 3" xfId="5773"/>
    <cellStyle name="40% - Accent4 7 3 2" xfId="9070"/>
    <cellStyle name="40% - Accent4 7 3 2 2" xfId="16859"/>
    <cellStyle name="40% - Accent4 7 3 2 2 2" xfId="34481"/>
    <cellStyle name="40% - Accent4 7 3 2 3" xfId="27444"/>
    <cellStyle name="40% - Accent4 7 3 3" xfId="13623"/>
    <cellStyle name="40% - Accent4 7 3 3 2" xfId="31249"/>
    <cellStyle name="40% - Accent4 7 3 4" xfId="24583"/>
    <cellStyle name="40% - Accent4 7 4" xfId="6403"/>
    <cellStyle name="40% - Accent4 7 4 2" xfId="9610"/>
    <cellStyle name="40% - Accent4 7 4 2 2" xfId="17398"/>
    <cellStyle name="40% - Accent4 7 4 2 2 2" xfId="35021"/>
    <cellStyle name="40% - Accent4 7 4 2 3" xfId="27980"/>
    <cellStyle name="40% - Accent4 7 4 3" xfId="14186"/>
    <cellStyle name="40% - Accent4 7 4 3 2" xfId="31807"/>
    <cellStyle name="40% - Accent4 7 4 4" xfId="25119"/>
    <cellStyle name="40% - Accent4 7 5" xfId="6940"/>
    <cellStyle name="40% - Accent4 7 5 2" xfId="10147"/>
    <cellStyle name="40% - Accent4 7 5 2 2" xfId="17934"/>
    <cellStyle name="40% - Accent4 7 5 2 2 2" xfId="35557"/>
    <cellStyle name="40% - Accent4 7 5 2 3" xfId="28516"/>
    <cellStyle name="40% - Accent4 7 5 3" xfId="14722"/>
    <cellStyle name="40% - Accent4 7 5 3 2" xfId="32343"/>
    <cellStyle name="40% - Accent4 7 5 4" xfId="25656"/>
    <cellStyle name="40% - Accent4 7 6" xfId="7759"/>
    <cellStyle name="40% - Accent4 7 6 2" xfId="15550"/>
    <cellStyle name="40% - Accent4 7 6 2 2" xfId="33171"/>
    <cellStyle name="40% - Accent4 7 6 3" xfId="26178"/>
    <cellStyle name="40% - Accent4 7 7" xfId="11424"/>
    <cellStyle name="40% - Accent4 7 7 2" xfId="29131"/>
    <cellStyle name="40% - Accent4 7 8" xfId="22126"/>
    <cellStyle name="40% - Accent4 7 8 2" xfId="38788"/>
    <cellStyle name="40% - Accent4 7 9" xfId="23317"/>
    <cellStyle name="40% - Accent4 8" xfId="760"/>
    <cellStyle name="40% - Accent4 8 10" xfId="51859"/>
    <cellStyle name="40% - Accent4 8 2" xfId="3886"/>
    <cellStyle name="40% - Accent4 8 2 2" xfId="8440"/>
    <cellStyle name="40% - Accent4 8 2 2 2" xfId="16230"/>
    <cellStyle name="40% - Accent4 8 2 2 2 2" xfId="33851"/>
    <cellStyle name="40% - Accent4 8 2 2 3" xfId="22728"/>
    <cellStyle name="40% - Accent4 8 2 2 3 2" xfId="38924"/>
    <cellStyle name="40% - Accent4 8 2 2 4" xfId="26840"/>
    <cellStyle name="40% - Accent4 8 2 3" xfId="12587"/>
    <cellStyle name="40% - Accent4 8 2 3 2" xfId="30240"/>
    <cellStyle name="40% - Accent4 8 2 4" xfId="22128"/>
    <cellStyle name="40% - Accent4 8 2 4 2" xfId="38790"/>
    <cellStyle name="40% - Accent4 8 2 5" xfId="23979"/>
    <cellStyle name="40% - Accent4 8 3" xfId="5774"/>
    <cellStyle name="40% - Accent4 8 3 2" xfId="9071"/>
    <cellStyle name="40% - Accent4 8 3 2 2" xfId="16860"/>
    <cellStyle name="40% - Accent4 8 3 2 2 2" xfId="34482"/>
    <cellStyle name="40% - Accent4 8 3 2 3" xfId="27445"/>
    <cellStyle name="40% - Accent4 8 3 3" xfId="13624"/>
    <cellStyle name="40% - Accent4 8 3 3 2" xfId="31250"/>
    <cellStyle name="40% - Accent4 8 3 4" xfId="22727"/>
    <cellStyle name="40% - Accent4 8 3 4 2" xfId="38923"/>
    <cellStyle name="40% - Accent4 8 3 5" xfId="24584"/>
    <cellStyle name="40% - Accent4 8 4" xfId="6404"/>
    <cellStyle name="40% - Accent4 8 4 2" xfId="9611"/>
    <cellStyle name="40% - Accent4 8 4 2 2" xfId="17399"/>
    <cellStyle name="40% - Accent4 8 4 2 2 2" xfId="35022"/>
    <cellStyle name="40% - Accent4 8 4 2 3" xfId="27981"/>
    <cellStyle name="40% - Accent4 8 4 3" xfId="14187"/>
    <cellStyle name="40% - Accent4 8 4 3 2" xfId="31808"/>
    <cellStyle name="40% - Accent4 8 4 4" xfId="25120"/>
    <cellStyle name="40% - Accent4 8 5" xfId="6941"/>
    <cellStyle name="40% - Accent4 8 5 2" xfId="10148"/>
    <cellStyle name="40% - Accent4 8 5 2 2" xfId="17935"/>
    <cellStyle name="40% - Accent4 8 5 2 2 2" xfId="35558"/>
    <cellStyle name="40% - Accent4 8 5 2 3" xfId="28517"/>
    <cellStyle name="40% - Accent4 8 5 3" xfId="14723"/>
    <cellStyle name="40% - Accent4 8 5 3 2" xfId="32344"/>
    <cellStyle name="40% - Accent4 8 5 4" xfId="25657"/>
    <cellStyle name="40% - Accent4 8 6" xfId="7760"/>
    <cellStyle name="40% - Accent4 8 6 2" xfId="15551"/>
    <cellStyle name="40% - Accent4 8 6 2 2" xfId="33172"/>
    <cellStyle name="40% - Accent4 8 6 3" xfId="26179"/>
    <cellStyle name="40% - Accent4 8 7" xfId="11425"/>
    <cellStyle name="40% - Accent4 8 7 2" xfId="29132"/>
    <cellStyle name="40% - Accent4 8 8" xfId="22127"/>
    <cellStyle name="40% - Accent4 8 8 2" xfId="38789"/>
    <cellStyle name="40% - Accent4 8 9" xfId="23318"/>
    <cellStyle name="40% - Accent4 9" xfId="761"/>
    <cellStyle name="40% - Accent4 9 10" xfId="51860"/>
    <cellStyle name="40% - Accent4 9 2" xfId="3887"/>
    <cellStyle name="40% - Accent4 9 2 2" xfId="8441"/>
    <cellStyle name="40% - Accent4 9 2 2 2" xfId="16231"/>
    <cellStyle name="40% - Accent4 9 2 2 2 2" xfId="33852"/>
    <cellStyle name="40% - Accent4 9 2 2 3" xfId="26841"/>
    <cellStyle name="40% - Accent4 9 2 3" xfId="12588"/>
    <cellStyle name="40% - Accent4 9 2 3 2" xfId="30241"/>
    <cellStyle name="40% - Accent4 9 2 4" xfId="22729"/>
    <cellStyle name="40% - Accent4 9 2 4 2" xfId="38925"/>
    <cellStyle name="40% - Accent4 9 2 5" xfId="23980"/>
    <cellStyle name="40% - Accent4 9 3" xfId="5775"/>
    <cellStyle name="40% - Accent4 9 3 2" xfId="9072"/>
    <cellStyle name="40% - Accent4 9 3 2 2" xfId="16861"/>
    <cellStyle name="40% - Accent4 9 3 2 2 2" xfId="34483"/>
    <cellStyle name="40% - Accent4 9 3 2 3" xfId="27446"/>
    <cellStyle name="40% - Accent4 9 3 3" xfId="13625"/>
    <cellStyle name="40% - Accent4 9 3 3 2" xfId="31251"/>
    <cellStyle name="40% - Accent4 9 3 4" xfId="24585"/>
    <cellStyle name="40% - Accent4 9 4" xfId="6405"/>
    <cellStyle name="40% - Accent4 9 4 2" xfId="9612"/>
    <cellStyle name="40% - Accent4 9 4 2 2" xfId="17400"/>
    <cellStyle name="40% - Accent4 9 4 2 2 2" xfId="35023"/>
    <cellStyle name="40% - Accent4 9 4 2 3" xfId="27982"/>
    <cellStyle name="40% - Accent4 9 4 3" xfId="14188"/>
    <cellStyle name="40% - Accent4 9 4 3 2" xfId="31809"/>
    <cellStyle name="40% - Accent4 9 4 4" xfId="25121"/>
    <cellStyle name="40% - Accent4 9 5" xfId="6942"/>
    <cellStyle name="40% - Accent4 9 5 2" xfId="10149"/>
    <cellStyle name="40% - Accent4 9 5 2 2" xfId="17936"/>
    <cellStyle name="40% - Accent4 9 5 2 2 2" xfId="35559"/>
    <cellStyle name="40% - Accent4 9 5 2 3" xfId="28518"/>
    <cellStyle name="40% - Accent4 9 5 3" xfId="14724"/>
    <cellStyle name="40% - Accent4 9 5 3 2" xfId="32345"/>
    <cellStyle name="40% - Accent4 9 5 4" xfId="25658"/>
    <cellStyle name="40% - Accent4 9 6" xfId="7761"/>
    <cellStyle name="40% - Accent4 9 6 2" xfId="15552"/>
    <cellStyle name="40% - Accent4 9 6 2 2" xfId="33173"/>
    <cellStyle name="40% - Accent4 9 6 3" xfId="26180"/>
    <cellStyle name="40% - Accent4 9 7" xfId="11426"/>
    <cellStyle name="40% - Accent4 9 7 2" xfId="29133"/>
    <cellStyle name="40% - Accent4 9 8" xfId="22129"/>
    <cellStyle name="40% - Accent4 9 8 2" xfId="38791"/>
    <cellStyle name="40% - Accent4 9 9" xfId="23319"/>
    <cellStyle name="40% - Accent5" xfId="181" builtinId="47" customBuiltin="1"/>
    <cellStyle name="40% - Accent5 10" xfId="7506"/>
    <cellStyle name="40% - Accent5 10 2" xfId="15299"/>
    <cellStyle name="40% - Accent5 10 2 2" xfId="32920"/>
    <cellStyle name="40% - Accent5 10 3" xfId="22130"/>
    <cellStyle name="40% - Accent5 10 4" xfId="25927"/>
    <cellStyle name="40% - Accent5 11" xfId="18865"/>
    <cellStyle name="40% - Accent5 11 2" xfId="36488"/>
    <cellStyle name="40% - Accent5 12" xfId="11427"/>
    <cellStyle name="40% - Accent5 12 2" xfId="29134"/>
    <cellStyle name="40% - Accent5 13" xfId="21923"/>
    <cellStyle name="40% - Accent5 13 2" xfId="38662"/>
    <cellStyle name="40% - Accent5 14" xfId="23063"/>
    <cellStyle name="40% - Accent5 15" xfId="51461"/>
    <cellStyle name="40% - Accent5 16" xfId="51474"/>
    <cellStyle name="40% - Accent5 17" xfId="51487"/>
    <cellStyle name="40% - Accent5 18" xfId="51861"/>
    <cellStyle name="40% - Accent5 2" xfId="31"/>
    <cellStyle name="40% - Accent5 2 10" xfId="763"/>
    <cellStyle name="40% - Accent5 2 11" xfId="764"/>
    <cellStyle name="40% - Accent5 2 12" xfId="765"/>
    <cellStyle name="40% - Accent5 2 13" xfId="766"/>
    <cellStyle name="40% - Accent5 2 14" xfId="767"/>
    <cellStyle name="40% - Accent5 2 15" xfId="3888"/>
    <cellStyle name="40% - Accent5 2 16" xfId="3889"/>
    <cellStyle name="40% - Accent5 2 17" xfId="3890"/>
    <cellStyle name="40% - Accent5 2 18" xfId="762"/>
    <cellStyle name="40% - Accent5 2 2" xfId="768"/>
    <cellStyle name="40% - Accent5 2 2 2" xfId="769"/>
    <cellStyle name="40% - Accent5 2 2 3" xfId="770"/>
    <cellStyle name="40% - Accent5 2 2 4" xfId="3891"/>
    <cellStyle name="40% - Accent5 2 2 5" xfId="3892"/>
    <cellStyle name="40% - Accent5 2 2_Sheet1" xfId="771"/>
    <cellStyle name="40% - Accent5 2 3" xfId="772"/>
    <cellStyle name="40% - Accent5 2 4" xfId="773"/>
    <cellStyle name="40% - Accent5 2 5" xfId="774"/>
    <cellStyle name="40% - Accent5 2 6" xfId="775"/>
    <cellStyle name="40% - Accent5 2 7" xfId="776"/>
    <cellStyle name="40% - Accent5 2 8" xfId="777"/>
    <cellStyle name="40% - Accent5 2 9" xfId="778"/>
    <cellStyle name="40% - Accent5 2_BallGrid" xfId="779"/>
    <cellStyle name="40% - Accent5 3" xfId="32"/>
    <cellStyle name="40% - Accent5 3 2" xfId="780"/>
    <cellStyle name="40% - Accent5 3 3" xfId="781"/>
    <cellStyle name="40% - Accent5 3 4" xfId="3893"/>
    <cellStyle name="40% - Accent5 4" xfId="33"/>
    <cellStyle name="40% - Accent5 4 2" xfId="782"/>
    <cellStyle name="40% - Accent5 4 3" xfId="783"/>
    <cellStyle name="40% - Accent5 4 4" xfId="3894"/>
    <cellStyle name="40% - Accent5 4 5" xfId="3895"/>
    <cellStyle name="40% - Accent5 5" xfId="784"/>
    <cellStyle name="40% - Accent5 5 10" xfId="22131"/>
    <cellStyle name="40% - Accent5 5 11" xfId="23320"/>
    <cellStyle name="40% - Accent5 5 12" xfId="51862"/>
    <cellStyle name="40% - Accent5 5 2" xfId="3897"/>
    <cellStyle name="40% - Accent5 5 2 2" xfId="8443"/>
    <cellStyle name="40% - Accent5 5 2 2 2" xfId="16233"/>
    <cellStyle name="40% - Accent5 5 2 2 2 2" xfId="33854"/>
    <cellStyle name="40% - Accent5 5 2 2 3" xfId="26843"/>
    <cellStyle name="40% - Accent5 5 2 3" xfId="12590"/>
    <cellStyle name="40% - Accent5 5 2 3 2" xfId="30243"/>
    <cellStyle name="40% - Accent5 5 2 4" xfId="23982"/>
    <cellStyle name="40% - Accent5 5 3" xfId="3898"/>
    <cellStyle name="40% - Accent5 5 4" xfId="3896"/>
    <cellStyle name="40% - Accent5 5 4 2" xfId="8442"/>
    <cellStyle name="40% - Accent5 5 4 2 2" xfId="16232"/>
    <cellStyle name="40% - Accent5 5 4 2 2 2" xfId="33853"/>
    <cellStyle name="40% - Accent5 5 4 2 3" xfId="26842"/>
    <cellStyle name="40% - Accent5 5 4 3" xfId="12589"/>
    <cellStyle name="40% - Accent5 5 4 3 2" xfId="30242"/>
    <cellStyle name="40% - Accent5 5 4 4" xfId="23981"/>
    <cellStyle name="40% - Accent5 5 5" xfId="5777"/>
    <cellStyle name="40% - Accent5 5 5 2" xfId="9074"/>
    <cellStyle name="40% - Accent5 5 5 2 2" xfId="16863"/>
    <cellStyle name="40% - Accent5 5 5 2 2 2" xfId="34485"/>
    <cellStyle name="40% - Accent5 5 5 2 3" xfId="27448"/>
    <cellStyle name="40% - Accent5 5 5 3" xfId="13627"/>
    <cellStyle name="40% - Accent5 5 5 3 2" xfId="31253"/>
    <cellStyle name="40% - Accent5 5 5 4" xfId="24587"/>
    <cellStyle name="40% - Accent5 5 6" xfId="6407"/>
    <cellStyle name="40% - Accent5 5 6 2" xfId="9614"/>
    <cellStyle name="40% - Accent5 5 6 2 2" xfId="17402"/>
    <cellStyle name="40% - Accent5 5 6 2 2 2" xfId="35025"/>
    <cellStyle name="40% - Accent5 5 6 2 3" xfId="27984"/>
    <cellStyle name="40% - Accent5 5 6 3" xfId="14190"/>
    <cellStyle name="40% - Accent5 5 6 3 2" xfId="31811"/>
    <cellStyle name="40% - Accent5 5 6 4" xfId="25123"/>
    <cellStyle name="40% - Accent5 5 7" xfId="6944"/>
    <cellStyle name="40% - Accent5 5 7 2" xfId="10151"/>
    <cellStyle name="40% - Accent5 5 7 2 2" xfId="17938"/>
    <cellStyle name="40% - Accent5 5 7 2 2 2" xfId="35561"/>
    <cellStyle name="40% - Accent5 5 7 2 3" xfId="28520"/>
    <cellStyle name="40% - Accent5 5 7 3" xfId="14726"/>
    <cellStyle name="40% - Accent5 5 7 3 2" xfId="32347"/>
    <cellStyle name="40% - Accent5 5 7 4" xfId="25660"/>
    <cellStyle name="40% - Accent5 5 8" xfId="7762"/>
    <cellStyle name="40% - Accent5 5 8 2" xfId="15553"/>
    <cellStyle name="40% - Accent5 5 8 2 2" xfId="33174"/>
    <cellStyle name="40% - Accent5 5 8 3" xfId="26181"/>
    <cellStyle name="40% - Accent5 5 9" xfId="11428"/>
    <cellStyle name="40% - Accent5 5 9 2" xfId="29135"/>
    <cellStyle name="40% - Accent5 6" xfId="3449"/>
    <cellStyle name="40% - Accent5 6 2" xfId="8071"/>
    <cellStyle name="40% - Accent5 6 2 2" xfId="15861"/>
    <cellStyle name="40% - Accent5 6 2 2 2" xfId="33482"/>
    <cellStyle name="40% - Accent5 6 2 3" xfId="26471"/>
    <cellStyle name="40% - Accent5 6 3" xfId="12176"/>
    <cellStyle name="40% - Accent5 6 3 2" xfId="29834"/>
    <cellStyle name="40% - Accent5 6 4" xfId="22132"/>
    <cellStyle name="40% - Accent5 6 5" xfId="23610"/>
    <cellStyle name="40% - Accent5 7" xfId="5776"/>
    <cellStyle name="40% - Accent5 7 2" xfId="9073"/>
    <cellStyle name="40% - Accent5 7 2 2" xfId="16862"/>
    <cellStyle name="40% - Accent5 7 2 2 2" xfId="34484"/>
    <cellStyle name="40% - Accent5 7 2 3" xfId="22730"/>
    <cellStyle name="40% - Accent5 7 2 3 2" xfId="38926"/>
    <cellStyle name="40% - Accent5 7 2 4" xfId="27447"/>
    <cellStyle name="40% - Accent5 7 3" xfId="13626"/>
    <cellStyle name="40% - Accent5 7 3 2" xfId="31252"/>
    <cellStyle name="40% - Accent5 7 4" xfId="22133"/>
    <cellStyle name="40% - Accent5 7 4 2" xfId="38792"/>
    <cellStyle name="40% - Accent5 7 5" xfId="24586"/>
    <cellStyle name="40% - Accent5 8" xfId="6406"/>
    <cellStyle name="40% - Accent5 8 2" xfId="9613"/>
    <cellStyle name="40% - Accent5 8 2 2" xfId="17401"/>
    <cellStyle name="40% - Accent5 8 2 2 2" xfId="35024"/>
    <cellStyle name="40% - Accent5 8 2 3" xfId="27983"/>
    <cellStyle name="40% - Accent5 8 3" xfId="14189"/>
    <cellStyle name="40% - Accent5 8 3 2" xfId="31810"/>
    <cellStyle name="40% - Accent5 8 4" xfId="22134"/>
    <cellStyle name="40% - Accent5 8 5" xfId="25122"/>
    <cellStyle name="40% - Accent5 9" xfId="6943"/>
    <cellStyle name="40% - Accent5 9 2" xfId="10150"/>
    <cellStyle name="40% - Accent5 9 2 2" xfId="17937"/>
    <cellStyle name="40% - Accent5 9 2 2 2" xfId="35560"/>
    <cellStyle name="40% - Accent5 9 2 3" xfId="28519"/>
    <cellStyle name="40% - Accent5 9 3" xfId="14725"/>
    <cellStyle name="40% - Accent5 9 3 2" xfId="32346"/>
    <cellStyle name="40% - Accent5 9 4" xfId="22677"/>
    <cellStyle name="40% - Accent5 9 4 2" xfId="38882"/>
    <cellStyle name="40% - Accent5 9 5" xfId="25659"/>
    <cellStyle name="40% - Accent6" xfId="185" builtinId="51" customBuiltin="1"/>
    <cellStyle name="40% - Accent6 10" xfId="785"/>
    <cellStyle name="40% - Accent6 10 2" xfId="786"/>
    <cellStyle name="40% - Accent6 10 3" xfId="787"/>
    <cellStyle name="40% - Accent6 10 3 2" xfId="8444"/>
    <cellStyle name="40% - Accent6 10 3 2 2" xfId="16234"/>
    <cellStyle name="40% - Accent6 10 3 2 2 2" xfId="33855"/>
    <cellStyle name="40% - Accent6 10 3 2 3" xfId="26844"/>
    <cellStyle name="40% - Accent6 10 3 3" xfId="12591"/>
    <cellStyle name="40% - Accent6 10 3 3 2" xfId="30244"/>
    <cellStyle name="40% - Accent6 10 3 4" xfId="23983"/>
    <cellStyle name="40% - Accent6 10 3 5" xfId="51863"/>
    <cellStyle name="40% - Accent6 10 4" xfId="7763"/>
    <cellStyle name="40% - Accent6 10 4 2" xfId="15554"/>
    <cellStyle name="40% - Accent6 10 4 2 2" xfId="33175"/>
    <cellStyle name="40% - Accent6 10 4 3" xfId="26182"/>
    <cellStyle name="40% - Accent6 10 5" xfId="11429"/>
    <cellStyle name="40% - Accent6 10 5 2" xfId="29136"/>
    <cellStyle name="40% - Accent6 10 6" xfId="22136"/>
    <cellStyle name="40% - Accent6 10 6 2" xfId="38793"/>
    <cellStyle name="40% - Accent6 10 7" xfId="23321"/>
    <cellStyle name="40% - Accent6 11" xfId="788"/>
    <cellStyle name="40% - Accent6 11 10" xfId="51864"/>
    <cellStyle name="40% - Accent6 11 2" xfId="3899"/>
    <cellStyle name="40% - Accent6 11 2 2" xfId="8445"/>
    <cellStyle name="40% - Accent6 11 2 2 2" xfId="16235"/>
    <cellStyle name="40% - Accent6 11 2 2 2 2" xfId="33856"/>
    <cellStyle name="40% - Accent6 11 2 2 3" xfId="26845"/>
    <cellStyle name="40% - Accent6 11 2 3" xfId="12592"/>
    <cellStyle name="40% - Accent6 11 2 3 2" xfId="30245"/>
    <cellStyle name="40% - Accent6 11 2 4" xfId="23984"/>
    <cellStyle name="40% - Accent6 11 3" xfId="5778"/>
    <cellStyle name="40% - Accent6 11 3 2" xfId="9075"/>
    <cellStyle name="40% - Accent6 11 3 2 2" xfId="16864"/>
    <cellStyle name="40% - Accent6 11 3 2 2 2" xfId="34486"/>
    <cellStyle name="40% - Accent6 11 3 2 3" xfId="27449"/>
    <cellStyle name="40% - Accent6 11 3 3" xfId="13628"/>
    <cellStyle name="40% - Accent6 11 3 3 2" xfId="31254"/>
    <cellStyle name="40% - Accent6 11 3 4" xfId="24588"/>
    <cellStyle name="40% - Accent6 11 4" xfId="6408"/>
    <cellStyle name="40% - Accent6 11 4 2" xfId="9615"/>
    <cellStyle name="40% - Accent6 11 4 2 2" xfId="17403"/>
    <cellStyle name="40% - Accent6 11 4 2 2 2" xfId="35026"/>
    <cellStyle name="40% - Accent6 11 4 2 3" xfId="27985"/>
    <cellStyle name="40% - Accent6 11 4 3" xfId="14191"/>
    <cellStyle name="40% - Accent6 11 4 3 2" xfId="31812"/>
    <cellStyle name="40% - Accent6 11 4 4" xfId="25124"/>
    <cellStyle name="40% - Accent6 11 5" xfId="6945"/>
    <cellStyle name="40% - Accent6 11 5 2" xfId="10152"/>
    <cellStyle name="40% - Accent6 11 5 2 2" xfId="17939"/>
    <cellStyle name="40% - Accent6 11 5 2 2 2" xfId="35562"/>
    <cellStyle name="40% - Accent6 11 5 2 3" xfId="28521"/>
    <cellStyle name="40% - Accent6 11 5 3" xfId="14727"/>
    <cellStyle name="40% - Accent6 11 5 3 2" xfId="32348"/>
    <cellStyle name="40% - Accent6 11 5 4" xfId="25661"/>
    <cellStyle name="40% - Accent6 11 6" xfId="7764"/>
    <cellStyle name="40% - Accent6 11 6 2" xfId="15555"/>
    <cellStyle name="40% - Accent6 11 6 2 2" xfId="33176"/>
    <cellStyle name="40% - Accent6 11 6 3" xfId="26183"/>
    <cellStyle name="40% - Accent6 11 7" xfId="11430"/>
    <cellStyle name="40% - Accent6 11 7 2" xfId="29137"/>
    <cellStyle name="40% - Accent6 11 8" xfId="22137"/>
    <cellStyle name="40% - Accent6 11 8 2" xfId="38794"/>
    <cellStyle name="40% - Accent6 11 9" xfId="23322"/>
    <cellStyle name="40% - Accent6 12" xfId="18867"/>
    <cellStyle name="40% - Accent6 12 2" xfId="22139"/>
    <cellStyle name="40% - Accent6 12 2 2" xfId="38796"/>
    <cellStyle name="40% - Accent6 12 3" xfId="22138"/>
    <cellStyle name="40% - Accent6 12 3 2" xfId="38795"/>
    <cellStyle name="40% - Accent6 12 4" xfId="36490"/>
    <cellStyle name="40% - Accent6 13" xfId="15294"/>
    <cellStyle name="40% - Accent6 13 2" xfId="22140"/>
    <cellStyle name="40% - Accent6 13 2 2" xfId="38797"/>
    <cellStyle name="40% - Accent6 13 3" xfId="32915"/>
    <cellStyle name="40% - Accent6 14" xfId="22141"/>
    <cellStyle name="40% - Accent6 15" xfId="22679"/>
    <cellStyle name="40% - Accent6 15 2" xfId="38884"/>
    <cellStyle name="40% - Accent6 16" xfId="22135"/>
    <cellStyle name="40% - Accent6 17" xfId="23065"/>
    <cellStyle name="40% - Accent6 18" xfId="51463"/>
    <cellStyle name="40% - Accent6 19" xfId="51476"/>
    <cellStyle name="40% - Accent6 2" xfId="34"/>
    <cellStyle name="40% - Accent6 2 10" xfId="790"/>
    <cellStyle name="40% - Accent6 2 11" xfId="791"/>
    <cellStyle name="40% - Accent6 2 12" xfId="792"/>
    <cellStyle name="40% - Accent6 2 13" xfId="793"/>
    <cellStyle name="40% - Accent6 2 14" xfId="794"/>
    <cellStyle name="40% - Accent6 2 15" xfId="3900"/>
    <cellStyle name="40% - Accent6 2 16" xfId="3901"/>
    <cellStyle name="40% - Accent6 2 17" xfId="3902"/>
    <cellStyle name="40% - Accent6 2 18" xfId="789"/>
    <cellStyle name="40% - Accent6 2 2" xfId="795"/>
    <cellStyle name="40% - Accent6 2 2 2" xfId="796"/>
    <cellStyle name="40% - Accent6 2 2 3" xfId="797"/>
    <cellStyle name="40% - Accent6 2 2 4" xfId="3903"/>
    <cellStyle name="40% - Accent6 2 2 5" xfId="3904"/>
    <cellStyle name="40% - Accent6 2 2_Sheet1" xfId="798"/>
    <cellStyle name="40% - Accent6 2 3" xfId="799"/>
    <cellStyle name="40% - Accent6 2 4" xfId="800"/>
    <cellStyle name="40% - Accent6 2 5" xfId="801"/>
    <cellStyle name="40% - Accent6 2 6" xfId="802"/>
    <cellStyle name="40% - Accent6 2 7" xfId="803"/>
    <cellStyle name="40% - Accent6 2 8" xfId="804"/>
    <cellStyle name="40% - Accent6 2 9" xfId="805"/>
    <cellStyle name="40% - Accent6 2_BallGrid" xfId="806"/>
    <cellStyle name="40% - Accent6 20" xfId="51489"/>
    <cellStyle name="40% - Accent6 3" xfId="35"/>
    <cellStyle name="40% - Accent6 3 10" xfId="807"/>
    <cellStyle name="40% - Accent6 3 2" xfId="808"/>
    <cellStyle name="40% - Accent6 3 3" xfId="809"/>
    <cellStyle name="40% - Accent6 3 4" xfId="810"/>
    <cellStyle name="40% - Accent6 3 5" xfId="811"/>
    <cellStyle name="40% - Accent6 3 6" xfId="812"/>
    <cellStyle name="40% - Accent6 3 7" xfId="3905"/>
    <cellStyle name="40% - Accent6 3 8" xfId="3906"/>
    <cellStyle name="40% - Accent6 3 9" xfId="3907"/>
    <cellStyle name="40% - Accent6 3_BallGrid" xfId="813"/>
    <cellStyle name="40% - Accent6 4" xfId="36"/>
    <cellStyle name="40% - Accent6 4 2" xfId="815"/>
    <cellStyle name="40% - Accent6 4 2 2" xfId="22841"/>
    <cellStyle name="40% - Accent6 4 3" xfId="816"/>
    <cellStyle name="40% - Accent6 4 3 2" xfId="22142"/>
    <cellStyle name="40% - Accent6 4 4" xfId="817"/>
    <cellStyle name="40% - Accent6 4 5" xfId="818"/>
    <cellStyle name="40% - Accent6 4 6" xfId="3908"/>
    <cellStyle name="40% - Accent6 4 7" xfId="3909"/>
    <cellStyle name="40% - Accent6 4 8" xfId="3910"/>
    <cellStyle name="40% - Accent6 4 9" xfId="814"/>
    <cellStyle name="40% - Accent6 5" xfId="819"/>
    <cellStyle name="40% - Accent6 5 10" xfId="21940"/>
    <cellStyle name="40% - Accent6 5 10 2" xfId="38679"/>
    <cellStyle name="40% - Accent6 5 11" xfId="23323"/>
    <cellStyle name="40% - Accent6 5 12" xfId="51865"/>
    <cellStyle name="40% - Accent6 5 2" xfId="3912"/>
    <cellStyle name="40% - Accent6 5 2 2" xfId="8447"/>
    <cellStyle name="40% - Accent6 5 2 2 2" xfId="16237"/>
    <cellStyle name="40% - Accent6 5 2 2 2 2" xfId="33858"/>
    <cellStyle name="40% - Accent6 5 2 2 3" xfId="26847"/>
    <cellStyle name="40% - Accent6 5 2 3" xfId="12595"/>
    <cellStyle name="40% - Accent6 5 2 3 2" xfId="30248"/>
    <cellStyle name="40% - Accent6 5 2 4" xfId="22842"/>
    <cellStyle name="40% - Accent6 5 2 4 2" xfId="39000"/>
    <cellStyle name="40% - Accent6 5 2 5" xfId="23986"/>
    <cellStyle name="40% - Accent6 5 3" xfId="3913"/>
    <cellStyle name="40% - Accent6 5 3 2" xfId="22143"/>
    <cellStyle name="40% - Accent6 5 4" xfId="3911"/>
    <cellStyle name="40% - Accent6 5 4 2" xfId="8446"/>
    <cellStyle name="40% - Accent6 5 4 2 2" xfId="16236"/>
    <cellStyle name="40% - Accent6 5 4 2 2 2" xfId="33857"/>
    <cellStyle name="40% - Accent6 5 4 2 3" xfId="26846"/>
    <cellStyle name="40% - Accent6 5 4 3" xfId="12594"/>
    <cellStyle name="40% - Accent6 5 4 3 2" xfId="30247"/>
    <cellStyle name="40% - Accent6 5 4 4" xfId="23985"/>
    <cellStyle name="40% - Accent6 5 5" xfId="5779"/>
    <cellStyle name="40% - Accent6 5 5 2" xfId="9076"/>
    <cellStyle name="40% - Accent6 5 5 2 2" xfId="16865"/>
    <cellStyle name="40% - Accent6 5 5 2 2 2" xfId="34487"/>
    <cellStyle name="40% - Accent6 5 5 2 3" xfId="27450"/>
    <cellStyle name="40% - Accent6 5 5 3" xfId="13629"/>
    <cellStyle name="40% - Accent6 5 5 3 2" xfId="31255"/>
    <cellStyle name="40% - Accent6 5 5 4" xfId="24589"/>
    <cellStyle name="40% - Accent6 5 6" xfId="6409"/>
    <cellStyle name="40% - Accent6 5 6 2" xfId="9616"/>
    <cellStyle name="40% - Accent6 5 6 2 2" xfId="17404"/>
    <cellStyle name="40% - Accent6 5 6 2 2 2" xfId="35027"/>
    <cellStyle name="40% - Accent6 5 6 2 3" xfId="27986"/>
    <cellStyle name="40% - Accent6 5 6 3" xfId="14192"/>
    <cellStyle name="40% - Accent6 5 6 3 2" xfId="31813"/>
    <cellStyle name="40% - Accent6 5 6 4" xfId="25125"/>
    <cellStyle name="40% - Accent6 5 7" xfId="6946"/>
    <cellStyle name="40% - Accent6 5 7 2" xfId="10153"/>
    <cellStyle name="40% - Accent6 5 7 2 2" xfId="17940"/>
    <cellStyle name="40% - Accent6 5 7 2 2 2" xfId="35563"/>
    <cellStyle name="40% - Accent6 5 7 2 3" xfId="28522"/>
    <cellStyle name="40% - Accent6 5 7 3" xfId="14728"/>
    <cellStyle name="40% - Accent6 5 7 3 2" xfId="32349"/>
    <cellStyle name="40% - Accent6 5 7 4" xfId="25662"/>
    <cellStyle name="40% - Accent6 5 8" xfId="7765"/>
    <cellStyle name="40% - Accent6 5 8 2" xfId="15556"/>
    <cellStyle name="40% - Accent6 5 8 2 2" xfId="33177"/>
    <cellStyle name="40% - Accent6 5 8 3" xfId="26184"/>
    <cellStyle name="40% - Accent6 5 9" xfId="11434"/>
    <cellStyle name="40% - Accent6 5 9 2" xfId="29140"/>
    <cellStyle name="40% - Accent6 6" xfId="820"/>
    <cellStyle name="40% - Accent6 6 10" xfId="51866"/>
    <cellStyle name="40% - Accent6 6 2" xfId="3914"/>
    <cellStyle name="40% - Accent6 6 2 2" xfId="8448"/>
    <cellStyle name="40% - Accent6 6 2 2 2" xfId="16238"/>
    <cellStyle name="40% - Accent6 6 2 2 2 2" xfId="33859"/>
    <cellStyle name="40% - Accent6 6 2 2 3" xfId="26848"/>
    <cellStyle name="40% - Accent6 6 2 3" xfId="12596"/>
    <cellStyle name="40% - Accent6 6 2 3 2" xfId="30249"/>
    <cellStyle name="40% - Accent6 6 2 4" xfId="22843"/>
    <cellStyle name="40% - Accent6 6 2 4 2" xfId="39001"/>
    <cellStyle name="40% - Accent6 6 2 5" xfId="23987"/>
    <cellStyle name="40% - Accent6 6 3" xfId="5780"/>
    <cellStyle name="40% - Accent6 6 3 2" xfId="9077"/>
    <cellStyle name="40% - Accent6 6 3 2 2" xfId="16866"/>
    <cellStyle name="40% - Accent6 6 3 2 2 2" xfId="34488"/>
    <cellStyle name="40% - Accent6 6 3 2 3" xfId="27451"/>
    <cellStyle name="40% - Accent6 6 3 3" xfId="13630"/>
    <cellStyle name="40% - Accent6 6 3 3 2" xfId="31256"/>
    <cellStyle name="40% - Accent6 6 3 4" xfId="22144"/>
    <cellStyle name="40% - Accent6 6 3 5" xfId="24590"/>
    <cellStyle name="40% - Accent6 6 4" xfId="6410"/>
    <cellStyle name="40% - Accent6 6 4 2" xfId="9617"/>
    <cellStyle name="40% - Accent6 6 4 2 2" xfId="17405"/>
    <cellStyle name="40% - Accent6 6 4 2 2 2" xfId="35028"/>
    <cellStyle name="40% - Accent6 6 4 2 3" xfId="27987"/>
    <cellStyle name="40% - Accent6 6 4 3" xfId="14193"/>
    <cellStyle name="40% - Accent6 6 4 3 2" xfId="31814"/>
    <cellStyle name="40% - Accent6 6 4 4" xfId="25126"/>
    <cellStyle name="40% - Accent6 6 5" xfId="6947"/>
    <cellStyle name="40% - Accent6 6 5 2" xfId="10154"/>
    <cellStyle name="40% - Accent6 6 5 2 2" xfId="17941"/>
    <cellStyle name="40% - Accent6 6 5 2 2 2" xfId="35564"/>
    <cellStyle name="40% - Accent6 6 5 2 3" xfId="28523"/>
    <cellStyle name="40% - Accent6 6 5 3" xfId="14729"/>
    <cellStyle name="40% - Accent6 6 5 3 2" xfId="32350"/>
    <cellStyle name="40% - Accent6 6 5 4" xfId="25663"/>
    <cellStyle name="40% - Accent6 6 6" xfId="7766"/>
    <cellStyle name="40% - Accent6 6 6 2" xfId="15557"/>
    <cellStyle name="40% - Accent6 6 6 2 2" xfId="33178"/>
    <cellStyle name="40% - Accent6 6 6 3" xfId="26185"/>
    <cellStyle name="40% - Accent6 6 7" xfId="11435"/>
    <cellStyle name="40% - Accent6 6 7 2" xfId="29141"/>
    <cellStyle name="40% - Accent6 6 8" xfId="21941"/>
    <cellStyle name="40% - Accent6 6 8 2" xfId="38680"/>
    <cellStyle name="40% - Accent6 6 9" xfId="23324"/>
    <cellStyle name="40% - Accent6 7" xfId="821"/>
    <cellStyle name="40% - Accent6 7 10" xfId="51867"/>
    <cellStyle name="40% - Accent6 7 2" xfId="3915"/>
    <cellStyle name="40% - Accent6 7 2 2" xfId="8449"/>
    <cellStyle name="40% - Accent6 7 2 2 2" xfId="16239"/>
    <cellStyle name="40% - Accent6 7 2 2 2 2" xfId="33860"/>
    <cellStyle name="40% - Accent6 7 2 2 3" xfId="26849"/>
    <cellStyle name="40% - Accent6 7 2 3" xfId="12597"/>
    <cellStyle name="40% - Accent6 7 2 3 2" xfId="30250"/>
    <cellStyle name="40% - Accent6 7 2 4" xfId="22731"/>
    <cellStyle name="40% - Accent6 7 2 4 2" xfId="38927"/>
    <cellStyle name="40% - Accent6 7 2 5" xfId="23988"/>
    <cellStyle name="40% - Accent6 7 3" xfId="5781"/>
    <cellStyle name="40% - Accent6 7 3 2" xfId="9078"/>
    <cellStyle name="40% - Accent6 7 3 2 2" xfId="16867"/>
    <cellStyle name="40% - Accent6 7 3 2 2 2" xfId="34489"/>
    <cellStyle name="40% - Accent6 7 3 2 3" xfId="27452"/>
    <cellStyle name="40% - Accent6 7 3 3" xfId="13631"/>
    <cellStyle name="40% - Accent6 7 3 3 2" xfId="31257"/>
    <cellStyle name="40% - Accent6 7 3 4" xfId="24591"/>
    <cellStyle name="40% - Accent6 7 4" xfId="6411"/>
    <cellStyle name="40% - Accent6 7 4 2" xfId="9618"/>
    <cellStyle name="40% - Accent6 7 4 2 2" xfId="17406"/>
    <cellStyle name="40% - Accent6 7 4 2 2 2" xfId="35029"/>
    <cellStyle name="40% - Accent6 7 4 2 3" xfId="27988"/>
    <cellStyle name="40% - Accent6 7 4 3" xfId="14194"/>
    <cellStyle name="40% - Accent6 7 4 3 2" xfId="31815"/>
    <cellStyle name="40% - Accent6 7 4 4" xfId="25127"/>
    <cellStyle name="40% - Accent6 7 5" xfId="6948"/>
    <cellStyle name="40% - Accent6 7 5 2" xfId="10155"/>
    <cellStyle name="40% - Accent6 7 5 2 2" xfId="17942"/>
    <cellStyle name="40% - Accent6 7 5 2 2 2" xfId="35565"/>
    <cellStyle name="40% - Accent6 7 5 2 3" xfId="28524"/>
    <cellStyle name="40% - Accent6 7 5 3" xfId="14730"/>
    <cellStyle name="40% - Accent6 7 5 3 2" xfId="32351"/>
    <cellStyle name="40% - Accent6 7 5 4" xfId="25664"/>
    <cellStyle name="40% - Accent6 7 6" xfId="7767"/>
    <cellStyle name="40% - Accent6 7 6 2" xfId="15558"/>
    <cellStyle name="40% - Accent6 7 6 2 2" xfId="33179"/>
    <cellStyle name="40% - Accent6 7 6 3" xfId="26186"/>
    <cellStyle name="40% - Accent6 7 7" xfId="11436"/>
    <cellStyle name="40% - Accent6 7 7 2" xfId="29142"/>
    <cellStyle name="40% - Accent6 7 8" xfId="22145"/>
    <cellStyle name="40% - Accent6 7 8 2" xfId="38798"/>
    <cellStyle name="40% - Accent6 7 9" xfId="23325"/>
    <cellStyle name="40% - Accent6 8" xfId="822"/>
    <cellStyle name="40% - Accent6 8 10" xfId="51868"/>
    <cellStyle name="40% - Accent6 8 2" xfId="3916"/>
    <cellStyle name="40% - Accent6 8 2 2" xfId="8450"/>
    <cellStyle name="40% - Accent6 8 2 2 2" xfId="16240"/>
    <cellStyle name="40% - Accent6 8 2 2 2 2" xfId="33861"/>
    <cellStyle name="40% - Accent6 8 2 2 3" xfId="22733"/>
    <cellStyle name="40% - Accent6 8 2 2 3 2" xfId="38929"/>
    <cellStyle name="40% - Accent6 8 2 2 4" xfId="26850"/>
    <cellStyle name="40% - Accent6 8 2 3" xfId="12598"/>
    <cellStyle name="40% - Accent6 8 2 3 2" xfId="30251"/>
    <cellStyle name="40% - Accent6 8 2 4" xfId="22147"/>
    <cellStyle name="40% - Accent6 8 2 4 2" xfId="38800"/>
    <cellStyle name="40% - Accent6 8 2 5" xfId="23989"/>
    <cellStyle name="40% - Accent6 8 3" xfId="5782"/>
    <cellStyle name="40% - Accent6 8 3 2" xfId="9079"/>
    <cellStyle name="40% - Accent6 8 3 2 2" xfId="16868"/>
    <cellStyle name="40% - Accent6 8 3 2 2 2" xfId="34490"/>
    <cellStyle name="40% - Accent6 8 3 2 3" xfId="27453"/>
    <cellStyle name="40% - Accent6 8 3 3" xfId="13632"/>
    <cellStyle name="40% - Accent6 8 3 3 2" xfId="31258"/>
    <cellStyle name="40% - Accent6 8 3 4" xfId="22732"/>
    <cellStyle name="40% - Accent6 8 3 4 2" xfId="38928"/>
    <cellStyle name="40% - Accent6 8 3 5" xfId="24592"/>
    <cellStyle name="40% - Accent6 8 4" xfId="6412"/>
    <cellStyle name="40% - Accent6 8 4 2" xfId="9619"/>
    <cellStyle name="40% - Accent6 8 4 2 2" xfId="17407"/>
    <cellStyle name="40% - Accent6 8 4 2 2 2" xfId="35030"/>
    <cellStyle name="40% - Accent6 8 4 2 3" xfId="27989"/>
    <cellStyle name="40% - Accent6 8 4 3" xfId="14195"/>
    <cellStyle name="40% - Accent6 8 4 3 2" xfId="31816"/>
    <cellStyle name="40% - Accent6 8 4 4" xfId="25128"/>
    <cellStyle name="40% - Accent6 8 5" xfId="6949"/>
    <cellStyle name="40% - Accent6 8 5 2" xfId="10156"/>
    <cellStyle name="40% - Accent6 8 5 2 2" xfId="17943"/>
    <cellStyle name="40% - Accent6 8 5 2 2 2" xfId="35566"/>
    <cellStyle name="40% - Accent6 8 5 2 3" xfId="28525"/>
    <cellStyle name="40% - Accent6 8 5 3" xfId="14731"/>
    <cellStyle name="40% - Accent6 8 5 3 2" xfId="32352"/>
    <cellStyle name="40% - Accent6 8 5 4" xfId="25665"/>
    <cellStyle name="40% - Accent6 8 6" xfId="7768"/>
    <cellStyle name="40% - Accent6 8 6 2" xfId="15559"/>
    <cellStyle name="40% - Accent6 8 6 2 2" xfId="33180"/>
    <cellStyle name="40% - Accent6 8 6 3" xfId="26187"/>
    <cellStyle name="40% - Accent6 8 7" xfId="11437"/>
    <cellStyle name="40% - Accent6 8 7 2" xfId="29143"/>
    <cellStyle name="40% - Accent6 8 8" xfId="22146"/>
    <cellStyle name="40% - Accent6 8 8 2" xfId="38799"/>
    <cellStyle name="40% - Accent6 8 9" xfId="23326"/>
    <cellStyle name="40% - Accent6 9" xfId="823"/>
    <cellStyle name="40% - Accent6 9 10" xfId="51869"/>
    <cellStyle name="40% - Accent6 9 2" xfId="3917"/>
    <cellStyle name="40% - Accent6 9 2 2" xfId="8451"/>
    <cellStyle name="40% - Accent6 9 2 2 2" xfId="16241"/>
    <cellStyle name="40% - Accent6 9 2 2 2 2" xfId="33862"/>
    <cellStyle name="40% - Accent6 9 2 2 3" xfId="26851"/>
    <cellStyle name="40% - Accent6 9 2 3" xfId="12599"/>
    <cellStyle name="40% - Accent6 9 2 3 2" xfId="30252"/>
    <cellStyle name="40% - Accent6 9 2 4" xfId="22734"/>
    <cellStyle name="40% - Accent6 9 2 4 2" xfId="38930"/>
    <cellStyle name="40% - Accent6 9 2 5" xfId="23990"/>
    <cellStyle name="40% - Accent6 9 3" xfId="5783"/>
    <cellStyle name="40% - Accent6 9 3 2" xfId="9080"/>
    <cellStyle name="40% - Accent6 9 3 2 2" xfId="16869"/>
    <cellStyle name="40% - Accent6 9 3 2 2 2" xfId="34491"/>
    <cellStyle name="40% - Accent6 9 3 2 3" xfId="27454"/>
    <cellStyle name="40% - Accent6 9 3 3" xfId="13633"/>
    <cellStyle name="40% - Accent6 9 3 3 2" xfId="31259"/>
    <cellStyle name="40% - Accent6 9 3 4" xfId="24593"/>
    <cellStyle name="40% - Accent6 9 4" xfId="6413"/>
    <cellStyle name="40% - Accent6 9 4 2" xfId="9620"/>
    <cellStyle name="40% - Accent6 9 4 2 2" xfId="17408"/>
    <cellStyle name="40% - Accent6 9 4 2 2 2" xfId="35031"/>
    <cellStyle name="40% - Accent6 9 4 2 3" xfId="27990"/>
    <cellStyle name="40% - Accent6 9 4 3" xfId="14196"/>
    <cellStyle name="40% - Accent6 9 4 3 2" xfId="31817"/>
    <cellStyle name="40% - Accent6 9 4 4" xfId="25129"/>
    <cellStyle name="40% - Accent6 9 5" xfId="6950"/>
    <cellStyle name="40% - Accent6 9 5 2" xfId="10157"/>
    <cellStyle name="40% - Accent6 9 5 2 2" xfId="17944"/>
    <cellStyle name="40% - Accent6 9 5 2 2 2" xfId="35567"/>
    <cellStyle name="40% - Accent6 9 5 2 3" xfId="28526"/>
    <cellStyle name="40% - Accent6 9 5 3" xfId="14732"/>
    <cellStyle name="40% - Accent6 9 5 3 2" xfId="32353"/>
    <cellStyle name="40% - Accent6 9 5 4" xfId="25666"/>
    <cellStyle name="40% - Accent6 9 6" xfId="7769"/>
    <cellStyle name="40% - Accent6 9 6 2" xfId="15560"/>
    <cellStyle name="40% - Accent6 9 6 2 2" xfId="33181"/>
    <cellStyle name="40% - Accent6 9 6 3" xfId="26188"/>
    <cellStyle name="40% - Accent6 9 7" xfId="11438"/>
    <cellStyle name="40% - Accent6 9 7 2" xfId="29144"/>
    <cellStyle name="40% - Accent6 9 8" xfId="22148"/>
    <cellStyle name="40% - Accent6 9 8 2" xfId="38801"/>
    <cellStyle name="40% - Accent6 9 9" xfId="23327"/>
    <cellStyle name="60% - Accent1" xfId="166" builtinId="32" customBuiltin="1"/>
    <cellStyle name="60% - Accent1 10" xfId="824"/>
    <cellStyle name="60% - Accent1 10 2" xfId="825"/>
    <cellStyle name="60% - Accent1 10 3" xfId="826"/>
    <cellStyle name="60% - Accent1 10 4" xfId="22150"/>
    <cellStyle name="60% - Accent1 11" xfId="827"/>
    <cellStyle name="60% - Accent1 11 2" xfId="22151"/>
    <cellStyle name="60% - Accent1 12" xfId="22152"/>
    <cellStyle name="60% - Accent1 12 2" xfId="22153"/>
    <cellStyle name="60% - Accent1 13" xfId="22154"/>
    <cellStyle name="60% - Accent1 14" xfId="22155"/>
    <cellStyle name="60% - Accent1 15" xfId="22666"/>
    <cellStyle name="60% - Accent1 16" xfId="22149"/>
    <cellStyle name="60% - Accent1 2" xfId="37"/>
    <cellStyle name="60% - Accent1 2 10" xfId="829"/>
    <cellStyle name="60% - Accent1 2 11" xfId="830"/>
    <cellStyle name="60% - Accent1 2 12" xfId="831"/>
    <cellStyle name="60% - Accent1 2 13" xfId="832"/>
    <cellStyle name="60% - Accent1 2 14" xfId="833"/>
    <cellStyle name="60% - Accent1 2 15" xfId="3918"/>
    <cellStyle name="60% - Accent1 2 16" xfId="3919"/>
    <cellStyle name="60% - Accent1 2 17" xfId="3920"/>
    <cellStyle name="60% - Accent1 2 18" xfId="828"/>
    <cellStyle name="60% - Accent1 2 2" xfId="834"/>
    <cellStyle name="60% - Accent1 2 2 2" xfId="835"/>
    <cellStyle name="60% - Accent1 2 2 3" xfId="836"/>
    <cellStyle name="60% - Accent1 2 2 4" xfId="3921"/>
    <cellStyle name="60% - Accent1 2 2 5" xfId="3922"/>
    <cellStyle name="60% - Accent1 2 2_Sheet1" xfId="837"/>
    <cellStyle name="60% - Accent1 2 3" xfId="838"/>
    <cellStyle name="60% - Accent1 2 4" xfId="839"/>
    <cellStyle name="60% - Accent1 2 5" xfId="840"/>
    <cellStyle name="60% - Accent1 2 6" xfId="841"/>
    <cellStyle name="60% - Accent1 2 7" xfId="842"/>
    <cellStyle name="60% - Accent1 2 8" xfId="843"/>
    <cellStyle name="60% - Accent1 2 9" xfId="844"/>
    <cellStyle name="60% - Accent1 2_BallGrid" xfId="845"/>
    <cellStyle name="60% - Accent1 3" xfId="38"/>
    <cellStyle name="60% - Accent1 3 10" xfId="846"/>
    <cellStyle name="60% - Accent1 3 2" xfId="847"/>
    <cellStyle name="60% - Accent1 3 3" xfId="848"/>
    <cellStyle name="60% - Accent1 3 4" xfId="849"/>
    <cellStyle name="60% - Accent1 3 5" xfId="850"/>
    <cellStyle name="60% - Accent1 3 6" xfId="851"/>
    <cellStyle name="60% - Accent1 3 7" xfId="3923"/>
    <cellStyle name="60% - Accent1 3 8" xfId="3924"/>
    <cellStyle name="60% - Accent1 3 9" xfId="3925"/>
    <cellStyle name="60% - Accent1 3_BallGrid" xfId="852"/>
    <cellStyle name="60% - Accent1 4" xfId="39"/>
    <cellStyle name="60% - Accent1 4 2" xfId="854"/>
    <cellStyle name="60% - Accent1 4 2 2" xfId="22844"/>
    <cellStyle name="60% - Accent1 4 3" xfId="855"/>
    <cellStyle name="60% - Accent1 4 3 2" xfId="22156"/>
    <cellStyle name="60% - Accent1 4 4" xfId="856"/>
    <cellStyle name="60% - Accent1 4 5" xfId="857"/>
    <cellStyle name="60% - Accent1 4 6" xfId="3926"/>
    <cellStyle name="60% - Accent1 4 7" xfId="3927"/>
    <cellStyle name="60% - Accent1 4 8" xfId="3928"/>
    <cellStyle name="60% - Accent1 4 9" xfId="853"/>
    <cellStyle name="60% - Accent1 5" xfId="858"/>
    <cellStyle name="60% - Accent1 5 2" xfId="3929"/>
    <cellStyle name="60% - Accent1 5 3" xfId="3930"/>
    <cellStyle name="60% - Accent1 5 3 2" xfId="22157"/>
    <cellStyle name="60% - Accent1 5 4" xfId="52886"/>
    <cellStyle name="60% - Accent1 6" xfId="859"/>
    <cellStyle name="60% - Accent1 6 2" xfId="22845"/>
    <cellStyle name="60% - Accent1 6 3" xfId="22158"/>
    <cellStyle name="60% - Accent1 6 4" xfId="52887"/>
    <cellStyle name="60% - Accent1 7" xfId="860"/>
    <cellStyle name="60% - Accent1 7 2" xfId="22159"/>
    <cellStyle name="60% - Accent1 8" xfId="861"/>
    <cellStyle name="60% - Accent1 8 2" xfId="22161"/>
    <cellStyle name="60% - Accent1 8 3" xfId="22160"/>
    <cellStyle name="60% - Accent1 9" xfId="862"/>
    <cellStyle name="60% - Accent1 9 2" xfId="22162"/>
    <cellStyle name="60% - Accent2" xfId="170" builtinId="36" customBuiltin="1"/>
    <cellStyle name="60% - Accent2 10" xfId="863"/>
    <cellStyle name="60% - Accent2 10 2" xfId="864"/>
    <cellStyle name="60% - Accent2 10 3" xfId="865"/>
    <cellStyle name="60% - Accent2 11" xfId="866"/>
    <cellStyle name="60% - Accent2 2" xfId="40"/>
    <cellStyle name="60% - Accent2 2 10" xfId="868"/>
    <cellStyle name="60% - Accent2 2 11" xfId="869"/>
    <cellStyle name="60% - Accent2 2 12" xfId="870"/>
    <cellStyle name="60% - Accent2 2 13" xfId="871"/>
    <cellStyle name="60% - Accent2 2 14" xfId="872"/>
    <cellStyle name="60% - Accent2 2 15" xfId="3931"/>
    <cellStyle name="60% - Accent2 2 16" xfId="3932"/>
    <cellStyle name="60% - Accent2 2 17" xfId="3933"/>
    <cellStyle name="60% - Accent2 2 18" xfId="867"/>
    <cellStyle name="60% - Accent2 2 2" xfId="873"/>
    <cellStyle name="60% - Accent2 2 2 2" xfId="874"/>
    <cellStyle name="60% - Accent2 2 2 3" xfId="875"/>
    <cellStyle name="60% - Accent2 2 2 4" xfId="3934"/>
    <cellStyle name="60% - Accent2 2 2 5" xfId="3935"/>
    <cellStyle name="60% - Accent2 2 2_Sheet1" xfId="876"/>
    <cellStyle name="60% - Accent2 2 3" xfId="877"/>
    <cellStyle name="60% - Accent2 2 4" xfId="878"/>
    <cellStyle name="60% - Accent2 2 5" xfId="879"/>
    <cellStyle name="60% - Accent2 2 6" xfId="880"/>
    <cellStyle name="60% - Accent2 2 7" xfId="881"/>
    <cellStyle name="60% - Accent2 2 8" xfId="882"/>
    <cellStyle name="60% - Accent2 2 9" xfId="883"/>
    <cellStyle name="60% - Accent2 2_BallGrid" xfId="884"/>
    <cellStyle name="60% - Accent2 3" xfId="41"/>
    <cellStyle name="60% - Accent2 3 10" xfId="885"/>
    <cellStyle name="60% - Accent2 3 2" xfId="886"/>
    <cellStyle name="60% - Accent2 3 3" xfId="887"/>
    <cellStyle name="60% - Accent2 3 4" xfId="888"/>
    <cellStyle name="60% - Accent2 3 5" xfId="889"/>
    <cellStyle name="60% - Accent2 3 6" xfId="890"/>
    <cellStyle name="60% - Accent2 3 7" xfId="3936"/>
    <cellStyle name="60% - Accent2 3 8" xfId="3937"/>
    <cellStyle name="60% - Accent2 3 9" xfId="3938"/>
    <cellStyle name="60% - Accent2 3_BallGrid" xfId="891"/>
    <cellStyle name="60% - Accent2 4" xfId="42"/>
    <cellStyle name="60% - Accent2 4 2" xfId="893"/>
    <cellStyle name="60% - Accent2 4 2 2" xfId="22846"/>
    <cellStyle name="60% - Accent2 4 3" xfId="894"/>
    <cellStyle name="60% - Accent2 4 3 2" xfId="22164"/>
    <cellStyle name="60% - Accent2 4 4" xfId="895"/>
    <cellStyle name="60% - Accent2 4 5" xfId="896"/>
    <cellStyle name="60% - Accent2 4 6" xfId="3939"/>
    <cellStyle name="60% - Accent2 4 7" xfId="3940"/>
    <cellStyle name="60% - Accent2 4 8" xfId="3941"/>
    <cellStyle name="60% - Accent2 4 9" xfId="892"/>
    <cellStyle name="60% - Accent2 5" xfId="897"/>
    <cellStyle name="60% - Accent2 5 2" xfId="3942"/>
    <cellStyle name="60% - Accent2 5 3" xfId="3943"/>
    <cellStyle name="60% - Accent2 5 3 2" xfId="22165"/>
    <cellStyle name="60% - Accent2 5 4" xfId="52888"/>
    <cellStyle name="60% - Accent2 6" xfId="898"/>
    <cellStyle name="60% - Accent2 6 2" xfId="22847"/>
    <cellStyle name="60% - Accent2 6 3" xfId="22166"/>
    <cellStyle name="60% - Accent2 6 4" xfId="52889"/>
    <cellStyle name="60% - Accent2 7" xfId="899"/>
    <cellStyle name="60% - Accent2 8" xfId="900"/>
    <cellStyle name="60% - Accent2 8 2" xfId="22167"/>
    <cellStyle name="60% - Accent2 9" xfId="901"/>
    <cellStyle name="60% - Accent2 9 2" xfId="22163"/>
    <cellStyle name="60% - Accent3" xfId="174" builtinId="40" customBuiltin="1"/>
    <cellStyle name="60% - Accent3 10" xfId="902"/>
    <cellStyle name="60% - Accent3 10 2" xfId="903"/>
    <cellStyle name="60% - Accent3 10 3" xfId="904"/>
    <cellStyle name="60% - Accent3 10 4" xfId="22169"/>
    <cellStyle name="60% - Accent3 11" xfId="905"/>
    <cellStyle name="60% - Accent3 11 10" xfId="22170"/>
    <cellStyle name="60% - Accent3 11 2" xfId="906"/>
    <cellStyle name="60% - Accent3 11 3" xfId="907"/>
    <cellStyle name="60% - Accent3 11 3 2" xfId="908"/>
    <cellStyle name="60% - Accent3 11 3 3" xfId="3944"/>
    <cellStyle name="60% - Accent3 11 4" xfId="909"/>
    <cellStyle name="60% - Accent3 11 5" xfId="910"/>
    <cellStyle name="60% - Accent3 11 6" xfId="911"/>
    <cellStyle name="60% - Accent3 11 7" xfId="912"/>
    <cellStyle name="60% - Accent3 11 7 2" xfId="913"/>
    <cellStyle name="60% - Accent3 11 7 3" xfId="3945"/>
    <cellStyle name="60% - Accent3 11 8" xfId="3946"/>
    <cellStyle name="60% - Accent3 11 9" xfId="3947"/>
    <cellStyle name="60% - Accent3 12" xfId="914"/>
    <cellStyle name="60% - Accent3 12 2" xfId="22172"/>
    <cellStyle name="60% - Accent3 12 3" xfId="22171"/>
    <cellStyle name="60% - Accent3 13" xfId="22173"/>
    <cellStyle name="60% - Accent3 14" xfId="22174"/>
    <cellStyle name="60% - Accent3 15" xfId="22671"/>
    <cellStyle name="60% - Accent3 16" xfId="22168"/>
    <cellStyle name="60% - Accent3 17" xfId="52890"/>
    <cellStyle name="60% - Accent3 2" xfId="43"/>
    <cellStyle name="60% - Accent3 2 10" xfId="916"/>
    <cellStyle name="60% - Accent3 2 11" xfId="917"/>
    <cellStyle name="60% - Accent3 2 12" xfId="918"/>
    <cellStyle name="60% - Accent3 2 13" xfId="919"/>
    <cellStyle name="60% - Accent3 2 14" xfId="920"/>
    <cellStyle name="60% - Accent3 2 15" xfId="3948"/>
    <cellStyle name="60% - Accent3 2 16" xfId="3949"/>
    <cellStyle name="60% - Accent3 2 17" xfId="3950"/>
    <cellStyle name="60% - Accent3 2 18" xfId="915"/>
    <cellStyle name="60% - Accent3 2 2" xfId="921"/>
    <cellStyle name="60% - Accent3 2 2 2" xfId="922"/>
    <cellStyle name="60% - Accent3 2 2 3" xfId="923"/>
    <cellStyle name="60% - Accent3 2 2 4" xfId="3951"/>
    <cellStyle name="60% - Accent3 2 2 5" xfId="3952"/>
    <cellStyle name="60% - Accent3 2 2_Sheet1" xfId="924"/>
    <cellStyle name="60% - Accent3 2 3" xfId="925"/>
    <cellStyle name="60% - Accent3 2 4" xfId="926"/>
    <cellStyle name="60% - Accent3 2 5" xfId="927"/>
    <cellStyle name="60% - Accent3 2 6" xfId="928"/>
    <cellStyle name="60% - Accent3 2 7" xfId="929"/>
    <cellStyle name="60% - Accent3 2 8" xfId="930"/>
    <cellStyle name="60% - Accent3 2 9" xfId="931"/>
    <cellStyle name="60% - Accent3 2_BallGrid" xfId="932"/>
    <cellStyle name="60% - Accent3 3" xfId="44"/>
    <cellStyle name="60% - Accent3 3 10" xfId="933"/>
    <cellStyle name="60% - Accent3 3 2" xfId="934"/>
    <cellStyle name="60% - Accent3 3 3" xfId="935"/>
    <cellStyle name="60% - Accent3 3 4" xfId="936"/>
    <cellStyle name="60% - Accent3 3 5" xfId="937"/>
    <cellStyle name="60% - Accent3 3 6" xfId="938"/>
    <cellStyle name="60% - Accent3 3 7" xfId="3953"/>
    <cellStyle name="60% - Accent3 3 8" xfId="3954"/>
    <cellStyle name="60% - Accent3 3 9" xfId="3955"/>
    <cellStyle name="60% - Accent3 3_BallGrid" xfId="939"/>
    <cellStyle name="60% - Accent3 4" xfId="45"/>
    <cellStyle name="60% - Accent3 4 2" xfId="941"/>
    <cellStyle name="60% - Accent3 4 2 2" xfId="22848"/>
    <cellStyle name="60% - Accent3 4 3" xfId="942"/>
    <cellStyle name="60% - Accent3 4 3 2" xfId="22175"/>
    <cellStyle name="60% - Accent3 4 4" xfId="943"/>
    <cellStyle name="60% - Accent3 4 5" xfId="944"/>
    <cellStyle name="60% - Accent3 4 6" xfId="3956"/>
    <cellStyle name="60% - Accent3 4 7" xfId="3957"/>
    <cellStyle name="60% - Accent3 4 8" xfId="3958"/>
    <cellStyle name="60% - Accent3 4 9" xfId="940"/>
    <cellStyle name="60% - Accent3 5" xfId="945"/>
    <cellStyle name="60% - Accent3 5 10" xfId="3959"/>
    <cellStyle name="60% - Accent3 5 2" xfId="946"/>
    <cellStyle name="60% - Accent3 5 2 2" xfId="22849"/>
    <cellStyle name="60% - Accent3 5 3" xfId="947"/>
    <cellStyle name="60% - Accent3 5 3 2" xfId="948"/>
    <cellStyle name="60% - Accent3 5 3 3" xfId="3960"/>
    <cellStyle name="60% - Accent3 5 3 4" xfId="22176"/>
    <cellStyle name="60% - Accent3 5 4" xfId="949"/>
    <cellStyle name="60% - Accent3 5 4 2" xfId="52891"/>
    <cellStyle name="60% - Accent3 5 5" xfId="950"/>
    <cellStyle name="60% - Accent3 5 6" xfId="951"/>
    <cellStyle name="60% - Accent3 5 7" xfId="952"/>
    <cellStyle name="60% - Accent3 5 7 2" xfId="953"/>
    <cellStyle name="60% - Accent3 5 7 3" xfId="3961"/>
    <cellStyle name="60% - Accent3 5 8" xfId="3962"/>
    <cellStyle name="60% - Accent3 5 9" xfId="3963"/>
    <cellStyle name="60% - Accent3 6" xfId="954"/>
    <cellStyle name="60% - Accent3 6 2" xfId="955"/>
    <cellStyle name="60% - Accent3 6 2 2" xfId="22850"/>
    <cellStyle name="60% - Accent3 6 3" xfId="956"/>
    <cellStyle name="60% - Accent3 6 3 2" xfId="957"/>
    <cellStyle name="60% - Accent3 6 3 3" xfId="3964"/>
    <cellStyle name="60% - Accent3 6 3 4" xfId="22177"/>
    <cellStyle name="60% - Accent3 6 4" xfId="958"/>
    <cellStyle name="60% - Accent3 6 4 2" xfId="52892"/>
    <cellStyle name="60% - Accent3 6 5" xfId="959"/>
    <cellStyle name="60% - Accent3 6 6" xfId="960"/>
    <cellStyle name="60% - Accent3 6 7" xfId="961"/>
    <cellStyle name="60% - Accent3 6 7 2" xfId="962"/>
    <cellStyle name="60% - Accent3 6 7 3" xfId="3965"/>
    <cellStyle name="60% - Accent3 6 8" xfId="3966"/>
    <cellStyle name="60% - Accent3 6 9" xfId="3967"/>
    <cellStyle name="60% - Accent3 7" xfId="963"/>
    <cellStyle name="60% - Accent3 7 10" xfId="22178"/>
    <cellStyle name="60% - Accent3 7 2" xfId="964"/>
    <cellStyle name="60% - Accent3 7 3" xfId="965"/>
    <cellStyle name="60% - Accent3 7 3 2" xfId="966"/>
    <cellStyle name="60% - Accent3 7 3 3" xfId="3968"/>
    <cellStyle name="60% - Accent3 7 4" xfId="967"/>
    <cellStyle name="60% - Accent3 7 5" xfId="968"/>
    <cellStyle name="60% - Accent3 7 6" xfId="969"/>
    <cellStyle name="60% - Accent3 7 7" xfId="970"/>
    <cellStyle name="60% - Accent3 7 7 2" xfId="971"/>
    <cellStyle name="60% - Accent3 7 7 3" xfId="3969"/>
    <cellStyle name="60% - Accent3 7 8" xfId="3970"/>
    <cellStyle name="60% - Accent3 7 9" xfId="3971"/>
    <cellStyle name="60% - Accent3 8" xfId="972"/>
    <cellStyle name="60% - Accent3 8 10" xfId="22179"/>
    <cellStyle name="60% - Accent3 8 2" xfId="973"/>
    <cellStyle name="60% - Accent3 8 2 2" xfId="22180"/>
    <cellStyle name="60% - Accent3 8 3" xfId="974"/>
    <cellStyle name="60% - Accent3 8 3 2" xfId="975"/>
    <cellStyle name="60% - Accent3 8 3 3" xfId="3972"/>
    <cellStyle name="60% - Accent3 8 4" xfId="976"/>
    <cellStyle name="60% - Accent3 8 5" xfId="977"/>
    <cellStyle name="60% - Accent3 8 6" xfId="978"/>
    <cellStyle name="60% - Accent3 8 7" xfId="979"/>
    <cellStyle name="60% - Accent3 8 7 2" xfId="980"/>
    <cellStyle name="60% - Accent3 8 7 3" xfId="3973"/>
    <cellStyle name="60% - Accent3 8 8" xfId="3974"/>
    <cellStyle name="60% - Accent3 8 9" xfId="3975"/>
    <cellStyle name="60% - Accent3 9" xfId="981"/>
    <cellStyle name="60% - Accent3 9 10" xfId="22181"/>
    <cellStyle name="60% - Accent3 9 2" xfId="982"/>
    <cellStyle name="60% - Accent3 9 3" xfId="983"/>
    <cellStyle name="60% - Accent3 9 3 2" xfId="984"/>
    <cellStyle name="60% - Accent3 9 3 3" xfId="3976"/>
    <cellStyle name="60% - Accent3 9 4" xfId="985"/>
    <cellStyle name="60% - Accent3 9 5" xfId="986"/>
    <cellStyle name="60% - Accent3 9 6" xfId="987"/>
    <cellStyle name="60% - Accent3 9 7" xfId="988"/>
    <cellStyle name="60% - Accent3 9 7 2" xfId="989"/>
    <cellStyle name="60% - Accent3 9 7 3" xfId="3977"/>
    <cellStyle name="60% - Accent3 9 8" xfId="3978"/>
    <cellStyle name="60% - Accent3 9 9" xfId="3979"/>
    <cellStyle name="60% - Accent4" xfId="178" builtinId="44" customBuiltin="1"/>
    <cellStyle name="60% - Accent4 10" xfId="990"/>
    <cellStyle name="60% - Accent4 10 2" xfId="991"/>
    <cellStyle name="60% - Accent4 10 3" xfId="992"/>
    <cellStyle name="60% - Accent4 10 4" xfId="22183"/>
    <cellStyle name="60% - Accent4 11" xfId="993"/>
    <cellStyle name="60% - Accent4 11 10" xfId="22184"/>
    <cellStyle name="60% - Accent4 11 2" xfId="994"/>
    <cellStyle name="60% - Accent4 11 3" xfId="995"/>
    <cellStyle name="60% - Accent4 11 3 2" xfId="996"/>
    <cellStyle name="60% - Accent4 11 3 3" xfId="3980"/>
    <cellStyle name="60% - Accent4 11 4" xfId="997"/>
    <cellStyle name="60% - Accent4 11 5" xfId="998"/>
    <cellStyle name="60% - Accent4 11 6" xfId="999"/>
    <cellStyle name="60% - Accent4 11 7" xfId="1000"/>
    <cellStyle name="60% - Accent4 11 7 2" xfId="1001"/>
    <cellStyle name="60% - Accent4 11 7 3" xfId="3981"/>
    <cellStyle name="60% - Accent4 11 8" xfId="3982"/>
    <cellStyle name="60% - Accent4 11 9" xfId="3983"/>
    <cellStyle name="60% - Accent4 12" xfId="1002"/>
    <cellStyle name="60% - Accent4 12 2" xfId="22186"/>
    <cellStyle name="60% - Accent4 12 3" xfId="22185"/>
    <cellStyle name="60% - Accent4 13" xfId="22187"/>
    <cellStyle name="60% - Accent4 14" xfId="22188"/>
    <cellStyle name="60% - Accent4 15" xfId="22675"/>
    <cellStyle name="60% - Accent4 16" xfId="22182"/>
    <cellStyle name="60% - Accent4 17" xfId="52893"/>
    <cellStyle name="60% - Accent4 2" xfId="46"/>
    <cellStyle name="60% - Accent4 2 10" xfId="1004"/>
    <cellStyle name="60% - Accent4 2 11" xfId="1005"/>
    <cellStyle name="60% - Accent4 2 12" xfId="1006"/>
    <cellStyle name="60% - Accent4 2 13" xfId="1007"/>
    <cellStyle name="60% - Accent4 2 14" xfId="1008"/>
    <cellStyle name="60% - Accent4 2 15" xfId="3984"/>
    <cellStyle name="60% - Accent4 2 16" xfId="3985"/>
    <cellStyle name="60% - Accent4 2 17" xfId="3986"/>
    <cellStyle name="60% - Accent4 2 18" xfId="1003"/>
    <cellStyle name="60% - Accent4 2 2" xfId="1009"/>
    <cellStyle name="60% - Accent4 2 2 2" xfId="1010"/>
    <cellStyle name="60% - Accent4 2 2 3" xfId="1011"/>
    <cellStyle name="60% - Accent4 2 2 4" xfId="3987"/>
    <cellStyle name="60% - Accent4 2 2 5" xfId="3988"/>
    <cellStyle name="60% - Accent4 2 2_Sheet1" xfId="1012"/>
    <cellStyle name="60% - Accent4 2 3" xfId="1013"/>
    <cellStyle name="60% - Accent4 2 4" xfId="1014"/>
    <cellStyle name="60% - Accent4 2 5" xfId="1015"/>
    <cellStyle name="60% - Accent4 2 6" xfId="1016"/>
    <cellStyle name="60% - Accent4 2 7" xfId="1017"/>
    <cellStyle name="60% - Accent4 2 8" xfId="1018"/>
    <cellStyle name="60% - Accent4 2 9" xfId="1019"/>
    <cellStyle name="60% - Accent4 2_BallGrid" xfId="1020"/>
    <cellStyle name="60% - Accent4 3" xfId="47"/>
    <cellStyle name="60% - Accent4 3 10" xfId="1021"/>
    <cellStyle name="60% - Accent4 3 2" xfId="1022"/>
    <cellStyle name="60% - Accent4 3 3" xfId="1023"/>
    <cellStyle name="60% - Accent4 3 4" xfId="1024"/>
    <cellStyle name="60% - Accent4 3 5" xfId="1025"/>
    <cellStyle name="60% - Accent4 3 6" xfId="1026"/>
    <cellStyle name="60% - Accent4 3 7" xfId="3989"/>
    <cellStyle name="60% - Accent4 3 8" xfId="3990"/>
    <cellStyle name="60% - Accent4 3 9" xfId="3991"/>
    <cellStyle name="60% - Accent4 3_BallGrid" xfId="1027"/>
    <cellStyle name="60% - Accent4 4" xfId="48"/>
    <cellStyle name="60% - Accent4 4 2" xfId="1029"/>
    <cellStyle name="60% - Accent4 4 2 2" xfId="22851"/>
    <cellStyle name="60% - Accent4 4 3" xfId="1030"/>
    <cellStyle name="60% - Accent4 4 3 2" xfId="22189"/>
    <cellStyle name="60% - Accent4 4 4" xfId="1031"/>
    <cellStyle name="60% - Accent4 4 5" xfId="1032"/>
    <cellStyle name="60% - Accent4 4 6" xfId="3992"/>
    <cellStyle name="60% - Accent4 4 7" xfId="3993"/>
    <cellStyle name="60% - Accent4 4 8" xfId="3994"/>
    <cellStyle name="60% - Accent4 4 9" xfId="1028"/>
    <cellStyle name="60% - Accent4 5" xfId="1033"/>
    <cellStyle name="60% - Accent4 5 10" xfId="3995"/>
    <cellStyle name="60% - Accent4 5 2" xfId="1034"/>
    <cellStyle name="60% - Accent4 5 2 2" xfId="22852"/>
    <cellStyle name="60% - Accent4 5 3" xfId="1035"/>
    <cellStyle name="60% - Accent4 5 3 2" xfId="1036"/>
    <cellStyle name="60% - Accent4 5 3 3" xfId="3996"/>
    <cellStyle name="60% - Accent4 5 3 4" xfId="22190"/>
    <cellStyle name="60% - Accent4 5 4" xfId="1037"/>
    <cellStyle name="60% - Accent4 5 4 2" xfId="52894"/>
    <cellStyle name="60% - Accent4 5 5" xfId="1038"/>
    <cellStyle name="60% - Accent4 5 6" xfId="1039"/>
    <cellStyle name="60% - Accent4 5 7" xfId="1040"/>
    <cellStyle name="60% - Accent4 5 7 2" xfId="1041"/>
    <cellStyle name="60% - Accent4 5 7 3" xfId="3997"/>
    <cellStyle name="60% - Accent4 5 8" xfId="3998"/>
    <cellStyle name="60% - Accent4 5 9" xfId="3999"/>
    <cellStyle name="60% - Accent4 6" xfId="1042"/>
    <cellStyle name="60% - Accent4 6 2" xfId="1043"/>
    <cellStyle name="60% - Accent4 6 2 2" xfId="22853"/>
    <cellStyle name="60% - Accent4 6 3" xfId="1044"/>
    <cellStyle name="60% - Accent4 6 3 2" xfId="1045"/>
    <cellStyle name="60% - Accent4 6 3 3" xfId="4000"/>
    <cellStyle name="60% - Accent4 6 3 4" xfId="22191"/>
    <cellStyle name="60% - Accent4 6 4" xfId="1046"/>
    <cellStyle name="60% - Accent4 6 4 2" xfId="52895"/>
    <cellStyle name="60% - Accent4 6 5" xfId="1047"/>
    <cellStyle name="60% - Accent4 6 6" xfId="1048"/>
    <cellStyle name="60% - Accent4 6 7" xfId="1049"/>
    <cellStyle name="60% - Accent4 6 7 2" xfId="1050"/>
    <cellStyle name="60% - Accent4 6 7 3" xfId="4001"/>
    <cellStyle name="60% - Accent4 6 8" xfId="4002"/>
    <cellStyle name="60% - Accent4 6 9" xfId="4003"/>
    <cellStyle name="60% - Accent4 7" xfId="1051"/>
    <cellStyle name="60% - Accent4 7 10" xfId="22192"/>
    <cellStyle name="60% - Accent4 7 2" xfId="1052"/>
    <cellStyle name="60% - Accent4 7 3" xfId="1053"/>
    <cellStyle name="60% - Accent4 7 3 2" xfId="1054"/>
    <cellStyle name="60% - Accent4 7 3 3" xfId="4004"/>
    <cellStyle name="60% - Accent4 7 4" xfId="1055"/>
    <cellStyle name="60% - Accent4 7 5" xfId="1056"/>
    <cellStyle name="60% - Accent4 7 6" xfId="1057"/>
    <cellStyle name="60% - Accent4 7 7" xfId="1058"/>
    <cellStyle name="60% - Accent4 7 7 2" xfId="1059"/>
    <cellStyle name="60% - Accent4 7 7 3" xfId="4005"/>
    <cellStyle name="60% - Accent4 7 8" xfId="4006"/>
    <cellStyle name="60% - Accent4 7 9" xfId="4007"/>
    <cellStyle name="60% - Accent4 8" xfId="1060"/>
    <cellStyle name="60% - Accent4 8 10" xfId="22193"/>
    <cellStyle name="60% - Accent4 8 2" xfId="1061"/>
    <cellStyle name="60% - Accent4 8 2 2" xfId="22194"/>
    <cellStyle name="60% - Accent4 8 3" xfId="1062"/>
    <cellStyle name="60% - Accent4 8 3 2" xfId="1063"/>
    <cellStyle name="60% - Accent4 8 3 3" xfId="4008"/>
    <cellStyle name="60% - Accent4 8 4" xfId="1064"/>
    <cellStyle name="60% - Accent4 8 5" xfId="1065"/>
    <cellStyle name="60% - Accent4 8 6" xfId="1066"/>
    <cellStyle name="60% - Accent4 8 7" xfId="1067"/>
    <cellStyle name="60% - Accent4 8 7 2" xfId="1068"/>
    <cellStyle name="60% - Accent4 8 7 3" xfId="4009"/>
    <cellStyle name="60% - Accent4 8 8" xfId="4010"/>
    <cellStyle name="60% - Accent4 8 9" xfId="4011"/>
    <cellStyle name="60% - Accent4 9" xfId="1069"/>
    <cellStyle name="60% - Accent4 9 10" xfId="22195"/>
    <cellStyle name="60% - Accent4 9 2" xfId="1070"/>
    <cellStyle name="60% - Accent4 9 3" xfId="1071"/>
    <cellStyle name="60% - Accent4 9 3 2" xfId="1072"/>
    <cellStyle name="60% - Accent4 9 3 3" xfId="4012"/>
    <cellStyle name="60% - Accent4 9 4" xfId="1073"/>
    <cellStyle name="60% - Accent4 9 5" xfId="1074"/>
    <cellStyle name="60% - Accent4 9 6" xfId="1075"/>
    <cellStyle name="60% - Accent4 9 7" xfId="1076"/>
    <cellStyle name="60% - Accent4 9 7 2" xfId="1077"/>
    <cellStyle name="60% - Accent4 9 7 3" xfId="4013"/>
    <cellStyle name="60% - Accent4 9 8" xfId="4014"/>
    <cellStyle name="60% - Accent4 9 9" xfId="4015"/>
    <cellStyle name="60% - Accent5" xfId="182" builtinId="48" customBuiltin="1"/>
    <cellStyle name="60% - Accent5 10" xfId="1078"/>
    <cellStyle name="60% - Accent5 10 2" xfId="1079"/>
    <cellStyle name="60% - Accent5 10 3" xfId="1080"/>
    <cellStyle name="60% - Accent5 11" xfId="1081"/>
    <cellStyle name="60% - Accent5 2" xfId="49"/>
    <cellStyle name="60% - Accent5 2 10" xfId="1083"/>
    <cellStyle name="60% - Accent5 2 11" xfId="1084"/>
    <cellStyle name="60% - Accent5 2 12" xfId="1085"/>
    <cellStyle name="60% - Accent5 2 13" xfId="1086"/>
    <cellStyle name="60% - Accent5 2 14" xfId="1087"/>
    <cellStyle name="60% - Accent5 2 15" xfId="4016"/>
    <cellStyle name="60% - Accent5 2 16" xfId="4017"/>
    <cellStyle name="60% - Accent5 2 17" xfId="4018"/>
    <cellStyle name="60% - Accent5 2 18" xfId="1082"/>
    <cellStyle name="60% - Accent5 2 2" xfId="1088"/>
    <cellStyle name="60% - Accent5 2 2 2" xfId="1089"/>
    <cellStyle name="60% - Accent5 2 2 3" xfId="1090"/>
    <cellStyle name="60% - Accent5 2 2 4" xfId="4019"/>
    <cellStyle name="60% - Accent5 2 2 5" xfId="4020"/>
    <cellStyle name="60% - Accent5 2 2_Sheet1" xfId="1091"/>
    <cellStyle name="60% - Accent5 2 3" xfId="1092"/>
    <cellStyle name="60% - Accent5 2 4" xfId="1093"/>
    <cellStyle name="60% - Accent5 2 5" xfId="1094"/>
    <cellStyle name="60% - Accent5 2 6" xfId="1095"/>
    <cellStyle name="60% - Accent5 2 7" xfId="1096"/>
    <cellStyle name="60% - Accent5 2 8" xfId="1097"/>
    <cellStyle name="60% - Accent5 2 9" xfId="1098"/>
    <cellStyle name="60% - Accent5 2_BallGrid" xfId="1099"/>
    <cellStyle name="60% - Accent5 3" xfId="50"/>
    <cellStyle name="60% - Accent5 3 10" xfId="1100"/>
    <cellStyle name="60% - Accent5 3 2" xfId="1101"/>
    <cellStyle name="60% - Accent5 3 3" xfId="1102"/>
    <cellStyle name="60% - Accent5 3 4" xfId="1103"/>
    <cellStyle name="60% - Accent5 3 5" xfId="1104"/>
    <cellStyle name="60% - Accent5 3 6" xfId="1105"/>
    <cellStyle name="60% - Accent5 3 7" xfId="4021"/>
    <cellStyle name="60% - Accent5 3 8" xfId="4022"/>
    <cellStyle name="60% - Accent5 3 9" xfId="4023"/>
    <cellStyle name="60% - Accent5 3_BallGrid" xfId="1106"/>
    <cellStyle name="60% - Accent5 4" xfId="51"/>
    <cellStyle name="60% - Accent5 4 2" xfId="1108"/>
    <cellStyle name="60% - Accent5 4 2 2" xfId="22854"/>
    <cellStyle name="60% - Accent5 4 3" xfId="1109"/>
    <cellStyle name="60% - Accent5 4 3 2" xfId="22197"/>
    <cellStyle name="60% - Accent5 4 4" xfId="1110"/>
    <cellStyle name="60% - Accent5 4 5" xfId="1111"/>
    <cellStyle name="60% - Accent5 4 6" xfId="4024"/>
    <cellStyle name="60% - Accent5 4 7" xfId="4025"/>
    <cellStyle name="60% - Accent5 4 8" xfId="4026"/>
    <cellStyle name="60% - Accent5 4 9" xfId="1107"/>
    <cellStyle name="60% - Accent5 5" xfId="1112"/>
    <cellStyle name="60% - Accent5 5 2" xfId="4027"/>
    <cellStyle name="60% - Accent5 5 3" xfId="4028"/>
    <cellStyle name="60% - Accent5 5 3 2" xfId="22198"/>
    <cellStyle name="60% - Accent5 5 4" xfId="52896"/>
    <cellStyle name="60% - Accent5 6" xfId="1113"/>
    <cellStyle name="60% - Accent5 6 2" xfId="22855"/>
    <cellStyle name="60% - Accent5 6 3" xfId="22199"/>
    <cellStyle name="60% - Accent5 6 4" xfId="52897"/>
    <cellStyle name="60% - Accent5 7" xfId="1114"/>
    <cellStyle name="60% - Accent5 8" xfId="1115"/>
    <cellStyle name="60% - Accent5 8 2" xfId="22200"/>
    <cellStyle name="60% - Accent5 9" xfId="1116"/>
    <cellStyle name="60% - Accent5 9 2" xfId="22196"/>
    <cellStyle name="60% - Accent6" xfId="186" builtinId="52" customBuiltin="1"/>
    <cellStyle name="60% - Accent6 10" xfId="1117"/>
    <cellStyle name="60% - Accent6 10 2" xfId="1118"/>
    <cellStyle name="60% - Accent6 10 3" xfId="1119"/>
    <cellStyle name="60% - Accent6 10 4" xfId="22202"/>
    <cellStyle name="60% - Accent6 11" xfId="1120"/>
    <cellStyle name="60% - Accent6 11 10" xfId="22203"/>
    <cellStyle name="60% - Accent6 11 2" xfId="1121"/>
    <cellStyle name="60% - Accent6 11 3" xfId="1122"/>
    <cellStyle name="60% - Accent6 11 3 2" xfId="1123"/>
    <cellStyle name="60% - Accent6 11 3 3" xfId="4029"/>
    <cellStyle name="60% - Accent6 11 4" xfId="1124"/>
    <cellStyle name="60% - Accent6 11 5" xfId="1125"/>
    <cellStyle name="60% - Accent6 11 6" xfId="1126"/>
    <cellStyle name="60% - Accent6 11 7" xfId="1127"/>
    <cellStyle name="60% - Accent6 11 7 2" xfId="1128"/>
    <cellStyle name="60% - Accent6 11 7 3" xfId="4030"/>
    <cellStyle name="60% - Accent6 11 8" xfId="4031"/>
    <cellStyle name="60% - Accent6 11 9" xfId="4032"/>
    <cellStyle name="60% - Accent6 12" xfId="1129"/>
    <cellStyle name="60% - Accent6 12 2" xfId="22205"/>
    <cellStyle name="60% - Accent6 12 3" xfId="22204"/>
    <cellStyle name="60% - Accent6 13" xfId="22206"/>
    <cellStyle name="60% - Accent6 14" xfId="22207"/>
    <cellStyle name="60% - Accent6 15" xfId="22680"/>
    <cellStyle name="60% - Accent6 16" xfId="22201"/>
    <cellStyle name="60% - Accent6 17" xfId="52898"/>
    <cellStyle name="60% - Accent6 2" xfId="52"/>
    <cellStyle name="60% - Accent6 2 10" xfId="1131"/>
    <cellStyle name="60% - Accent6 2 11" xfId="1132"/>
    <cellStyle name="60% - Accent6 2 12" xfId="1133"/>
    <cellStyle name="60% - Accent6 2 13" xfId="1134"/>
    <cellStyle name="60% - Accent6 2 14" xfId="1135"/>
    <cellStyle name="60% - Accent6 2 15" xfId="4033"/>
    <cellStyle name="60% - Accent6 2 16" xfId="4034"/>
    <cellStyle name="60% - Accent6 2 17" xfId="4035"/>
    <cellStyle name="60% - Accent6 2 18" xfId="1130"/>
    <cellStyle name="60% - Accent6 2 2" xfId="1136"/>
    <cellStyle name="60% - Accent6 2 2 2" xfId="1137"/>
    <cellStyle name="60% - Accent6 2 2 3" xfId="1138"/>
    <cellStyle name="60% - Accent6 2 2 4" xfId="4036"/>
    <cellStyle name="60% - Accent6 2 2 5" xfId="4037"/>
    <cellStyle name="60% - Accent6 2 2_Sheet1" xfId="1139"/>
    <cellStyle name="60% - Accent6 2 3" xfId="1140"/>
    <cellStyle name="60% - Accent6 2 4" xfId="1141"/>
    <cellStyle name="60% - Accent6 2 5" xfId="1142"/>
    <cellStyle name="60% - Accent6 2 6" xfId="1143"/>
    <cellStyle name="60% - Accent6 2 7" xfId="1144"/>
    <cellStyle name="60% - Accent6 2 8" xfId="1145"/>
    <cellStyle name="60% - Accent6 2 9" xfId="1146"/>
    <cellStyle name="60% - Accent6 2_BallGrid" xfId="1147"/>
    <cellStyle name="60% - Accent6 3" xfId="53"/>
    <cellStyle name="60% - Accent6 3 10" xfId="1148"/>
    <cellStyle name="60% - Accent6 3 2" xfId="1149"/>
    <cellStyle name="60% - Accent6 3 3" xfId="1150"/>
    <cellStyle name="60% - Accent6 3 4" xfId="1151"/>
    <cellStyle name="60% - Accent6 3 5" xfId="1152"/>
    <cellStyle name="60% - Accent6 3 6" xfId="1153"/>
    <cellStyle name="60% - Accent6 3 7" xfId="4038"/>
    <cellStyle name="60% - Accent6 3 8" xfId="4039"/>
    <cellStyle name="60% - Accent6 3 9" xfId="4040"/>
    <cellStyle name="60% - Accent6 3_BallGrid" xfId="1154"/>
    <cellStyle name="60% - Accent6 4" xfId="54"/>
    <cellStyle name="60% - Accent6 4 2" xfId="1156"/>
    <cellStyle name="60% - Accent6 4 2 2" xfId="22856"/>
    <cellStyle name="60% - Accent6 4 3" xfId="1157"/>
    <cellStyle name="60% - Accent6 4 3 2" xfId="22208"/>
    <cellStyle name="60% - Accent6 4 4" xfId="1158"/>
    <cellStyle name="60% - Accent6 4 5" xfId="1159"/>
    <cellStyle name="60% - Accent6 4 6" xfId="4041"/>
    <cellStyle name="60% - Accent6 4 7" xfId="4042"/>
    <cellStyle name="60% - Accent6 4 8" xfId="4043"/>
    <cellStyle name="60% - Accent6 4 9" xfId="1155"/>
    <cellStyle name="60% - Accent6 5" xfId="1160"/>
    <cellStyle name="60% - Accent6 5 10" xfId="4044"/>
    <cellStyle name="60% - Accent6 5 2" xfId="1161"/>
    <cellStyle name="60% - Accent6 5 2 2" xfId="22857"/>
    <cellStyle name="60% - Accent6 5 3" xfId="1162"/>
    <cellStyle name="60% - Accent6 5 3 2" xfId="1163"/>
    <cellStyle name="60% - Accent6 5 3 3" xfId="4045"/>
    <cellStyle name="60% - Accent6 5 3 4" xfId="22209"/>
    <cellStyle name="60% - Accent6 5 4" xfId="1164"/>
    <cellStyle name="60% - Accent6 5 4 2" xfId="52899"/>
    <cellStyle name="60% - Accent6 5 5" xfId="1165"/>
    <cellStyle name="60% - Accent6 5 6" xfId="1166"/>
    <cellStyle name="60% - Accent6 5 7" xfId="1167"/>
    <cellStyle name="60% - Accent6 5 7 2" xfId="1168"/>
    <cellStyle name="60% - Accent6 5 7 3" xfId="4046"/>
    <cellStyle name="60% - Accent6 5 8" xfId="4047"/>
    <cellStyle name="60% - Accent6 5 9" xfId="4048"/>
    <cellStyle name="60% - Accent6 6" xfId="1169"/>
    <cellStyle name="60% - Accent6 6 2" xfId="1170"/>
    <cellStyle name="60% - Accent6 6 2 2" xfId="22858"/>
    <cellStyle name="60% - Accent6 6 3" xfId="1171"/>
    <cellStyle name="60% - Accent6 6 3 2" xfId="1172"/>
    <cellStyle name="60% - Accent6 6 3 3" xfId="4049"/>
    <cellStyle name="60% - Accent6 6 3 4" xfId="22210"/>
    <cellStyle name="60% - Accent6 6 4" xfId="1173"/>
    <cellStyle name="60% - Accent6 6 4 2" xfId="52900"/>
    <cellStyle name="60% - Accent6 6 5" xfId="1174"/>
    <cellStyle name="60% - Accent6 6 6" xfId="1175"/>
    <cellStyle name="60% - Accent6 6 7" xfId="1176"/>
    <cellStyle name="60% - Accent6 6 7 2" xfId="1177"/>
    <cellStyle name="60% - Accent6 6 7 3" xfId="4050"/>
    <cellStyle name="60% - Accent6 6 8" xfId="4051"/>
    <cellStyle name="60% - Accent6 6 9" xfId="4052"/>
    <cellStyle name="60% - Accent6 7" xfId="1178"/>
    <cellStyle name="60% - Accent6 7 10" xfId="22211"/>
    <cellStyle name="60% - Accent6 7 2" xfId="1179"/>
    <cellStyle name="60% - Accent6 7 3" xfId="1180"/>
    <cellStyle name="60% - Accent6 7 3 2" xfId="1181"/>
    <cellStyle name="60% - Accent6 7 3 3" xfId="4053"/>
    <cellStyle name="60% - Accent6 7 4" xfId="1182"/>
    <cellStyle name="60% - Accent6 7 5" xfId="1183"/>
    <cellStyle name="60% - Accent6 7 6" xfId="1184"/>
    <cellStyle name="60% - Accent6 7 7" xfId="1185"/>
    <cellStyle name="60% - Accent6 7 7 2" xfId="1186"/>
    <cellStyle name="60% - Accent6 7 7 3" xfId="4054"/>
    <cellStyle name="60% - Accent6 7 8" xfId="4055"/>
    <cellStyle name="60% - Accent6 7 9" xfId="4056"/>
    <cellStyle name="60% - Accent6 8" xfId="1187"/>
    <cellStyle name="60% - Accent6 8 10" xfId="22212"/>
    <cellStyle name="60% - Accent6 8 2" xfId="1188"/>
    <cellStyle name="60% - Accent6 8 2 2" xfId="22213"/>
    <cellStyle name="60% - Accent6 8 3" xfId="1189"/>
    <cellStyle name="60% - Accent6 8 3 2" xfId="1190"/>
    <cellStyle name="60% - Accent6 8 3 3" xfId="4057"/>
    <cellStyle name="60% - Accent6 8 4" xfId="1191"/>
    <cellStyle name="60% - Accent6 8 5" xfId="1192"/>
    <cellStyle name="60% - Accent6 8 6" xfId="1193"/>
    <cellStyle name="60% - Accent6 8 7" xfId="1194"/>
    <cellStyle name="60% - Accent6 8 7 2" xfId="1195"/>
    <cellStyle name="60% - Accent6 8 7 3" xfId="4058"/>
    <cellStyle name="60% - Accent6 8 8" xfId="4059"/>
    <cellStyle name="60% - Accent6 8 9" xfId="4060"/>
    <cellStyle name="60% - Accent6 9" xfId="1196"/>
    <cellStyle name="60% - Accent6 9 10" xfId="22214"/>
    <cellStyle name="60% - Accent6 9 2" xfId="1197"/>
    <cellStyle name="60% - Accent6 9 3" xfId="1198"/>
    <cellStyle name="60% - Accent6 9 3 2" xfId="1199"/>
    <cellStyle name="60% - Accent6 9 3 3" xfId="4061"/>
    <cellStyle name="60% - Accent6 9 4" xfId="1200"/>
    <cellStyle name="60% - Accent6 9 5" xfId="1201"/>
    <cellStyle name="60% - Accent6 9 6" xfId="1202"/>
    <cellStyle name="60% - Accent6 9 7" xfId="1203"/>
    <cellStyle name="60% - Accent6 9 7 2" xfId="1204"/>
    <cellStyle name="60% - Accent6 9 7 3" xfId="4062"/>
    <cellStyle name="60% - Accent6 9 8" xfId="4063"/>
    <cellStyle name="60% - Accent6 9 9" xfId="4064"/>
    <cellStyle name="Accent1" xfId="163" builtinId="29" customBuiltin="1"/>
    <cellStyle name="Accent1 10" xfId="22216"/>
    <cellStyle name="Accent1 11" xfId="22217"/>
    <cellStyle name="Accent1 12" xfId="22218"/>
    <cellStyle name="Accent1 12 2" xfId="22219"/>
    <cellStyle name="Accent1 13" xfId="22220"/>
    <cellStyle name="Accent1 14" xfId="22221"/>
    <cellStyle name="Accent1 15" xfId="22664"/>
    <cellStyle name="Accent1 16" xfId="22215"/>
    <cellStyle name="Accent1 2" xfId="55"/>
    <cellStyle name="Accent1 2 10" xfId="1206"/>
    <cellStyle name="Accent1 2 11" xfId="1207"/>
    <cellStyle name="Accent1 2 12" xfId="1208"/>
    <cellStyle name="Accent1 2 13" xfId="1209"/>
    <cellStyle name="Accent1 2 14" xfId="1210"/>
    <cellStyle name="Accent1 2 15" xfId="4065"/>
    <cellStyle name="Accent1 2 16" xfId="4066"/>
    <cellStyle name="Accent1 2 17" xfId="4067"/>
    <cellStyle name="Accent1 2 18" xfId="1205"/>
    <cellStyle name="Accent1 2 2" xfId="1211"/>
    <cellStyle name="Accent1 2 2 2" xfId="1212"/>
    <cellStyle name="Accent1 2 2 3" xfId="1213"/>
    <cellStyle name="Accent1 2 2 4" xfId="4068"/>
    <cellStyle name="Accent1 2 2 5" xfId="4069"/>
    <cellStyle name="Accent1 2 2_Sheet1" xfId="1214"/>
    <cellStyle name="Accent1 2 3" xfId="1215"/>
    <cellStyle name="Accent1 2 4" xfId="1216"/>
    <cellStyle name="Accent1 2 5" xfId="1217"/>
    <cellStyle name="Accent1 2 6" xfId="1218"/>
    <cellStyle name="Accent1 2 7" xfId="1219"/>
    <cellStyle name="Accent1 2 8" xfId="1220"/>
    <cellStyle name="Accent1 2 9" xfId="1221"/>
    <cellStyle name="Accent1 2_BallGrid" xfId="1222"/>
    <cellStyle name="Accent1 3" xfId="56"/>
    <cellStyle name="Accent1 3 2" xfId="1223"/>
    <cellStyle name="Accent1 3 3" xfId="1224"/>
    <cellStyle name="Accent1 3 4" xfId="4070"/>
    <cellStyle name="Accent1 4" xfId="57"/>
    <cellStyle name="Accent1 4 2" xfId="1225"/>
    <cellStyle name="Accent1 4 3" xfId="1226"/>
    <cellStyle name="Accent1 4 4" xfId="4071"/>
    <cellStyle name="Accent1 4 5" xfId="4072"/>
    <cellStyle name="Accent1 5" xfId="1227"/>
    <cellStyle name="Accent1 5 2" xfId="4073"/>
    <cellStyle name="Accent1 5 3" xfId="4074"/>
    <cellStyle name="Accent1 5 4" xfId="22222"/>
    <cellStyle name="Accent1 6" xfId="22223"/>
    <cellStyle name="Accent1 7" xfId="22224"/>
    <cellStyle name="Accent1 8" xfId="22225"/>
    <cellStyle name="Accent1 8 2" xfId="22226"/>
    <cellStyle name="Accent1 9" xfId="22227"/>
    <cellStyle name="Accent2" xfId="167" builtinId="33" customBuiltin="1"/>
    <cellStyle name="Accent2 2" xfId="58"/>
    <cellStyle name="Accent2 2 10" xfId="1229"/>
    <cellStyle name="Accent2 2 11" xfId="1230"/>
    <cellStyle name="Accent2 2 12" xfId="1231"/>
    <cellStyle name="Accent2 2 13" xfId="1232"/>
    <cellStyle name="Accent2 2 14" xfId="1233"/>
    <cellStyle name="Accent2 2 15" xfId="4075"/>
    <cellStyle name="Accent2 2 16" xfId="4076"/>
    <cellStyle name="Accent2 2 17" xfId="4077"/>
    <cellStyle name="Accent2 2 18" xfId="1228"/>
    <cellStyle name="Accent2 2 2" xfId="1234"/>
    <cellStyle name="Accent2 2 2 2" xfId="1235"/>
    <cellStyle name="Accent2 2 2 3" xfId="1236"/>
    <cellStyle name="Accent2 2 2 4" xfId="4078"/>
    <cellStyle name="Accent2 2 2 5" xfId="4079"/>
    <cellStyle name="Accent2 2 2_Sheet1" xfId="1237"/>
    <cellStyle name="Accent2 2 3" xfId="1238"/>
    <cellStyle name="Accent2 2 4" xfId="1239"/>
    <cellStyle name="Accent2 2 5" xfId="1240"/>
    <cellStyle name="Accent2 2 6" xfId="1241"/>
    <cellStyle name="Accent2 2 7" xfId="1242"/>
    <cellStyle name="Accent2 2 8" xfId="1243"/>
    <cellStyle name="Accent2 2 9" xfId="1244"/>
    <cellStyle name="Accent2 2_BallGrid" xfId="1245"/>
    <cellStyle name="Accent2 3" xfId="59"/>
    <cellStyle name="Accent2 3 2" xfId="1246"/>
    <cellStyle name="Accent2 3 2 2" xfId="22229"/>
    <cellStyle name="Accent2 3 3" xfId="1247"/>
    <cellStyle name="Accent2 3 4" xfId="4080"/>
    <cellStyle name="Accent2 4" xfId="60"/>
    <cellStyle name="Accent2 4 2" xfId="1248"/>
    <cellStyle name="Accent2 4 3" xfId="1249"/>
    <cellStyle name="Accent2 4 4" xfId="4081"/>
    <cellStyle name="Accent2 4 5" xfId="4082"/>
    <cellStyle name="Accent2 5" xfId="1250"/>
    <cellStyle name="Accent2 5 2" xfId="4083"/>
    <cellStyle name="Accent2 5 3" xfId="4084"/>
    <cellStyle name="Accent2 5 4" xfId="22230"/>
    <cellStyle name="Accent2 6" xfId="22231"/>
    <cellStyle name="Accent2 7" xfId="22232"/>
    <cellStyle name="Accent2 8" xfId="22228"/>
    <cellStyle name="Accent3" xfId="171" builtinId="37" customBuiltin="1"/>
    <cellStyle name="Accent3 10" xfId="1251"/>
    <cellStyle name="Accent3 10 2" xfId="1252"/>
    <cellStyle name="Accent3 10 3" xfId="1253"/>
    <cellStyle name="Accent3 11" xfId="1254"/>
    <cellStyle name="Accent3 2" xfId="61"/>
    <cellStyle name="Accent3 2 10" xfId="1256"/>
    <cellStyle name="Accent3 2 11" xfId="1257"/>
    <cellStyle name="Accent3 2 12" xfId="1258"/>
    <cellStyle name="Accent3 2 13" xfId="1259"/>
    <cellStyle name="Accent3 2 14" xfId="1260"/>
    <cellStyle name="Accent3 2 15" xfId="4085"/>
    <cellStyle name="Accent3 2 16" xfId="4086"/>
    <cellStyle name="Accent3 2 17" xfId="4087"/>
    <cellStyle name="Accent3 2 18" xfId="1255"/>
    <cellStyle name="Accent3 2 2" xfId="1261"/>
    <cellStyle name="Accent3 2 2 2" xfId="1262"/>
    <cellStyle name="Accent3 2 2 3" xfId="1263"/>
    <cellStyle name="Accent3 2 2 4" xfId="4088"/>
    <cellStyle name="Accent3 2 2 5" xfId="4089"/>
    <cellStyle name="Accent3 2 2_Sheet1" xfId="1264"/>
    <cellStyle name="Accent3 2 3" xfId="1265"/>
    <cellStyle name="Accent3 2 4" xfId="1266"/>
    <cellStyle name="Accent3 2 5" xfId="1267"/>
    <cellStyle name="Accent3 2 6" xfId="1268"/>
    <cellStyle name="Accent3 2 7" xfId="1269"/>
    <cellStyle name="Accent3 2 8" xfId="1270"/>
    <cellStyle name="Accent3 2 9" xfId="1271"/>
    <cellStyle name="Accent3 2_BallGrid" xfId="1272"/>
    <cellStyle name="Accent3 3" xfId="62"/>
    <cellStyle name="Accent3 3 10" xfId="1273"/>
    <cellStyle name="Accent3 3 2" xfId="1274"/>
    <cellStyle name="Accent3 3 3" xfId="1275"/>
    <cellStyle name="Accent3 3 4" xfId="1276"/>
    <cellStyle name="Accent3 3 5" xfId="1277"/>
    <cellStyle name="Accent3 3 6" xfId="1278"/>
    <cellStyle name="Accent3 3 7" xfId="4090"/>
    <cellStyle name="Accent3 3 8" xfId="4091"/>
    <cellStyle name="Accent3 3 9" xfId="4092"/>
    <cellStyle name="Accent3 3_BallGrid" xfId="1279"/>
    <cellStyle name="Accent3 4" xfId="63"/>
    <cellStyle name="Accent3 4 2" xfId="1281"/>
    <cellStyle name="Accent3 4 2 2" xfId="22859"/>
    <cellStyle name="Accent3 4 3" xfId="1282"/>
    <cellStyle name="Accent3 4 3 2" xfId="22234"/>
    <cellStyle name="Accent3 4 4" xfId="1283"/>
    <cellStyle name="Accent3 4 5" xfId="1284"/>
    <cellStyle name="Accent3 4 6" xfId="4093"/>
    <cellStyle name="Accent3 4 7" xfId="4094"/>
    <cellStyle name="Accent3 4 8" xfId="4095"/>
    <cellStyle name="Accent3 4 9" xfId="1280"/>
    <cellStyle name="Accent3 5" xfId="1285"/>
    <cellStyle name="Accent3 5 2" xfId="4096"/>
    <cellStyle name="Accent3 5 3" xfId="4097"/>
    <cellStyle name="Accent3 5 3 2" xfId="22235"/>
    <cellStyle name="Accent3 5 4" xfId="52901"/>
    <cellStyle name="Accent3 6" xfId="1286"/>
    <cellStyle name="Accent3 6 2" xfId="22860"/>
    <cellStyle name="Accent3 6 3" xfId="22236"/>
    <cellStyle name="Accent3 6 4" xfId="52902"/>
    <cellStyle name="Accent3 7" xfId="1287"/>
    <cellStyle name="Accent3 8" xfId="1288"/>
    <cellStyle name="Accent3 8 2" xfId="22237"/>
    <cellStyle name="Accent3 9" xfId="1289"/>
    <cellStyle name="Accent3 9 2" xfId="22233"/>
    <cellStyle name="Accent4" xfId="175" builtinId="41" customBuiltin="1"/>
    <cellStyle name="Accent4 10" xfId="1290"/>
    <cellStyle name="Accent4 10 2" xfId="1291"/>
    <cellStyle name="Accent4 10 3" xfId="1292"/>
    <cellStyle name="Accent4 10 4" xfId="22239"/>
    <cellStyle name="Accent4 11" xfId="1293"/>
    <cellStyle name="Accent4 11 2" xfId="22240"/>
    <cellStyle name="Accent4 12" xfId="22241"/>
    <cellStyle name="Accent4 12 2" xfId="22242"/>
    <cellStyle name="Accent4 13" xfId="22243"/>
    <cellStyle name="Accent4 14" xfId="22244"/>
    <cellStyle name="Accent4 15" xfId="22672"/>
    <cellStyle name="Accent4 16" xfId="22238"/>
    <cellStyle name="Accent4 2" xfId="64"/>
    <cellStyle name="Accent4 2 10" xfId="1295"/>
    <cellStyle name="Accent4 2 11" xfId="1296"/>
    <cellStyle name="Accent4 2 12" xfId="1297"/>
    <cellStyle name="Accent4 2 13" xfId="1298"/>
    <cellStyle name="Accent4 2 14" xfId="1299"/>
    <cellStyle name="Accent4 2 15" xfId="4098"/>
    <cellStyle name="Accent4 2 16" xfId="4099"/>
    <cellStyle name="Accent4 2 17" xfId="4100"/>
    <cellStyle name="Accent4 2 18" xfId="1294"/>
    <cellStyle name="Accent4 2 2" xfId="1300"/>
    <cellStyle name="Accent4 2 2 2" xfId="1301"/>
    <cellStyle name="Accent4 2 2 3" xfId="1302"/>
    <cellStyle name="Accent4 2 2 4" xfId="4101"/>
    <cellStyle name="Accent4 2 2 5" xfId="4102"/>
    <cellStyle name="Accent4 2 2_Sheet1" xfId="1303"/>
    <cellStyle name="Accent4 2 3" xfId="1304"/>
    <cellStyle name="Accent4 2 4" xfId="1305"/>
    <cellStyle name="Accent4 2 5" xfId="1306"/>
    <cellStyle name="Accent4 2 6" xfId="1307"/>
    <cellStyle name="Accent4 2 7" xfId="1308"/>
    <cellStyle name="Accent4 2 8" xfId="1309"/>
    <cellStyle name="Accent4 2 9" xfId="1310"/>
    <cellStyle name="Accent4 2_BallGrid" xfId="1311"/>
    <cellStyle name="Accent4 3" xfId="65"/>
    <cellStyle name="Accent4 3 10" xfId="1312"/>
    <cellStyle name="Accent4 3 2" xfId="1313"/>
    <cellStyle name="Accent4 3 3" xfId="1314"/>
    <cellStyle name="Accent4 3 4" xfId="1315"/>
    <cellStyle name="Accent4 3 5" xfId="1316"/>
    <cellStyle name="Accent4 3 6" xfId="1317"/>
    <cellStyle name="Accent4 3 7" xfId="4103"/>
    <cellStyle name="Accent4 3 8" xfId="4104"/>
    <cellStyle name="Accent4 3 9" xfId="4105"/>
    <cellStyle name="Accent4 3_BallGrid" xfId="1318"/>
    <cellStyle name="Accent4 4" xfId="66"/>
    <cellStyle name="Accent4 4 2" xfId="1320"/>
    <cellStyle name="Accent4 4 2 2" xfId="22861"/>
    <cellStyle name="Accent4 4 3" xfId="1321"/>
    <cellStyle name="Accent4 4 3 2" xfId="22245"/>
    <cellStyle name="Accent4 4 4" xfId="1322"/>
    <cellStyle name="Accent4 4 5" xfId="1323"/>
    <cellStyle name="Accent4 4 6" xfId="4106"/>
    <cellStyle name="Accent4 4 7" xfId="4107"/>
    <cellStyle name="Accent4 4 8" xfId="4108"/>
    <cellStyle name="Accent4 4 9" xfId="1319"/>
    <cellStyle name="Accent4 5" xfId="1324"/>
    <cellStyle name="Accent4 5 2" xfId="4109"/>
    <cellStyle name="Accent4 5 3" xfId="4110"/>
    <cellStyle name="Accent4 5 3 2" xfId="22246"/>
    <cellStyle name="Accent4 5 4" xfId="52903"/>
    <cellStyle name="Accent4 6" xfId="1325"/>
    <cellStyle name="Accent4 6 2" xfId="22862"/>
    <cellStyle name="Accent4 6 3" xfId="22247"/>
    <cellStyle name="Accent4 6 4" xfId="52904"/>
    <cellStyle name="Accent4 7" xfId="1326"/>
    <cellStyle name="Accent4 7 2" xfId="22248"/>
    <cellStyle name="Accent4 8" xfId="1327"/>
    <cellStyle name="Accent4 8 2" xfId="22250"/>
    <cellStyle name="Accent4 8 3" xfId="22249"/>
    <cellStyle name="Accent4 9" xfId="1328"/>
    <cellStyle name="Accent4 9 2" xfId="22251"/>
    <cellStyle name="Accent5" xfId="179" builtinId="45" customBuiltin="1"/>
    <cellStyle name="Accent5 10" xfId="1329"/>
    <cellStyle name="Accent5 10 2" xfId="1330"/>
    <cellStyle name="Accent5 10 3" xfId="1331"/>
    <cellStyle name="Accent5 11" xfId="1332"/>
    <cellStyle name="Accent5 2" xfId="67"/>
    <cellStyle name="Accent5 2 10" xfId="1334"/>
    <cellStyle name="Accent5 2 11" xfId="1335"/>
    <cellStyle name="Accent5 2 12" xfId="1336"/>
    <cellStyle name="Accent5 2 13" xfId="1337"/>
    <cellStyle name="Accent5 2 14" xfId="1338"/>
    <cellStyle name="Accent5 2 15" xfId="4111"/>
    <cellStyle name="Accent5 2 16" xfId="4112"/>
    <cellStyle name="Accent5 2 17" xfId="4113"/>
    <cellStyle name="Accent5 2 18" xfId="1333"/>
    <cellStyle name="Accent5 2 2" xfId="1339"/>
    <cellStyle name="Accent5 2 2 2" xfId="1340"/>
    <cellStyle name="Accent5 2 2 3" xfId="1341"/>
    <cellStyle name="Accent5 2 2 4" xfId="4114"/>
    <cellStyle name="Accent5 2 2 5" xfId="4115"/>
    <cellStyle name="Accent5 2 2_Sheet1" xfId="1342"/>
    <cellStyle name="Accent5 2 3" xfId="1343"/>
    <cellStyle name="Accent5 2 4" xfId="1344"/>
    <cellStyle name="Accent5 2 5" xfId="1345"/>
    <cellStyle name="Accent5 2 6" xfId="1346"/>
    <cellStyle name="Accent5 2 7" xfId="1347"/>
    <cellStyle name="Accent5 2 8" xfId="1348"/>
    <cellStyle name="Accent5 2 9" xfId="1349"/>
    <cellStyle name="Accent5 2_BallGrid" xfId="1350"/>
    <cellStyle name="Accent5 3" xfId="68"/>
    <cellStyle name="Accent5 3 10" xfId="1351"/>
    <cellStyle name="Accent5 3 2" xfId="1352"/>
    <cellStyle name="Accent5 3 3" xfId="1353"/>
    <cellStyle name="Accent5 3 4" xfId="1354"/>
    <cellStyle name="Accent5 3 5" xfId="1355"/>
    <cellStyle name="Accent5 3 6" xfId="1356"/>
    <cellStyle name="Accent5 3 7" xfId="4116"/>
    <cellStyle name="Accent5 3 8" xfId="4117"/>
    <cellStyle name="Accent5 3 9" xfId="4118"/>
    <cellStyle name="Accent5 3_BallGrid" xfId="1357"/>
    <cellStyle name="Accent5 4" xfId="69"/>
    <cellStyle name="Accent5 4 2" xfId="1359"/>
    <cellStyle name="Accent5 4 2 2" xfId="22864"/>
    <cellStyle name="Accent5 4 3" xfId="1360"/>
    <cellStyle name="Accent5 4 3 2" xfId="22253"/>
    <cellStyle name="Accent5 4 4" xfId="1361"/>
    <cellStyle name="Accent5 4 5" xfId="1362"/>
    <cellStyle name="Accent5 4 6" xfId="4119"/>
    <cellStyle name="Accent5 4 7" xfId="4120"/>
    <cellStyle name="Accent5 4 8" xfId="4121"/>
    <cellStyle name="Accent5 4 9" xfId="1358"/>
    <cellStyle name="Accent5 5" xfId="1363"/>
    <cellStyle name="Accent5 5 2" xfId="4122"/>
    <cellStyle name="Accent5 5 3" xfId="4123"/>
    <cellStyle name="Accent5 5 3 2" xfId="22254"/>
    <cellStyle name="Accent5 5 4" xfId="52905"/>
    <cellStyle name="Accent5 6" xfId="1364"/>
    <cellStyle name="Accent5 6 2" xfId="22865"/>
    <cellStyle name="Accent5 6 3" xfId="22255"/>
    <cellStyle name="Accent5 6 4" xfId="52906"/>
    <cellStyle name="Accent5 7" xfId="1365"/>
    <cellStyle name="Accent5 8" xfId="1366"/>
    <cellStyle name="Accent5 8 2" xfId="22256"/>
    <cellStyle name="Accent5 9" xfId="1367"/>
    <cellStyle name="Accent5 9 2" xfId="22252"/>
    <cellStyle name="Accent6" xfId="183" builtinId="49" customBuiltin="1"/>
    <cellStyle name="Accent6 10" xfId="1368"/>
    <cellStyle name="Accent6 10 2" xfId="1369"/>
    <cellStyle name="Accent6 10 3" xfId="1370"/>
    <cellStyle name="Accent6 11" xfId="1371"/>
    <cellStyle name="Accent6 2" xfId="70"/>
    <cellStyle name="Accent6 2 10" xfId="1373"/>
    <cellStyle name="Accent6 2 11" xfId="1374"/>
    <cellStyle name="Accent6 2 12" xfId="1375"/>
    <cellStyle name="Accent6 2 13" xfId="1376"/>
    <cellStyle name="Accent6 2 14" xfId="1377"/>
    <cellStyle name="Accent6 2 15" xfId="4124"/>
    <cellStyle name="Accent6 2 16" xfId="4125"/>
    <cellStyle name="Accent6 2 17" xfId="4126"/>
    <cellStyle name="Accent6 2 18" xfId="1372"/>
    <cellStyle name="Accent6 2 2" xfId="1378"/>
    <cellStyle name="Accent6 2 2 2" xfId="1379"/>
    <cellStyle name="Accent6 2 2 3" xfId="1380"/>
    <cellStyle name="Accent6 2 2 4" xfId="4127"/>
    <cellStyle name="Accent6 2 2 5" xfId="4128"/>
    <cellStyle name="Accent6 2 2_Sheet1" xfId="1381"/>
    <cellStyle name="Accent6 2 3" xfId="1382"/>
    <cellStyle name="Accent6 2 4" xfId="1383"/>
    <cellStyle name="Accent6 2 5" xfId="1384"/>
    <cellStyle name="Accent6 2 6" xfId="1385"/>
    <cellStyle name="Accent6 2 7" xfId="1386"/>
    <cellStyle name="Accent6 2 8" xfId="1387"/>
    <cellStyle name="Accent6 2 9" xfId="1388"/>
    <cellStyle name="Accent6 2_BallGrid" xfId="1389"/>
    <cellStyle name="Accent6 3" xfId="71"/>
    <cellStyle name="Accent6 3 10" xfId="1390"/>
    <cellStyle name="Accent6 3 2" xfId="1391"/>
    <cellStyle name="Accent6 3 3" xfId="1392"/>
    <cellStyle name="Accent6 3 4" xfId="1393"/>
    <cellStyle name="Accent6 3 5" xfId="1394"/>
    <cellStyle name="Accent6 3 6" xfId="1395"/>
    <cellStyle name="Accent6 3 7" xfId="4129"/>
    <cellStyle name="Accent6 3 8" xfId="4130"/>
    <cellStyle name="Accent6 3 9" xfId="4131"/>
    <cellStyle name="Accent6 3_BallGrid" xfId="1396"/>
    <cellStyle name="Accent6 4" xfId="72"/>
    <cellStyle name="Accent6 4 2" xfId="1398"/>
    <cellStyle name="Accent6 4 2 2" xfId="22866"/>
    <cellStyle name="Accent6 4 3" xfId="1399"/>
    <cellStyle name="Accent6 4 3 2" xfId="22258"/>
    <cellStyle name="Accent6 4 4" xfId="1400"/>
    <cellStyle name="Accent6 4 5" xfId="1401"/>
    <cellStyle name="Accent6 4 6" xfId="4132"/>
    <cellStyle name="Accent6 4 7" xfId="4133"/>
    <cellStyle name="Accent6 4 8" xfId="4134"/>
    <cellStyle name="Accent6 4 9" xfId="1397"/>
    <cellStyle name="Accent6 5" xfId="1402"/>
    <cellStyle name="Accent6 5 2" xfId="4135"/>
    <cellStyle name="Accent6 5 3" xfId="4136"/>
    <cellStyle name="Accent6 5 3 2" xfId="22259"/>
    <cellStyle name="Accent6 5 4" xfId="52907"/>
    <cellStyle name="Accent6 6" xfId="1403"/>
    <cellStyle name="Accent6 6 2" xfId="22867"/>
    <cellStyle name="Accent6 6 3" xfId="22260"/>
    <cellStyle name="Accent6 6 4" xfId="52908"/>
    <cellStyle name="Accent6 7" xfId="1404"/>
    <cellStyle name="Accent6 8" xfId="1405"/>
    <cellStyle name="Accent6 8 2" xfId="22261"/>
    <cellStyle name="Accent6 9" xfId="1406"/>
    <cellStyle name="Accent6 9 2" xfId="22257"/>
    <cellStyle name="Bad" xfId="1" builtinId="27" customBuiltin="1"/>
    <cellStyle name="Bad 10" xfId="1407"/>
    <cellStyle name="Bad 11" xfId="1408"/>
    <cellStyle name="Bad 2" xfId="73"/>
    <cellStyle name="Bad 2 10" xfId="1409"/>
    <cellStyle name="Bad 2 2" xfId="1410"/>
    <cellStyle name="Bad 2 3" xfId="1411"/>
    <cellStyle name="Bad 2 3 2" xfId="22868"/>
    <cellStyle name="Bad 2 3 3" xfId="22264"/>
    <cellStyle name="Bad 2 4" xfId="1412"/>
    <cellStyle name="Bad 2 5" xfId="1413"/>
    <cellStyle name="Bad 2 5 2" xfId="22263"/>
    <cellStyle name="Bad 2 6" xfId="1414"/>
    <cellStyle name="Bad 2 6 2" xfId="52909"/>
    <cellStyle name="Bad 2 7" xfId="4137"/>
    <cellStyle name="Bad 2 8" xfId="4138"/>
    <cellStyle name="Bad 2 9" xfId="4139"/>
    <cellStyle name="Bad 2_BallGrid" xfId="1415"/>
    <cellStyle name="Bad 3" xfId="74"/>
    <cellStyle name="Bad 3 10" xfId="1416"/>
    <cellStyle name="Bad 3 2" xfId="1417"/>
    <cellStyle name="Bad 3 2 2" xfId="22869"/>
    <cellStyle name="Bad 3 2 3" xfId="22266"/>
    <cellStyle name="Bad 3 3" xfId="1418"/>
    <cellStyle name="Bad 3 3 2" xfId="22870"/>
    <cellStyle name="Bad 3 3 3" xfId="22267"/>
    <cellStyle name="Bad 3 4" xfId="1419"/>
    <cellStyle name="Bad 3 5" xfId="1420"/>
    <cellStyle name="Bad 3 6" xfId="1421"/>
    <cellStyle name="Bad 3 7" xfId="4140"/>
    <cellStyle name="Bad 3 8" xfId="4141"/>
    <cellStyle name="Bad 3 9" xfId="4142"/>
    <cellStyle name="Bad 3_BallGrid" xfId="1422"/>
    <cellStyle name="Bad 4" xfId="75"/>
    <cellStyle name="Bad 4 2" xfId="1424"/>
    <cellStyle name="Bad 4 2 2" xfId="22871"/>
    <cellStyle name="Bad 4 3" xfId="1425"/>
    <cellStyle name="Bad 4 3 2" xfId="22268"/>
    <cellStyle name="Bad 4 4" xfId="1426"/>
    <cellStyle name="Bad 4 5" xfId="1427"/>
    <cellStyle name="Bad 4 6" xfId="4143"/>
    <cellStyle name="Bad 4 7" xfId="4144"/>
    <cellStyle name="Bad 4 8" xfId="4145"/>
    <cellStyle name="Bad 4 9" xfId="1423"/>
    <cellStyle name="Bad 5" xfId="1428"/>
    <cellStyle name="Bad 5 2" xfId="4146"/>
    <cellStyle name="Bad 5 3" xfId="4147"/>
    <cellStyle name="Bad 5 4" xfId="22269"/>
    <cellStyle name="Bad 6" xfId="1429"/>
    <cellStyle name="Bad 6 2" xfId="22270"/>
    <cellStyle name="Bad 7" xfId="1430"/>
    <cellStyle name="Bad 7 2" xfId="22271"/>
    <cellStyle name="Bad 8" xfId="1431"/>
    <cellStyle name="Bad 8 2" xfId="1432"/>
    <cellStyle name="Bad 8 3" xfId="1433"/>
    <cellStyle name="Bad 8 4" xfId="22262"/>
    <cellStyle name="Bad 9" xfId="1434"/>
    <cellStyle name="Bad 9 2" xfId="1435"/>
    <cellStyle name="Bad 9 3" xfId="1436"/>
    <cellStyle name="Calculation" xfId="156" builtinId="22" customBuiltin="1"/>
    <cellStyle name="Calculation 10" xfId="1437"/>
    <cellStyle name="Calculation 10 2" xfId="1438"/>
    <cellStyle name="Calculation 10 2 2" xfId="10431"/>
    <cellStyle name="Calculation 10 2 2 2" xfId="18218"/>
    <cellStyle name="Calculation 10 2 2 2 2" xfId="43750"/>
    <cellStyle name="Calculation 10 2 2 2 3" xfId="47659"/>
    <cellStyle name="Calculation 10 2 2 2 4" xfId="35841"/>
    <cellStyle name="Calculation 10 2 2 3" xfId="19427"/>
    <cellStyle name="Calculation 10 2 2 3 2" xfId="44949"/>
    <cellStyle name="Calculation 10 2 2 3 3" xfId="48855"/>
    <cellStyle name="Calculation 10 2 2 3 4" xfId="36978"/>
    <cellStyle name="Calculation 10 2 2 4" xfId="19822"/>
    <cellStyle name="Calculation 10 2 2 4 2" xfId="45344"/>
    <cellStyle name="Calculation 10 2 2 4 3" xfId="49250"/>
    <cellStyle name="Calculation 10 2 2 4 4" xfId="37326"/>
    <cellStyle name="Calculation 10 2 2 5" xfId="20631"/>
    <cellStyle name="Calculation 10 2 2 5 2" xfId="46153"/>
    <cellStyle name="Calculation 10 2 2 5 3" xfId="50059"/>
    <cellStyle name="Calculation 10 2 2 5 4" xfId="38023"/>
    <cellStyle name="Calculation 10 2 2 6" xfId="21284"/>
    <cellStyle name="Calculation 10 2 2 6 2" xfId="46806"/>
    <cellStyle name="Calculation 10 2 2 6 3" xfId="50712"/>
    <cellStyle name="Calculation 10 2 2 7" xfId="40609"/>
    <cellStyle name="Calculation 10 2 2 8" xfId="47490"/>
    <cellStyle name="Calculation 10 2 3" xfId="7770"/>
    <cellStyle name="Calculation 10 2 3 2" xfId="15561"/>
    <cellStyle name="Calculation 10 2 3 2 2" xfId="43223"/>
    <cellStyle name="Calculation 10 2 3 2 3" xfId="40278"/>
    <cellStyle name="Calculation 10 2 3 2 4" xfId="33182"/>
    <cellStyle name="Calculation 10 2 3 3" xfId="11419"/>
    <cellStyle name="Calculation 10 2 3 3 2" xfId="41424"/>
    <cellStyle name="Calculation 10 2 3 3 3" xfId="47482"/>
    <cellStyle name="Calculation 10 2 3 3 4" xfId="29126"/>
    <cellStyle name="Calculation 10 2 3 4" xfId="19844"/>
    <cellStyle name="Calculation 10 2 3 4 2" xfId="45366"/>
    <cellStyle name="Calculation 10 2 3 4 3" xfId="49272"/>
    <cellStyle name="Calculation 10 2 3 4 4" xfId="37345"/>
    <cellStyle name="Calculation 10 2 3 5" xfId="11682"/>
    <cellStyle name="Calculation 10 2 3 5 2" xfId="41669"/>
    <cellStyle name="Calculation 10 2 3 5 3" xfId="43674"/>
    <cellStyle name="Calculation 10 2 3 5 4" xfId="29361"/>
    <cellStyle name="Calculation 10 2 3 6" xfId="11339"/>
    <cellStyle name="Calculation 10 2 3 6 2" xfId="41358"/>
    <cellStyle name="Calculation 10 2 3 6 3" xfId="43581"/>
    <cellStyle name="Calculation 10 2 3 7" xfId="40082"/>
    <cellStyle name="Calculation 10 2 3 8" xfId="42728"/>
    <cellStyle name="Calculation 10 3" xfId="1439"/>
    <cellStyle name="Calculation 10 4" xfId="6951"/>
    <cellStyle name="Calculation 10 4 10" xfId="43082"/>
    <cellStyle name="Calculation 10 4 2" xfId="10478"/>
    <cellStyle name="Calculation 10 4 2 2" xfId="18265"/>
    <cellStyle name="Calculation 10 4 2 2 2" xfId="43797"/>
    <cellStyle name="Calculation 10 4 2 2 3" xfId="47706"/>
    <cellStyle name="Calculation 10 4 2 2 4" xfId="35888"/>
    <cellStyle name="Calculation 10 4 2 3" xfId="11479"/>
    <cellStyle name="Calculation 10 4 2 3 2" xfId="41470"/>
    <cellStyle name="Calculation 10 4 2 3 3" xfId="43470"/>
    <cellStyle name="Calculation 10 4 2 3 4" xfId="29180"/>
    <cellStyle name="Calculation 10 4 2 4" xfId="20240"/>
    <cellStyle name="Calculation 10 4 2 4 2" xfId="45762"/>
    <cellStyle name="Calculation 10 4 2 4 3" xfId="49668"/>
    <cellStyle name="Calculation 10 4 2 4 4" xfId="37697"/>
    <cellStyle name="Calculation 10 4 2 5" xfId="20678"/>
    <cellStyle name="Calculation 10 4 2 5 2" xfId="46200"/>
    <cellStyle name="Calculation 10 4 2 5 3" xfId="50106"/>
    <cellStyle name="Calculation 10 4 2 5 4" xfId="38070"/>
    <cellStyle name="Calculation 10 4 2 6" xfId="21331"/>
    <cellStyle name="Calculation 10 4 2 6 2" xfId="46853"/>
    <cellStyle name="Calculation 10 4 2 6 3" xfId="50759"/>
    <cellStyle name="Calculation 10 4 2 7" xfId="40656"/>
    <cellStyle name="Calculation 10 4 2 8" xfId="43718"/>
    <cellStyle name="Calculation 10 4 3" xfId="10773"/>
    <cellStyle name="Calculation 10 4 3 2" xfId="18560"/>
    <cellStyle name="Calculation 10 4 3 2 2" xfId="44092"/>
    <cellStyle name="Calculation 10 4 3 2 3" xfId="48001"/>
    <cellStyle name="Calculation 10 4 3 2 4" xfId="36183"/>
    <cellStyle name="Calculation 10 4 3 3" xfId="13914"/>
    <cellStyle name="Calculation 10 4 3 3 2" xfId="42630"/>
    <cellStyle name="Calculation 10 4 3 3 3" xfId="42651"/>
    <cellStyle name="Calculation 10 4 3 3 4" xfId="31536"/>
    <cellStyle name="Calculation 10 4 3 4" xfId="19504"/>
    <cellStyle name="Calculation 10 4 3 4 2" xfId="45026"/>
    <cellStyle name="Calculation 10 4 3 4 3" xfId="48932"/>
    <cellStyle name="Calculation 10 4 3 4 4" xfId="37038"/>
    <cellStyle name="Calculation 10 4 3 5" xfId="20973"/>
    <cellStyle name="Calculation 10 4 3 5 2" xfId="46495"/>
    <cellStyle name="Calculation 10 4 3 5 3" xfId="50401"/>
    <cellStyle name="Calculation 10 4 3 5 4" xfId="38365"/>
    <cellStyle name="Calculation 10 4 3 6" xfId="21626"/>
    <cellStyle name="Calculation 10 4 3 6 2" xfId="47148"/>
    <cellStyle name="Calculation 10 4 3 6 3" xfId="51054"/>
    <cellStyle name="Calculation 10 4 3 7" xfId="40951"/>
    <cellStyle name="Calculation 10 4 3 8" xfId="39465"/>
    <cellStyle name="Calculation 10 4 4" xfId="14733"/>
    <cellStyle name="Calculation 10 4 4 2" xfId="42831"/>
    <cellStyle name="Calculation 10 4 4 3" xfId="41927"/>
    <cellStyle name="Calculation 10 4 4 4" xfId="32354"/>
    <cellStyle name="Calculation 10 4 5" xfId="13035"/>
    <cellStyle name="Calculation 10 4 5 2" xfId="42237"/>
    <cellStyle name="Calculation 10 4 5 3" xfId="43168"/>
    <cellStyle name="Calculation 10 4 5 4" xfId="30670"/>
    <cellStyle name="Calculation 10 4 6" xfId="19517"/>
    <cellStyle name="Calculation 10 4 6 2" xfId="45039"/>
    <cellStyle name="Calculation 10 4 6 3" xfId="48945"/>
    <cellStyle name="Calculation 10 4 6 4" xfId="37050"/>
    <cellStyle name="Calculation 10 4 7" xfId="20483"/>
    <cellStyle name="Calculation 10 4 7 2" xfId="46005"/>
    <cellStyle name="Calculation 10 4 7 3" xfId="49911"/>
    <cellStyle name="Calculation 10 4 7 4" xfId="37913"/>
    <cellStyle name="Calculation 10 4 8" xfId="19808"/>
    <cellStyle name="Calculation 10 4 8 2" xfId="45330"/>
    <cellStyle name="Calculation 10 4 8 3" xfId="49236"/>
    <cellStyle name="Calculation 10 4 9" xfId="39691"/>
    <cellStyle name="Calculation 10 5" xfId="22273"/>
    <cellStyle name="Calculation 11" xfId="1440"/>
    <cellStyle name="Calculation 11 2" xfId="22274"/>
    <cellStyle name="Calculation 12" xfId="22275"/>
    <cellStyle name="Calculation 12 2" xfId="22276"/>
    <cellStyle name="Calculation 13" xfId="22277"/>
    <cellStyle name="Calculation 14" xfId="22278"/>
    <cellStyle name="Calculation 14 2" xfId="23016"/>
    <cellStyle name="Calculation 14 2 2" xfId="47603"/>
    <cellStyle name="Calculation 14 2 3" xfId="51414"/>
    <cellStyle name="Calculation 14 3" xfId="47495"/>
    <cellStyle name="Calculation 14 4" xfId="51350"/>
    <cellStyle name="Calculation 14 5" xfId="52910"/>
    <cellStyle name="Calculation 15" xfId="22661"/>
    <cellStyle name="Calculation 16" xfId="22272"/>
    <cellStyle name="Calculation 16 2" xfId="23015"/>
    <cellStyle name="Calculation 16 2 2" xfId="47602"/>
    <cellStyle name="Calculation 16 2 3" xfId="51413"/>
    <cellStyle name="Calculation 16 3" xfId="47494"/>
    <cellStyle name="Calculation 16 4" xfId="51349"/>
    <cellStyle name="Calculation 16 5" xfId="52911"/>
    <cellStyle name="Calculation 2" xfId="76"/>
    <cellStyle name="Calculation 2 10" xfId="1442"/>
    <cellStyle name="Calculation 2 10 2" xfId="6953"/>
    <cellStyle name="Calculation 2 10 2 10" xfId="40608"/>
    <cellStyle name="Calculation 2 10 2 2" xfId="10480"/>
    <cellStyle name="Calculation 2 10 2 2 2" xfId="18267"/>
    <cellStyle name="Calculation 2 10 2 2 2 2" xfId="43799"/>
    <cellStyle name="Calculation 2 10 2 2 2 3" xfId="47708"/>
    <cellStyle name="Calculation 2 10 2 2 2 4" xfId="35890"/>
    <cellStyle name="Calculation 2 10 2 2 3" xfId="11480"/>
    <cellStyle name="Calculation 2 10 2 2 3 2" xfId="41471"/>
    <cellStyle name="Calculation 2 10 2 2 3 3" xfId="40331"/>
    <cellStyle name="Calculation 2 10 2 2 3 4" xfId="29181"/>
    <cellStyle name="Calculation 2 10 2 2 4" xfId="19540"/>
    <cellStyle name="Calculation 2 10 2 2 4 2" xfId="45062"/>
    <cellStyle name="Calculation 2 10 2 2 4 3" xfId="48968"/>
    <cellStyle name="Calculation 2 10 2 2 4 4" xfId="37068"/>
    <cellStyle name="Calculation 2 10 2 2 5" xfId="20680"/>
    <cellStyle name="Calculation 2 10 2 2 5 2" xfId="46202"/>
    <cellStyle name="Calculation 2 10 2 2 5 3" xfId="50108"/>
    <cellStyle name="Calculation 2 10 2 2 5 4" xfId="38072"/>
    <cellStyle name="Calculation 2 10 2 2 6" xfId="21333"/>
    <cellStyle name="Calculation 2 10 2 2 6 2" xfId="46855"/>
    <cellStyle name="Calculation 2 10 2 2 6 3" xfId="50761"/>
    <cellStyle name="Calculation 2 10 2 2 7" xfId="40658"/>
    <cellStyle name="Calculation 2 10 2 2 8" xfId="39688"/>
    <cellStyle name="Calculation 2 10 2 3" xfId="10775"/>
    <cellStyle name="Calculation 2 10 2 3 2" xfId="18562"/>
    <cellStyle name="Calculation 2 10 2 3 2 2" xfId="44094"/>
    <cellStyle name="Calculation 2 10 2 3 2 3" xfId="48003"/>
    <cellStyle name="Calculation 2 10 2 3 2 4" xfId="36185"/>
    <cellStyle name="Calculation 2 10 2 3 3" xfId="20137"/>
    <cellStyle name="Calculation 2 10 2 3 3 2" xfId="45659"/>
    <cellStyle name="Calculation 2 10 2 3 3 3" xfId="49565"/>
    <cellStyle name="Calculation 2 10 2 3 3 4" xfId="37609"/>
    <cellStyle name="Calculation 2 10 2 3 4" xfId="18936"/>
    <cellStyle name="Calculation 2 10 2 3 4 2" xfId="44458"/>
    <cellStyle name="Calculation 2 10 2 3 4 3" xfId="48364"/>
    <cellStyle name="Calculation 2 10 2 3 4 4" xfId="36548"/>
    <cellStyle name="Calculation 2 10 2 3 5" xfId="20975"/>
    <cellStyle name="Calculation 2 10 2 3 5 2" xfId="46497"/>
    <cellStyle name="Calculation 2 10 2 3 5 3" xfId="50403"/>
    <cellStyle name="Calculation 2 10 2 3 5 4" xfId="38367"/>
    <cellStyle name="Calculation 2 10 2 3 6" xfId="21628"/>
    <cellStyle name="Calculation 2 10 2 3 6 2" xfId="47150"/>
    <cellStyle name="Calculation 2 10 2 3 6 3" xfId="51056"/>
    <cellStyle name="Calculation 2 10 2 3 7" xfId="40953"/>
    <cellStyle name="Calculation 2 10 2 3 8" xfId="43355"/>
    <cellStyle name="Calculation 2 10 2 4" xfId="14735"/>
    <cellStyle name="Calculation 2 10 2 4 2" xfId="42833"/>
    <cellStyle name="Calculation 2 10 2 4 3" xfId="40140"/>
    <cellStyle name="Calculation 2 10 2 4 4" xfId="32356"/>
    <cellStyle name="Calculation 2 10 2 5" xfId="11261"/>
    <cellStyle name="Calculation 2 10 2 5 2" xfId="41288"/>
    <cellStyle name="Calculation 2 10 2 5 3" xfId="43585"/>
    <cellStyle name="Calculation 2 10 2 5 4" xfId="28975"/>
    <cellStyle name="Calculation 2 10 2 6" xfId="18984"/>
    <cellStyle name="Calculation 2 10 2 6 2" xfId="44506"/>
    <cellStyle name="Calculation 2 10 2 6 3" xfId="48412"/>
    <cellStyle name="Calculation 2 10 2 6 4" xfId="36592"/>
    <cellStyle name="Calculation 2 10 2 7" xfId="20265"/>
    <cellStyle name="Calculation 2 10 2 7 2" xfId="45787"/>
    <cellStyle name="Calculation 2 10 2 7 3" xfId="49693"/>
    <cellStyle name="Calculation 2 10 2 7 4" xfId="37719"/>
    <cellStyle name="Calculation 2 10 2 8" xfId="12804"/>
    <cellStyle name="Calculation 2 10 2 8 2" xfId="42199"/>
    <cellStyle name="Calculation 2 10 2 8 3" xfId="39280"/>
    <cellStyle name="Calculation 2 10 2 9" xfId="39693"/>
    <cellStyle name="Calculation 2 10 3" xfId="52913"/>
    <cellStyle name="Calculation 2 11" xfId="1443"/>
    <cellStyle name="Calculation 2 11 2" xfId="6954"/>
    <cellStyle name="Calculation 2 11 2 10" xfId="39942"/>
    <cellStyle name="Calculation 2 11 2 2" xfId="10481"/>
    <cellStyle name="Calculation 2 11 2 2 2" xfId="18268"/>
    <cellStyle name="Calculation 2 11 2 2 2 2" xfId="43800"/>
    <cellStyle name="Calculation 2 11 2 2 2 3" xfId="47709"/>
    <cellStyle name="Calculation 2 11 2 2 2 4" xfId="35891"/>
    <cellStyle name="Calculation 2 11 2 2 3" xfId="19609"/>
    <cellStyle name="Calculation 2 11 2 2 3 2" xfId="45131"/>
    <cellStyle name="Calculation 2 11 2 2 3 3" xfId="49037"/>
    <cellStyle name="Calculation 2 11 2 2 3 4" xfId="37135"/>
    <cellStyle name="Calculation 2 11 2 2 4" xfId="18938"/>
    <cellStyle name="Calculation 2 11 2 2 4 2" xfId="44460"/>
    <cellStyle name="Calculation 2 11 2 2 4 3" xfId="48366"/>
    <cellStyle name="Calculation 2 11 2 2 4 4" xfId="36550"/>
    <cellStyle name="Calculation 2 11 2 2 5" xfId="20681"/>
    <cellStyle name="Calculation 2 11 2 2 5 2" xfId="46203"/>
    <cellStyle name="Calculation 2 11 2 2 5 3" xfId="50109"/>
    <cellStyle name="Calculation 2 11 2 2 5 4" xfId="38073"/>
    <cellStyle name="Calculation 2 11 2 2 6" xfId="21334"/>
    <cellStyle name="Calculation 2 11 2 2 6 2" xfId="46856"/>
    <cellStyle name="Calculation 2 11 2 2 6 3" xfId="50762"/>
    <cellStyle name="Calculation 2 11 2 2 7" xfId="40659"/>
    <cellStyle name="Calculation 2 11 2 2 8" xfId="42725"/>
    <cellStyle name="Calculation 2 11 2 3" xfId="10776"/>
    <cellStyle name="Calculation 2 11 2 3 2" xfId="18563"/>
    <cellStyle name="Calculation 2 11 2 3 2 2" xfId="44095"/>
    <cellStyle name="Calculation 2 11 2 3 2 3" xfId="48004"/>
    <cellStyle name="Calculation 2 11 2 3 2 4" xfId="36186"/>
    <cellStyle name="Calculation 2 11 2 3 3" xfId="19396"/>
    <cellStyle name="Calculation 2 11 2 3 3 2" xfId="44918"/>
    <cellStyle name="Calculation 2 11 2 3 3 3" xfId="48824"/>
    <cellStyle name="Calculation 2 11 2 3 3 4" xfId="36947"/>
    <cellStyle name="Calculation 2 11 2 3 4" xfId="19661"/>
    <cellStyle name="Calculation 2 11 2 3 4 2" xfId="45183"/>
    <cellStyle name="Calculation 2 11 2 3 4 3" xfId="49089"/>
    <cellStyle name="Calculation 2 11 2 3 4 4" xfId="37180"/>
    <cellStyle name="Calculation 2 11 2 3 5" xfId="20976"/>
    <cellStyle name="Calculation 2 11 2 3 5 2" xfId="46498"/>
    <cellStyle name="Calculation 2 11 2 3 5 3" xfId="50404"/>
    <cellStyle name="Calculation 2 11 2 3 5 4" xfId="38368"/>
    <cellStyle name="Calculation 2 11 2 3 6" xfId="21629"/>
    <cellStyle name="Calculation 2 11 2 3 6 2" xfId="47151"/>
    <cellStyle name="Calculation 2 11 2 3 6 3" xfId="51057"/>
    <cellStyle name="Calculation 2 11 2 3 7" xfId="40954"/>
    <cellStyle name="Calculation 2 11 2 3 8" xfId="40217"/>
    <cellStyle name="Calculation 2 11 2 4" xfId="14736"/>
    <cellStyle name="Calculation 2 11 2 4 2" xfId="42834"/>
    <cellStyle name="Calculation 2 11 2 4 3" xfId="39254"/>
    <cellStyle name="Calculation 2 11 2 4 4" xfId="32357"/>
    <cellStyle name="Calculation 2 11 2 5" xfId="13037"/>
    <cellStyle name="Calculation 2 11 2 5 2" xfId="42239"/>
    <cellStyle name="Calculation 2 11 2 5 3" xfId="42769"/>
    <cellStyle name="Calculation 2 11 2 5 4" xfId="30672"/>
    <cellStyle name="Calculation 2 11 2 6" xfId="12602"/>
    <cellStyle name="Calculation 2 11 2 6 2" xfId="42062"/>
    <cellStyle name="Calculation 2 11 2 6 3" xfId="39635"/>
    <cellStyle name="Calculation 2 11 2 6 4" xfId="30254"/>
    <cellStyle name="Calculation 2 11 2 7" xfId="19171"/>
    <cellStyle name="Calculation 2 11 2 7 2" xfId="44693"/>
    <cellStyle name="Calculation 2 11 2 7 3" xfId="48599"/>
    <cellStyle name="Calculation 2 11 2 7 4" xfId="36744"/>
    <cellStyle name="Calculation 2 11 2 8" xfId="19534"/>
    <cellStyle name="Calculation 2 11 2 8 2" xfId="45056"/>
    <cellStyle name="Calculation 2 11 2 8 3" xfId="48962"/>
    <cellStyle name="Calculation 2 11 2 9" xfId="39694"/>
    <cellStyle name="Calculation 2 11 3" xfId="52914"/>
    <cellStyle name="Calculation 2 12" xfId="1444"/>
    <cellStyle name="Calculation 2 12 2" xfId="6955"/>
    <cellStyle name="Calculation 2 12 2 10" xfId="42742"/>
    <cellStyle name="Calculation 2 12 2 2" xfId="10482"/>
    <cellStyle name="Calculation 2 12 2 2 2" xfId="18269"/>
    <cellStyle name="Calculation 2 12 2 2 2 2" xfId="43801"/>
    <cellStyle name="Calculation 2 12 2 2 2 3" xfId="47710"/>
    <cellStyle name="Calculation 2 12 2 2 2 4" xfId="35892"/>
    <cellStyle name="Calculation 2 12 2 2 3" xfId="20165"/>
    <cellStyle name="Calculation 2 12 2 2 3 2" xfId="45687"/>
    <cellStyle name="Calculation 2 12 2 2 3 3" xfId="49593"/>
    <cellStyle name="Calculation 2 12 2 2 3 4" xfId="37637"/>
    <cellStyle name="Calculation 2 12 2 2 4" xfId="19078"/>
    <cellStyle name="Calculation 2 12 2 2 4 2" xfId="44600"/>
    <cellStyle name="Calculation 2 12 2 2 4 3" xfId="48506"/>
    <cellStyle name="Calculation 2 12 2 2 4 4" xfId="36660"/>
    <cellStyle name="Calculation 2 12 2 2 5" xfId="20682"/>
    <cellStyle name="Calculation 2 12 2 2 5 2" xfId="46204"/>
    <cellStyle name="Calculation 2 12 2 2 5 3" xfId="50110"/>
    <cellStyle name="Calculation 2 12 2 2 5 4" xfId="38074"/>
    <cellStyle name="Calculation 2 12 2 2 6" xfId="21335"/>
    <cellStyle name="Calculation 2 12 2 2 6 2" xfId="46857"/>
    <cellStyle name="Calculation 2 12 2 2 6 3" xfId="50763"/>
    <cellStyle name="Calculation 2 12 2 2 7" xfId="40660"/>
    <cellStyle name="Calculation 2 12 2 2 8" xfId="43614"/>
    <cellStyle name="Calculation 2 12 2 3" xfId="10777"/>
    <cellStyle name="Calculation 2 12 2 3 2" xfId="18564"/>
    <cellStyle name="Calculation 2 12 2 3 2 2" xfId="44096"/>
    <cellStyle name="Calculation 2 12 2 3 2 3" xfId="48005"/>
    <cellStyle name="Calculation 2 12 2 3 2 4" xfId="36187"/>
    <cellStyle name="Calculation 2 12 2 3 3" xfId="20003"/>
    <cellStyle name="Calculation 2 12 2 3 3 2" xfId="45525"/>
    <cellStyle name="Calculation 2 12 2 3 3 3" xfId="49431"/>
    <cellStyle name="Calculation 2 12 2 3 3 4" xfId="37487"/>
    <cellStyle name="Calculation 2 12 2 3 4" xfId="12078"/>
    <cellStyle name="Calculation 2 12 2 3 4 2" xfId="41803"/>
    <cellStyle name="Calculation 2 12 2 3 4 3" xfId="39115"/>
    <cellStyle name="Calculation 2 12 2 3 4 4" xfId="29740"/>
    <cellStyle name="Calculation 2 12 2 3 5" xfId="20977"/>
    <cellStyle name="Calculation 2 12 2 3 5 2" xfId="46499"/>
    <cellStyle name="Calculation 2 12 2 3 5 3" xfId="50405"/>
    <cellStyle name="Calculation 2 12 2 3 5 4" xfId="38369"/>
    <cellStyle name="Calculation 2 12 2 3 6" xfId="21630"/>
    <cellStyle name="Calculation 2 12 2 3 6 2" xfId="47152"/>
    <cellStyle name="Calculation 2 12 2 3 6 3" xfId="51058"/>
    <cellStyle name="Calculation 2 12 2 3 7" xfId="40955"/>
    <cellStyle name="Calculation 2 12 2 3 8" xfId="39357"/>
    <cellStyle name="Calculation 2 12 2 4" xfId="14737"/>
    <cellStyle name="Calculation 2 12 2 4 2" xfId="42835"/>
    <cellStyle name="Calculation 2 12 2 4 3" xfId="39038"/>
    <cellStyle name="Calculation 2 12 2 4 4" xfId="32358"/>
    <cellStyle name="Calculation 2 12 2 5" xfId="13038"/>
    <cellStyle name="Calculation 2 12 2 5 2" xfId="42240"/>
    <cellStyle name="Calculation 2 12 2 5 3" xfId="43657"/>
    <cellStyle name="Calculation 2 12 2 5 4" xfId="30673"/>
    <cellStyle name="Calculation 2 12 2 6" xfId="12853"/>
    <cellStyle name="Calculation 2 12 2 6 2" xfId="42217"/>
    <cellStyle name="Calculation 2 12 2 6 3" xfId="42665"/>
    <cellStyle name="Calculation 2 12 2 6 4" xfId="30491"/>
    <cellStyle name="Calculation 2 12 2 7" xfId="18971"/>
    <cellStyle name="Calculation 2 12 2 7 2" xfId="44493"/>
    <cellStyle name="Calculation 2 12 2 7 3" xfId="48399"/>
    <cellStyle name="Calculation 2 12 2 7 4" xfId="36581"/>
    <cellStyle name="Calculation 2 12 2 8" xfId="20218"/>
    <cellStyle name="Calculation 2 12 2 8 2" xfId="45740"/>
    <cellStyle name="Calculation 2 12 2 8 3" xfId="49646"/>
    <cellStyle name="Calculation 2 12 2 9" xfId="39695"/>
    <cellStyle name="Calculation 2 12 3" xfId="52915"/>
    <cellStyle name="Calculation 2 13" xfId="1445"/>
    <cellStyle name="Calculation 2 13 2" xfId="6956"/>
    <cellStyle name="Calculation 2 13 2 10" xfId="43630"/>
    <cellStyle name="Calculation 2 13 2 2" xfId="10483"/>
    <cellStyle name="Calculation 2 13 2 2 2" xfId="18270"/>
    <cellStyle name="Calculation 2 13 2 2 2 2" xfId="43802"/>
    <cellStyle name="Calculation 2 13 2 2 2 3" xfId="47711"/>
    <cellStyle name="Calculation 2 13 2 2 2 4" xfId="35893"/>
    <cellStyle name="Calculation 2 13 2 2 3" xfId="19424"/>
    <cellStyle name="Calculation 2 13 2 2 3 2" xfId="44946"/>
    <cellStyle name="Calculation 2 13 2 2 3 3" xfId="48852"/>
    <cellStyle name="Calculation 2 13 2 2 3 4" xfId="36975"/>
    <cellStyle name="Calculation 2 13 2 2 4" xfId="12647"/>
    <cellStyle name="Calculation 2 13 2 2 4 2" xfId="42107"/>
    <cellStyle name="Calculation 2 13 2 2 4 3" xfId="42536"/>
    <cellStyle name="Calculation 2 13 2 2 4 4" xfId="30298"/>
    <cellStyle name="Calculation 2 13 2 2 5" xfId="20683"/>
    <cellStyle name="Calculation 2 13 2 2 5 2" xfId="46205"/>
    <cellStyle name="Calculation 2 13 2 2 5 3" xfId="50111"/>
    <cellStyle name="Calculation 2 13 2 2 5 4" xfId="38075"/>
    <cellStyle name="Calculation 2 13 2 2 6" xfId="21336"/>
    <cellStyle name="Calculation 2 13 2 2 6 2" xfId="46858"/>
    <cellStyle name="Calculation 2 13 2 2 6 3" xfId="50764"/>
    <cellStyle name="Calculation 2 13 2 2 7" xfId="40661"/>
    <cellStyle name="Calculation 2 13 2 2 8" xfId="40472"/>
    <cellStyle name="Calculation 2 13 2 3" xfId="10778"/>
    <cellStyle name="Calculation 2 13 2 3 2" xfId="18565"/>
    <cellStyle name="Calculation 2 13 2 3 2 2" xfId="44097"/>
    <cellStyle name="Calculation 2 13 2 3 2 3" xfId="48006"/>
    <cellStyle name="Calculation 2 13 2 3 2 4" xfId="36188"/>
    <cellStyle name="Calculation 2 13 2 3 3" xfId="19269"/>
    <cellStyle name="Calculation 2 13 2 3 3 2" xfId="44791"/>
    <cellStyle name="Calculation 2 13 2 3 3 3" xfId="48697"/>
    <cellStyle name="Calculation 2 13 2 3 3 4" xfId="36833"/>
    <cellStyle name="Calculation 2 13 2 3 4" xfId="18911"/>
    <cellStyle name="Calculation 2 13 2 3 4 2" xfId="44433"/>
    <cellStyle name="Calculation 2 13 2 3 4 3" xfId="48339"/>
    <cellStyle name="Calculation 2 13 2 3 4 4" xfId="36525"/>
    <cellStyle name="Calculation 2 13 2 3 5" xfId="20978"/>
    <cellStyle name="Calculation 2 13 2 3 5 2" xfId="46500"/>
    <cellStyle name="Calculation 2 13 2 3 5 3" xfId="50406"/>
    <cellStyle name="Calculation 2 13 2 3 5 4" xfId="38370"/>
    <cellStyle name="Calculation 2 13 2 3 6" xfId="21631"/>
    <cellStyle name="Calculation 2 13 2 3 6 2" xfId="47153"/>
    <cellStyle name="Calculation 2 13 2 3 6 3" xfId="51059"/>
    <cellStyle name="Calculation 2 13 2 3 7" xfId="40956"/>
    <cellStyle name="Calculation 2 13 2 3 8" xfId="39164"/>
    <cellStyle name="Calculation 2 13 2 4" xfId="14738"/>
    <cellStyle name="Calculation 2 13 2 4 2" xfId="42836"/>
    <cellStyle name="Calculation 2 13 2 4 3" xfId="41926"/>
    <cellStyle name="Calculation 2 13 2 4 4" xfId="32359"/>
    <cellStyle name="Calculation 2 13 2 5" xfId="13039"/>
    <cellStyle name="Calculation 2 13 2 5 2" xfId="42241"/>
    <cellStyle name="Calculation 2 13 2 5 3" xfId="40515"/>
    <cellStyle name="Calculation 2 13 2 5 4" xfId="30674"/>
    <cellStyle name="Calculation 2 13 2 6" xfId="19145"/>
    <cellStyle name="Calculation 2 13 2 6 2" xfId="44667"/>
    <cellStyle name="Calculation 2 13 2 6 3" xfId="48573"/>
    <cellStyle name="Calculation 2 13 2 6 4" xfId="36723"/>
    <cellStyle name="Calculation 2 13 2 7" xfId="11474"/>
    <cellStyle name="Calculation 2 13 2 7 2" xfId="41465"/>
    <cellStyle name="Calculation 2 13 2 7 3" xfId="42690"/>
    <cellStyle name="Calculation 2 13 2 7 4" xfId="29175"/>
    <cellStyle name="Calculation 2 13 2 8" xfId="19157"/>
    <cellStyle name="Calculation 2 13 2 8 2" xfId="44679"/>
    <cellStyle name="Calculation 2 13 2 8 3" xfId="48585"/>
    <cellStyle name="Calculation 2 13 2 9" xfId="39696"/>
    <cellStyle name="Calculation 2 13 3" xfId="52916"/>
    <cellStyle name="Calculation 2 14" xfId="1446"/>
    <cellStyle name="Calculation 2 14 2" xfId="6957"/>
    <cellStyle name="Calculation 2 14 2 10" xfId="40488"/>
    <cellStyle name="Calculation 2 14 2 2" xfId="10484"/>
    <cellStyle name="Calculation 2 14 2 2 2" xfId="18271"/>
    <cellStyle name="Calculation 2 14 2 2 2 2" xfId="43803"/>
    <cellStyle name="Calculation 2 14 2 2 2 3" xfId="47712"/>
    <cellStyle name="Calculation 2 14 2 2 2 4" xfId="35894"/>
    <cellStyle name="Calculation 2 14 2 2 3" xfId="20031"/>
    <cellStyle name="Calculation 2 14 2 2 3 2" xfId="45553"/>
    <cellStyle name="Calculation 2 14 2 2 3 3" xfId="49459"/>
    <cellStyle name="Calculation 2 14 2 2 3 4" xfId="37515"/>
    <cellStyle name="Calculation 2 14 2 2 4" xfId="20059"/>
    <cellStyle name="Calculation 2 14 2 2 4 2" xfId="45581"/>
    <cellStyle name="Calculation 2 14 2 2 4 3" xfId="49487"/>
    <cellStyle name="Calculation 2 14 2 2 4 4" xfId="37539"/>
    <cellStyle name="Calculation 2 14 2 2 5" xfId="20684"/>
    <cellStyle name="Calculation 2 14 2 2 5 2" xfId="46206"/>
    <cellStyle name="Calculation 2 14 2 2 5 3" xfId="50112"/>
    <cellStyle name="Calculation 2 14 2 2 5 4" xfId="38076"/>
    <cellStyle name="Calculation 2 14 2 2 6" xfId="21337"/>
    <cellStyle name="Calculation 2 14 2 2 6 2" xfId="46859"/>
    <cellStyle name="Calculation 2 14 2 2 6 3" xfId="50765"/>
    <cellStyle name="Calculation 2 14 2 2 7" xfId="40662"/>
    <cellStyle name="Calculation 2 14 2 2 8" xfId="39582"/>
    <cellStyle name="Calculation 2 14 2 3" xfId="10779"/>
    <cellStyle name="Calculation 2 14 2 3 2" xfId="18566"/>
    <cellStyle name="Calculation 2 14 2 3 2 2" xfId="44098"/>
    <cellStyle name="Calculation 2 14 2 3 2 3" xfId="48007"/>
    <cellStyle name="Calculation 2 14 2 3 2 4" xfId="36189"/>
    <cellStyle name="Calculation 2 14 2 3 3" xfId="19878"/>
    <cellStyle name="Calculation 2 14 2 3 3 2" xfId="45400"/>
    <cellStyle name="Calculation 2 14 2 3 3 3" xfId="49306"/>
    <cellStyle name="Calculation 2 14 2 3 3 4" xfId="37378"/>
    <cellStyle name="Calculation 2 14 2 3 4" xfId="19491"/>
    <cellStyle name="Calculation 2 14 2 3 4 2" xfId="45013"/>
    <cellStyle name="Calculation 2 14 2 3 4 3" xfId="48919"/>
    <cellStyle name="Calculation 2 14 2 3 4 4" xfId="37026"/>
    <cellStyle name="Calculation 2 14 2 3 5" xfId="20979"/>
    <cellStyle name="Calculation 2 14 2 3 5 2" xfId="46501"/>
    <cellStyle name="Calculation 2 14 2 3 5 3" xfId="50407"/>
    <cellStyle name="Calculation 2 14 2 3 5 4" xfId="38371"/>
    <cellStyle name="Calculation 2 14 2 3 6" xfId="21632"/>
    <cellStyle name="Calculation 2 14 2 3 6 2" xfId="47154"/>
    <cellStyle name="Calculation 2 14 2 3 6 3" xfId="51060"/>
    <cellStyle name="Calculation 2 14 2 3 7" xfId="40957"/>
    <cellStyle name="Calculation 2 14 2 3 8" xfId="47564"/>
    <cellStyle name="Calculation 2 14 2 4" xfId="14739"/>
    <cellStyle name="Calculation 2 14 2 4 2" xfId="42837"/>
    <cellStyle name="Calculation 2 14 2 4 3" xfId="43280"/>
    <cellStyle name="Calculation 2 14 2 4 4" xfId="32360"/>
    <cellStyle name="Calculation 2 14 2 5" xfId="13040"/>
    <cellStyle name="Calculation 2 14 2 5 2" xfId="42242"/>
    <cellStyle name="Calculation 2 14 2 5 3" xfId="39625"/>
    <cellStyle name="Calculation 2 14 2 5 4" xfId="30675"/>
    <cellStyle name="Calculation 2 14 2 6" xfId="13235"/>
    <cellStyle name="Calculation 2 14 2 6 2" xfId="42397"/>
    <cellStyle name="Calculation 2 14 2 6 3" xfId="42659"/>
    <cellStyle name="Calculation 2 14 2 6 4" xfId="30866"/>
    <cellStyle name="Calculation 2 14 2 7" xfId="12055"/>
    <cellStyle name="Calculation 2 14 2 7 2" xfId="41788"/>
    <cellStyle name="Calculation 2 14 2 7 3" xfId="40036"/>
    <cellStyle name="Calculation 2 14 2 7 4" xfId="29719"/>
    <cellStyle name="Calculation 2 14 2 8" xfId="20488"/>
    <cellStyle name="Calculation 2 14 2 8 2" xfId="46010"/>
    <cellStyle name="Calculation 2 14 2 8 3" xfId="49916"/>
    <cellStyle name="Calculation 2 14 2 9" xfId="39697"/>
    <cellStyle name="Calculation 2 15" xfId="4148"/>
    <cellStyle name="Calculation 2 15 2" xfId="6958"/>
    <cellStyle name="Calculation 2 15 2 10" xfId="39598"/>
    <cellStyle name="Calculation 2 15 2 2" xfId="10485"/>
    <cellStyle name="Calculation 2 15 2 2 2" xfId="18272"/>
    <cellStyle name="Calculation 2 15 2 2 2 2" xfId="43804"/>
    <cellStyle name="Calculation 2 15 2 2 2 3" xfId="47713"/>
    <cellStyle name="Calculation 2 15 2 2 2 4" xfId="35895"/>
    <cellStyle name="Calculation 2 15 2 2 3" xfId="19297"/>
    <cellStyle name="Calculation 2 15 2 2 3 2" xfId="44819"/>
    <cellStyle name="Calculation 2 15 2 2 3 3" xfId="48725"/>
    <cellStyle name="Calculation 2 15 2 2 3 4" xfId="36861"/>
    <cellStyle name="Calculation 2 15 2 2 4" xfId="11643"/>
    <cellStyle name="Calculation 2 15 2 2 4 2" xfId="41634"/>
    <cellStyle name="Calculation 2 15 2 2 4 3" xfId="42682"/>
    <cellStyle name="Calculation 2 15 2 2 4 4" xfId="29328"/>
    <cellStyle name="Calculation 2 15 2 2 5" xfId="20685"/>
    <cellStyle name="Calculation 2 15 2 2 5 2" xfId="46207"/>
    <cellStyle name="Calculation 2 15 2 2 5 3" xfId="50113"/>
    <cellStyle name="Calculation 2 15 2 2 5 4" xfId="38077"/>
    <cellStyle name="Calculation 2 15 2 2 6" xfId="21338"/>
    <cellStyle name="Calculation 2 15 2 2 6 2" xfId="46860"/>
    <cellStyle name="Calculation 2 15 2 2 6 3" xfId="50766"/>
    <cellStyle name="Calculation 2 15 2 2 7" xfId="40663"/>
    <cellStyle name="Calculation 2 15 2 2 8" xfId="42590"/>
    <cellStyle name="Calculation 2 15 2 3" xfId="10780"/>
    <cellStyle name="Calculation 2 15 2 3 2" xfId="18567"/>
    <cellStyle name="Calculation 2 15 2 3 2 2" xfId="44099"/>
    <cellStyle name="Calculation 2 15 2 3 2 3" xfId="48008"/>
    <cellStyle name="Calculation 2 15 2 3 2 4" xfId="36190"/>
    <cellStyle name="Calculation 2 15 2 3 3" xfId="19101"/>
    <cellStyle name="Calculation 2 15 2 3 3 2" xfId="44623"/>
    <cellStyle name="Calculation 2 15 2 3 3 3" xfId="48529"/>
    <cellStyle name="Calculation 2 15 2 3 3 4" xfId="36682"/>
    <cellStyle name="Calculation 2 15 2 3 4" xfId="11662"/>
    <cellStyle name="Calculation 2 15 2 3 4 2" xfId="41653"/>
    <cellStyle name="Calculation 2 15 2 3 4 3" xfId="40533"/>
    <cellStyle name="Calculation 2 15 2 3 4 4" xfId="29344"/>
    <cellStyle name="Calculation 2 15 2 3 5" xfId="20980"/>
    <cellStyle name="Calculation 2 15 2 3 5 2" xfId="46502"/>
    <cellStyle name="Calculation 2 15 2 3 5 3" xfId="50408"/>
    <cellStyle name="Calculation 2 15 2 3 5 4" xfId="38372"/>
    <cellStyle name="Calculation 2 15 2 3 6" xfId="21633"/>
    <cellStyle name="Calculation 2 15 2 3 6 2" xfId="47155"/>
    <cellStyle name="Calculation 2 15 2 3 6 3" xfId="51061"/>
    <cellStyle name="Calculation 2 15 2 3 7" xfId="40958"/>
    <cellStyle name="Calculation 2 15 2 3 8" xfId="39163"/>
    <cellStyle name="Calculation 2 15 2 4" xfId="14740"/>
    <cellStyle name="Calculation 2 15 2 4 2" xfId="42838"/>
    <cellStyle name="Calculation 2 15 2 4 3" xfId="40139"/>
    <cellStyle name="Calculation 2 15 2 4 4" xfId="32361"/>
    <cellStyle name="Calculation 2 15 2 5" xfId="11262"/>
    <cellStyle name="Calculation 2 15 2 5 2" xfId="41289"/>
    <cellStyle name="Calculation 2 15 2 5 3" xfId="40443"/>
    <cellStyle name="Calculation 2 15 2 5 4" xfId="28976"/>
    <cellStyle name="Calculation 2 15 2 6" xfId="19954"/>
    <cellStyle name="Calculation 2 15 2 6 2" xfId="45476"/>
    <cellStyle name="Calculation 2 15 2 6 3" xfId="49382"/>
    <cellStyle name="Calculation 2 15 2 6 4" xfId="37445"/>
    <cellStyle name="Calculation 2 15 2 7" xfId="18874"/>
    <cellStyle name="Calculation 2 15 2 7 2" xfId="44396"/>
    <cellStyle name="Calculation 2 15 2 7 3" xfId="48302"/>
    <cellStyle name="Calculation 2 15 2 7 4" xfId="36496"/>
    <cellStyle name="Calculation 2 15 2 8" xfId="20612"/>
    <cellStyle name="Calculation 2 15 2 8 2" xfId="46134"/>
    <cellStyle name="Calculation 2 15 2 8 3" xfId="50040"/>
    <cellStyle name="Calculation 2 15 2 9" xfId="39698"/>
    <cellStyle name="Calculation 2 16" xfId="4149"/>
    <cellStyle name="Calculation 2 16 2" xfId="6959"/>
    <cellStyle name="Calculation 2 16 2 10" xfId="42606"/>
    <cellStyle name="Calculation 2 16 2 2" xfId="10486"/>
    <cellStyle name="Calculation 2 16 2 2 2" xfId="18273"/>
    <cellStyle name="Calculation 2 16 2 2 2 2" xfId="43805"/>
    <cellStyle name="Calculation 2 16 2 2 2 3" xfId="47714"/>
    <cellStyle name="Calculation 2 16 2 2 2 4" xfId="35896"/>
    <cellStyle name="Calculation 2 16 2 2 3" xfId="19906"/>
    <cellStyle name="Calculation 2 16 2 2 3 2" xfId="45428"/>
    <cellStyle name="Calculation 2 16 2 2 3 3" xfId="49334"/>
    <cellStyle name="Calculation 2 16 2 2 3 4" xfId="37406"/>
    <cellStyle name="Calculation 2 16 2 2 4" xfId="11069"/>
    <cellStyle name="Calculation 2 16 2 2 4 2" xfId="41247"/>
    <cellStyle name="Calculation 2 16 2 2 4 3" xfId="40338"/>
    <cellStyle name="Calculation 2 16 2 2 4 4" xfId="28785"/>
    <cellStyle name="Calculation 2 16 2 2 5" xfId="20686"/>
    <cellStyle name="Calculation 2 16 2 2 5 2" xfId="46208"/>
    <cellStyle name="Calculation 2 16 2 2 5 3" xfId="50114"/>
    <cellStyle name="Calculation 2 16 2 2 5 4" xfId="38078"/>
    <cellStyle name="Calculation 2 16 2 2 6" xfId="21339"/>
    <cellStyle name="Calculation 2 16 2 2 6 2" xfId="46861"/>
    <cellStyle name="Calculation 2 16 2 2 6 3" xfId="50767"/>
    <cellStyle name="Calculation 2 16 2 2 7" xfId="40664"/>
    <cellStyle name="Calculation 2 16 2 2 8" xfId="43503"/>
    <cellStyle name="Calculation 2 16 2 3" xfId="10781"/>
    <cellStyle name="Calculation 2 16 2 3 2" xfId="18568"/>
    <cellStyle name="Calculation 2 16 2 3 2 2" xfId="44100"/>
    <cellStyle name="Calculation 2 16 2 3 2 3" xfId="48009"/>
    <cellStyle name="Calculation 2 16 2 3 2 4" xfId="36191"/>
    <cellStyle name="Calculation 2 16 2 3 3" xfId="19715"/>
    <cellStyle name="Calculation 2 16 2 3 3 2" xfId="45237"/>
    <cellStyle name="Calculation 2 16 2 3 3 3" xfId="49143"/>
    <cellStyle name="Calculation 2 16 2 3 3 4" xfId="37228"/>
    <cellStyle name="Calculation 2 16 2 3 4" xfId="12817"/>
    <cellStyle name="Calculation 2 16 2 3 4 2" xfId="42201"/>
    <cellStyle name="Calculation 2 16 2 3 4 3" xfId="42532"/>
    <cellStyle name="Calculation 2 16 2 3 4 4" xfId="30458"/>
    <cellStyle name="Calculation 2 16 2 3 5" xfId="20981"/>
    <cellStyle name="Calculation 2 16 2 3 5 2" xfId="46503"/>
    <cellStyle name="Calculation 2 16 2 3 5 3" xfId="50409"/>
    <cellStyle name="Calculation 2 16 2 3 5 4" xfId="38373"/>
    <cellStyle name="Calculation 2 16 2 3 6" xfId="21634"/>
    <cellStyle name="Calculation 2 16 2 3 6 2" xfId="47156"/>
    <cellStyle name="Calculation 2 16 2 3 6 3" xfId="51062"/>
    <cellStyle name="Calculation 2 16 2 3 7" xfId="40959"/>
    <cellStyle name="Calculation 2 16 2 3 8" xfId="47488"/>
    <cellStyle name="Calculation 2 16 2 4" xfId="14741"/>
    <cellStyle name="Calculation 2 16 2 4 2" xfId="42839"/>
    <cellStyle name="Calculation 2 16 2 4 3" xfId="39253"/>
    <cellStyle name="Calculation 2 16 2 4 4" xfId="32362"/>
    <cellStyle name="Calculation 2 16 2 5" xfId="11263"/>
    <cellStyle name="Calculation 2 16 2 5 2" xfId="41290"/>
    <cellStyle name="Calculation 2 16 2 5 3" xfId="39554"/>
    <cellStyle name="Calculation 2 16 2 5 4" xfId="28977"/>
    <cellStyle name="Calculation 2 16 2 6" xfId="11585"/>
    <cellStyle name="Calculation 2 16 2 6 2" xfId="41576"/>
    <cellStyle name="Calculation 2 16 2 6 3" xfId="40044"/>
    <cellStyle name="Calculation 2 16 2 6 4" xfId="29278"/>
    <cellStyle name="Calculation 2 16 2 7" xfId="18893"/>
    <cellStyle name="Calculation 2 16 2 7 2" xfId="44415"/>
    <cellStyle name="Calculation 2 16 2 7 3" xfId="48321"/>
    <cellStyle name="Calculation 2 16 2 7 4" xfId="36512"/>
    <cellStyle name="Calculation 2 16 2 8" xfId="19167"/>
    <cellStyle name="Calculation 2 16 2 8 2" xfId="44689"/>
    <cellStyle name="Calculation 2 16 2 8 3" xfId="48595"/>
    <cellStyle name="Calculation 2 16 2 9" xfId="39699"/>
    <cellStyle name="Calculation 2 17" xfId="4150"/>
    <cellStyle name="Calculation 2 17 2" xfId="10449"/>
    <cellStyle name="Calculation 2 17 2 2" xfId="18236"/>
    <cellStyle name="Calculation 2 17 2 2 2" xfId="43768"/>
    <cellStyle name="Calculation 2 17 2 2 3" xfId="47677"/>
    <cellStyle name="Calculation 2 17 2 2 4" xfId="35859"/>
    <cellStyle name="Calculation 2 17 2 3" xfId="20035"/>
    <cellStyle name="Calculation 2 17 2 3 2" xfId="45557"/>
    <cellStyle name="Calculation 2 17 2 3 3" xfId="49463"/>
    <cellStyle name="Calculation 2 17 2 3 4" xfId="37519"/>
    <cellStyle name="Calculation 2 17 2 4" xfId="12593"/>
    <cellStyle name="Calculation 2 17 2 4 2" xfId="42059"/>
    <cellStyle name="Calculation 2 17 2 4 3" xfId="40166"/>
    <cellStyle name="Calculation 2 17 2 4 4" xfId="30246"/>
    <cellStyle name="Calculation 2 17 2 5" xfId="20649"/>
    <cellStyle name="Calculation 2 17 2 5 2" xfId="46171"/>
    <cellStyle name="Calculation 2 17 2 5 3" xfId="50077"/>
    <cellStyle name="Calculation 2 17 2 5 4" xfId="38041"/>
    <cellStyle name="Calculation 2 17 2 6" xfId="21302"/>
    <cellStyle name="Calculation 2 17 2 6 2" xfId="46824"/>
    <cellStyle name="Calculation 2 17 2 6 3" xfId="50730"/>
    <cellStyle name="Calculation 2 17 2 7" xfId="40627"/>
    <cellStyle name="Calculation 2 17 2 8" xfId="39376"/>
    <cellStyle name="Calculation 2 17 3" xfId="8452"/>
    <cellStyle name="Calculation 2 17 3 2" xfId="16242"/>
    <cellStyle name="Calculation 2 17 3 2 2" xfId="43377"/>
    <cellStyle name="Calculation 2 17 3 2 3" xfId="41250"/>
    <cellStyle name="Calculation 2 17 3 2 4" xfId="33863"/>
    <cellStyle name="Calculation 2 17 3 3" xfId="12120"/>
    <cellStyle name="Calculation 2 17 3 3 2" xfId="41845"/>
    <cellStyle name="Calculation 2 17 3 3 3" xfId="44389"/>
    <cellStyle name="Calculation 2 17 3 3 4" xfId="29779"/>
    <cellStyle name="Calculation 2 17 3 4" xfId="18959"/>
    <cellStyle name="Calculation 2 17 3 4 2" xfId="44481"/>
    <cellStyle name="Calculation 2 17 3 4 3" xfId="48387"/>
    <cellStyle name="Calculation 2 17 3 4 4" xfId="36570"/>
    <cellStyle name="Calculation 2 17 3 5" xfId="19788"/>
    <cellStyle name="Calculation 2 17 3 5 2" xfId="45310"/>
    <cellStyle name="Calculation 2 17 3 5 3" xfId="49216"/>
    <cellStyle name="Calculation 2 17 3 5 4" xfId="37297"/>
    <cellStyle name="Calculation 2 17 3 6" xfId="11593"/>
    <cellStyle name="Calculation 2 17 3 6 2" xfId="41584"/>
    <cellStyle name="Calculation 2 17 3 6 3" xfId="39543"/>
    <cellStyle name="Calculation 2 17 3 7" xfId="40239"/>
    <cellStyle name="Calculation 2 17 3 8" xfId="39207"/>
    <cellStyle name="Calculation 2 18" xfId="6952"/>
    <cellStyle name="Calculation 2 18 10" xfId="43749"/>
    <cellStyle name="Calculation 2 18 2" xfId="10479"/>
    <cellStyle name="Calculation 2 18 2 2" xfId="18266"/>
    <cellStyle name="Calculation 2 18 2 2 2" xfId="43798"/>
    <cellStyle name="Calculation 2 18 2 2 3" xfId="47707"/>
    <cellStyle name="Calculation 2 18 2 2 4" xfId="35889"/>
    <cellStyle name="Calculation 2 18 2 3" xfId="19753"/>
    <cellStyle name="Calculation 2 18 2 3 2" xfId="45275"/>
    <cellStyle name="Calculation 2 18 2 3 3" xfId="49181"/>
    <cellStyle name="Calculation 2 18 2 3 4" xfId="37266"/>
    <cellStyle name="Calculation 2 18 2 4" xfId="19249"/>
    <cellStyle name="Calculation 2 18 2 4 2" xfId="44771"/>
    <cellStyle name="Calculation 2 18 2 4 3" xfId="48677"/>
    <cellStyle name="Calculation 2 18 2 4 4" xfId="36813"/>
    <cellStyle name="Calculation 2 18 2 5" xfId="20679"/>
    <cellStyle name="Calculation 2 18 2 5 2" xfId="46201"/>
    <cellStyle name="Calculation 2 18 2 5 3" xfId="50107"/>
    <cellStyle name="Calculation 2 18 2 5 4" xfId="38071"/>
    <cellStyle name="Calculation 2 18 2 6" xfId="21332"/>
    <cellStyle name="Calculation 2 18 2 6 2" xfId="46854"/>
    <cellStyle name="Calculation 2 18 2 6 3" xfId="50760"/>
    <cellStyle name="Calculation 2 18 2 7" xfId="40657"/>
    <cellStyle name="Calculation 2 18 2 8" xfId="40577"/>
    <cellStyle name="Calculation 2 18 3" xfId="10774"/>
    <cellStyle name="Calculation 2 18 3 2" xfId="18561"/>
    <cellStyle name="Calculation 2 18 3 2 2" xfId="44093"/>
    <cellStyle name="Calculation 2 18 3 2 3" xfId="48002"/>
    <cellStyle name="Calculation 2 18 3 2 4" xfId="36184"/>
    <cellStyle name="Calculation 2 18 3 3" xfId="19584"/>
    <cellStyle name="Calculation 2 18 3 3 2" xfId="45106"/>
    <cellStyle name="Calculation 2 18 3 3 3" xfId="49012"/>
    <cellStyle name="Calculation 2 18 3 3 4" xfId="37110"/>
    <cellStyle name="Calculation 2 18 3 4" xfId="19041"/>
    <cellStyle name="Calculation 2 18 3 4 2" xfId="44563"/>
    <cellStyle name="Calculation 2 18 3 4 3" xfId="48469"/>
    <cellStyle name="Calculation 2 18 3 4 4" xfId="36627"/>
    <cellStyle name="Calculation 2 18 3 5" xfId="20974"/>
    <cellStyle name="Calculation 2 18 3 5 2" xfId="46496"/>
    <cellStyle name="Calculation 2 18 3 5 3" xfId="50402"/>
    <cellStyle name="Calculation 2 18 3 5 4" xfId="38366"/>
    <cellStyle name="Calculation 2 18 3 6" xfId="21627"/>
    <cellStyle name="Calculation 2 18 3 6 2" xfId="47149"/>
    <cellStyle name="Calculation 2 18 3 6 3" xfId="51055"/>
    <cellStyle name="Calculation 2 18 3 7" xfId="40952"/>
    <cellStyle name="Calculation 2 18 3 8" xfId="42036"/>
    <cellStyle name="Calculation 2 18 4" xfId="14734"/>
    <cellStyle name="Calculation 2 18 4 2" xfId="42832"/>
    <cellStyle name="Calculation 2 18 4 3" xfId="43281"/>
    <cellStyle name="Calculation 2 18 4 4" xfId="32355"/>
    <cellStyle name="Calculation 2 18 5" xfId="13036"/>
    <cellStyle name="Calculation 2 18 5 2" xfId="42238"/>
    <cellStyle name="Calculation 2 18 5 3" xfId="40027"/>
    <cellStyle name="Calculation 2 18 5 4" xfId="30671"/>
    <cellStyle name="Calculation 2 18 6" xfId="20209"/>
    <cellStyle name="Calculation 2 18 6 2" xfId="45731"/>
    <cellStyle name="Calculation 2 18 6 3" xfId="49637"/>
    <cellStyle name="Calculation 2 18 6 4" xfId="37672"/>
    <cellStyle name="Calculation 2 18 7" xfId="11619"/>
    <cellStyle name="Calculation 2 18 7 2" xfId="41610"/>
    <cellStyle name="Calculation 2 18 7 3" xfId="41994"/>
    <cellStyle name="Calculation 2 18 7 4" xfId="29308"/>
    <cellStyle name="Calculation 2 18 8" xfId="12054"/>
    <cellStyle name="Calculation 2 18 8 2" xfId="41787"/>
    <cellStyle name="Calculation 2 18 8 3" xfId="43176"/>
    <cellStyle name="Calculation 2 18 9" xfId="39692"/>
    <cellStyle name="Calculation 2 19" xfId="1441"/>
    <cellStyle name="Calculation 2 2" xfId="1447"/>
    <cellStyle name="Calculation 2 2 2" xfId="1448"/>
    <cellStyle name="Calculation 2 2 2 2" xfId="6961"/>
    <cellStyle name="Calculation 2 2 2 2 10" xfId="40382"/>
    <cellStyle name="Calculation 2 2 2 2 2" xfId="10488"/>
    <cellStyle name="Calculation 2 2 2 2 2 2" xfId="18275"/>
    <cellStyle name="Calculation 2 2 2 2 2 2 2" xfId="43807"/>
    <cellStyle name="Calculation 2 2 2 2 2 2 3" xfId="47716"/>
    <cellStyle name="Calculation 2 2 2 2 2 2 4" xfId="35898"/>
    <cellStyle name="Calculation 2 2 2 2 2 3" xfId="19751"/>
    <cellStyle name="Calculation 2 2 2 2 2 3 2" xfId="45273"/>
    <cellStyle name="Calculation 2 2 2 2 2 3 3" xfId="49179"/>
    <cellStyle name="Calculation 2 2 2 2 2 3 4" xfId="37264"/>
    <cellStyle name="Calculation 2 2 2 2 2 4" xfId="19194"/>
    <cellStyle name="Calculation 2 2 2 2 2 4 2" xfId="44716"/>
    <cellStyle name="Calculation 2 2 2 2 2 4 3" xfId="48622"/>
    <cellStyle name="Calculation 2 2 2 2 2 4 4" xfId="36765"/>
    <cellStyle name="Calculation 2 2 2 2 2 5" xfId="20688"/>
    <cellStyle name="Calculation 2 2 2 2 2 5 2" xfId="46210"/>
    <cellStyle name="Calculation 2 2 2 2 2 5 3" xfId="50116"/>
    <cellStyle name="Calculation 2 2 2 2 2 5 4" xfId="38080"/>
    <cellStyle name="Calculation 2 2 2 2 2 6" xfId="21341"/>
    <cellStyle name="Calculation 2 2 2 2 2 6 2" xfId="46863"/>
    <cellStyle name="Calculation 2 2 2 2 2 6 3" xfId="50769"/>
    <cellStyle name="Calculation 2 2 2 2 2 7" xfId="40666"/>
    <cellStyle name="Calculation 2 2 2 2 2 8" xfId="39478"/>
    <cellStyle name="Calculation 2 2 2 2 3" xfId="10783"/>
    <cellStyle name="Calculation 2 2 2 2 3 2" xfId="18570"/>
    <cellStyle name="Calculation 2 2 2 2 3 2 2" xfId="44102"/>
    <cellStyle name="Calculation 2 2 2 2 3 2 3" xfId="48011"/>
    <cellStyle name="Calculation 2 2 2 2 3 2 4" xfId="36193"/>
    <cellStyle name="Calculation 2 2 2 2 3 3" xfId="13325"/>
    <cellStyle name="Calculation 2 2 2 2 3 3 2" xfId="42476"/>
    <cellStyle name="Calculation 2 2 2 2 3 3 3" xfId="40022"/>
    <cellStyle name="Calculation 2 2 2 2 3 3 4" xfId="30951"/>
    <cellStyle name="Calculation 2 2 2 2 3 4" xfId="19506"/>
    <cellStyle name="Calculation 2 2 2 2 3 4 2" xfId="45028"/>
    <cellStyle name="Calculation 2 2 2 2 3 4 3" xfId="48934"/>
    <cellStyle name="Calculation 2 2 2 2 3 4 4" xfId="37040"/>
    <cellStyle name="Calculation 2 2 2 2 3 5" xfId="20983"/>
    <cellStyle name="Calculation 2 2 2 2 3 5 2" xfId="46505"/>
    <cellStyle name="Calculation 2 2 2 2 3 5 3" xfId="50411"/>
    <cellStyle name="Calculation 2 2 2 2 3 5 4" xfId="38375"/>
    <cellStyle name="Calculation 2 2 2 2 3 6" xfId="21636"/>
    <cellStyle name="Calculation 2 2 2 2 3 6 2" xfId="47158"/>
    <cellStyle name="Calculation 2 2 2 2 3 6 3" xfId="51064"/>
    <cellStyle name="Calculation 2 2 2 2 3 7" xfId="40961"/>
    <cellStyle name="Calculation 2 2 2 2 3 8" xfId="43207"/>
    <cellStyle name="Calculation 2 2 2 2 4" xfId="14743"/>
    <cellStyle name="Calculation 2 2 2 2 4 2" xfId="42841"/>
    <cellStyle name="Calculation 2 2 2 2 4 3" xfId="43279"/>
    <cellStyle name="Calculation 2 2 2 2 4 4" xfId="32364"/>
    <cellStyle name="Calculation 2 2 2 2 5" xfId="11264"/>
    <cellStyle name="Calculation 2 2 2 2 5 2" xfId="41291"/>
    <cellStyle name="Calculation 2 2 2 2 5 3" xfId="42562"/>
    <cellStyle name="Calculation 2 2 2 2 5 4" xfId="28978"/>
    <cellStyle name="Calculation 2 2 2 2 6" xfId="19190"/>
    <cellStyle name="Calculation 2 2 2 2 6 2" xfId="44712"/>
    <cellStyle name="Calculation 2 2 2 2 6 3" xfId="48618"/>
    <cellStyle name="Calculation 2 2 2 2 6 4" xfId="36761"/>
    <cellStyle name="Calculation 2 2 2 2 7" xfId="20468"/>
    <cellStyle name="Calculation 2 2 2 2 7 2" xfId="45990"/>
    <cellStyle name="Calculation 2 2 2 2 7 3" xfId="49896"/>
    <cellStyle name="Calculation 2 2 2 2 7 4" xfId="37904"/>
    <cellStyle name="Calculation 2 2 2 2 8" xfId="19004"/>
    <cellStyle name="Calculation 2 2 2 2 8 2" xfId="44526"/>
    <cellStyle name="Calculation 2 2 2 2 8 3" xfId="48432"/>
    <cellStyle name="Calculation 2 2 2 2 9" xfId="39701"/>
    <cellStyle name="Calculation 2 2 2 3" xfId="52918"/>
    <cellStyle name="Calculation 2 2 3" xfId="1449"/>
    <cellStyle name="Calculation 2 2 3 2" xfId="6962"/>
    <cellStyle name="Calculation 2 2 3 2 10" xfId="39494"/>
    <cellStyle name="Calculation 2 2 3 2 2" xfId="10489"/>
    <cellStyle name="Calculation 2 2 3 2 2 2" xfId="18276"/>
    <cellStyle name="Calculation 2 2 3 2 2 2 2" xfId="43808"/>
    <cellStyle name="Calculation 2 2 3 2 2 2 3" xfId="47717"/>
    <cellStyle name="Calculation 2 2 3 2 2 2 4" xfId="35899"/>
    <cellStyle name="Calculation 2 2 3 2 2 3" xfId="11482"/>
    <cellStyle name="Calculation 2 2 3 2 2 3 2" xfId="41473"/>
    <cellStyle name="Calculation 2 2 3 2 2 3 3" xfId="42001"/>
    <cellStyle name="Calculation 2 2 3 2 2 3 4" xfId="29183"/>
    <cellStyle name="Calculation 2 2 3 2 2 4" xfId="11674"/>
    <cellStyle name="Calculation 2 2 3 2 2 4 2" xfId="41665"/>
    <cellStyle name="Calculation 2 2 3 2 2 4 3" xfId="40177"/>
    <cellStyle name="Calculation 2 2 3 2 2 4 4" xfId="29353"/>
    <cellStyle name="Calculation 2 2 3 2 2 5" xfId="20689"/>
    <cellStyle name="Calculation 2 2 3 2 2 5 2" xfId="46211"/>
    <cellStyle name="Calculation 2 2 3 2 2 5 3" xfId="50117"/>
    <cellStyle name="Calculation 2 2 3 2 2 5 4" xfId="38081"/>
    <cellStyle name="Calculation 2 2 3 2 2 6" xfId="21342"/>
    <cellStyle name="Calculation 2 2 3 2 2 6 2" xfId="46864"/>
    <cellStyle name="Calculation 2 2 3 2 2 6 3" xfId="50770"/>
    <cellStyle name="Calculation 2 2 3 2 2 7" xfId="40667"/>
    <cellStyle name="Calculation 2 2 3 2 2 8" xfId="42052"/>
    <cellStyle name="Calculation 2 2 3 2 3" xfId="10784"/>
    <cellStyle name="Calculation 2 2 3 2 3 2" xfId="18571"/>
    <cellStyle name="Calculation 2 2 3 2 3 2 2" xfId="44103"/>
    <cellStyle name="Calculation 2 2 3 2 3 2 3" xfId="48012"/>
    <cellStyle name="Calculation 2 2 3 2 3 2 4" xfId="36194"/>
    <cellStyle name="Calculation 2 2 3 2 3 3" xfId="19583"/>
    <cellStyle name="Calculation 2 2 3 2 3 3 2" xfId="45105"/>
    <cellStyle name="Calculation 2 2 3 2 3 3 3" xfId="49011"/>
    <cellStyle name="Calculation 2 2 3 2 3 3 4" xfId="37109"/>
    <cellStyle name="Calculation 2 2 3 2 3 4" xfId="11551"/>
    <cellStyle name="Calculation 2 2 3 2 3 4 2" xfId="41542"/>
    <cellStyle name="Calculation 2 2 3 2 3 4 3" xfId="40539"/>
    <cellStyle name="Calculation 2 2 3 2 3 4 4" xfId="29249"/>
    <cellStyle name="Calculation 2 2 3 2 3 5" xfId="20984"/>
    <cellStyle name="Calculation 2 2 3 2 3 5 2" xfId="46506"/>
    <cellStyle name="Calculation 2 2 3 2 3 5 3" xfId="50412"/>
    <cellStyle name="Calculation 2 2 3 2 3 5 4" xfId="38376"/>
    <cellStyle name="Calculation 2 2 3 2 3 6" xfId="21637"/>
    <cellStyle name="Calculation 2 2 3 2 3 6 2" xfId="47159"/>
    <cellStyle name="Calculation 2 2 3 2 3 6 3" xfId="51065"/>
    <cellStyle name="Calculation 2 2 3 2 3 7" xfId="40962"/>
    <cellStyle name="Calculation 2 2 3 2 3 8" xfId="40066"/>
    <cellStyle name="Calculation 2 2 3 2 4" xfId="14744"/>
    <cellStyle name="Calculation 2 2 3 2 4 2" xfId="42842"/>
    <cellStyle name="Calculation 2 2 3 2 4 3" xfId="40138"/>
    <cellStyle name="Calculation 2 2 3 2 4 4" xfId="32365"/>
    <cellStyle name="Calculation 2 2 3 2 5" xfId="13041"/>
    <cellStyle name="Calculation 2 2 3 2 5 2" xfId="42243"/>
    <cellStyle name="Calculation 2 2 3 2 5 3" xfId="42662"/>
    <cellStyle name="Calculation 2 2 3 2 5 4" xfId="30676"/>
    <cellStyle name="Calculation 2 2 3 2 6" xfId="20172"/>
    <cellStyle name="Calculation 2 2 3 2 6 2" xfId="45694"/>
    <cellStyle name="Calculation 2 2 3 2 6 3" xfId="49600"/>
    <cellStyle name="Calculation 2 2 3 2 6 4" xfId="37643"/>
    <cellStyle name="Calculation 2 2 3 2 7" xfId="20222"/>
    <cellStyle name="Calculation 2 2 3 2 7 2" xfId="45744"/>
    <cellStyle name="Calculation 2 2 3 2 7 3" xfId="49650"/>
    <cellStyle name="Calculation 2 2 3 2 7 4" xfId="37681"/>
    <cellStyle name="Calculation 2 2 3 2 8" xfId="20052"/>
    <cellStyle name="Calculation 2 2 3 2 8 2" xfId="45574"/>
    <cellStyle name="Calculation 2 2 3 2 8 3" xfId="49480"/>
    <cellStyle name="Calculation 2 2 3 2 9" xfId="39702"/>
    <cellStyle name="Calculation 2 2 3 3" xfId="22872"/>
    <cellStyle name="Calculation 2 2 3 3 2" xfId="47583"/>
    <cellStyle name="Calculation 2 2 3 3 3" xfId="51398"/>
    <cellStyle name="Calculation 2 2 3 3 4" xfId="39003"/>
    <cellStyle name="Calculation 2 2 3 4" xfId="23040"/>
    <cellStyle name="Calculation 2 2 3 4 2" xfId="47627"/>
    <cellStyle name="Calculation 2 2 3 4 3" xfId="51438"/>
    <cellStyle name="Calculation 2 2 3 5" xfId="52919"/>
    <cellStyle name="Calculation 2 2 4" xfId="4151"/>
    <cellStyle name="Calculation 2 2 4 2" xfId="6963"/>
    <cellStyle name="Calculation 2 2 4 2 10" xfId="42175"/>
    <cellStyle name="Calculation 2 2 4 2 2" xfId="10490"/>
    <cellStyle name="Calculation 2 2 4 2 2 2" xfId="18277"/>
    <cellStyle name="Calculation 2 2 4 2 2 2 2" xfId="43809"/>
    <cellStyle name="Calculation 2 2 4 2 2 2 3" xfId="47718"/>
    <cellStyle name="Calculation 2 2 4 2 2 2 4" xfId="35900"/>
    <cellStyle name="Calculation 2 2 4 2 2 3" xfId="19752"/>
    <cellStyle name="Calculation 2 2 4 2 2 3 2" xfId="45274"/>
    <cellStyle name="Calculation 2 2 4 2 2 3 3" xfId="49180"/>
    <cellStyle name="Calculation 2 2 4 2 2 3 4" xfId="37265"/>
    <cellStyle name="Calculation 2 2 4 2 2 4" xfId="19054"/>
    <cellStyle name="Calculation 2 2 4 2 2 4 2" xfId="44576"/>
    <cellStyle name="Calculation 2 2 4 2 2 4 3" xfId="48482"/>
    <cellStyle name="Calculation 2 2 4 2 2 4 4" xfId="36639"/>
    <cellStyle name="Calculation 2 2 4 2 2 5" xfId="20690"/>
    <cellStyle name="Calculation 2 2 4 2 2 5 2" xfId="46212"/>
    <cellStyle name="Calculation 2 2 4 2 2 5 3" xfId="50118"/>
    <cellStyle name="Calculation 2 2 4 2 2 5 4" xfId="38082"/>
    <cellStyle name="Calculation 2 2 4 2 2 6" xfId="21343"/>
    <cellStyle name="Calculation 2 2 4 2 2 6 2" xfId="46865"/>
    <cellStyle name="Calculation 2 2 4 2 2 6 3" xfId="50771"/>
    <cellStyle name="Calculation 2 2 4 2 2 7" xfId="40668"/>
    <cellStyle name="Calculation 2 2 4 2 2 8" xfId="43371"/>
    <cellStyle name="Calculation 2 2 4 2 3" xfId="10785"/>
    <cellStyle name="Calculation 2 2 4 2 3 2" xfId="18572"/>
    <cellStyle name="Calculation 2 2 4 2 3 2 2" xfId="44104"/>
    <cellStyle name="Calculation 2 2 4 2 3 2 3" xfId="48013"/>
    <cellStyle name="Calculation 2 2 4 2 3 2 4" xfId="36195"/>
    <cellStyle name="Calculation 2 2 4 2 3 3" xfId="20136"/>
    <cellStyle name="Calculation 2 2 4 2 3 3 2" xfId="45658"/>
    <cellStyle name="Calculation 2 2 4 2 3 3 3" xfId="49564"/>
    <cellStyle name="Calculation 2 2 4 2 3 3 4" xfId="37608"/>
    <cellStyle name="Calculation 2 2 4 2 3 4" xfId="11535"/>
    <cellStyle name="Calculation 2 2 4 2 3 4 2" xfId="41526"/>
    <cellStyle name="Calculation 2 2 4 2 3 4 3" xfId="43573"/>
    <cellStyle name="Calculation 2 2 4 2 3 4 4" xfId="29235"/>
    <cellStyle name="Calculation 2 2 4 2 3 5" xfId="20985"/>
    <cellStyle name="Calculation 2 2 4 2 3 5 2" xfId="46507"/>
    <cellStyle name="Calculation 2 2 4 2 3 5 3" xfId="50413"/>
    <cellStyle name="Calculation 2 2 4 2 3 5 4" xfId="38377"/>
    <cellStyle name="Calculation 2 2 4 2 3 6" xfId="21638"/>
    <cellStyle name="Calculation 2 2 4 2 3 6 2" xfId="47160"/>
    <cellStyle name="Calculation 2 2 4 2 3 6 3" xfId="51066"/>
    <cellStyle name="Calculation 2 2 4 2 3 7" xfId="40963"/>
    <cellStyle name="Calculation 2 2 4 2 3 8" xfId="42814"/>
    <cellStyle name="Calculation 2 2 4 2 4" xfId="14745"/>
    <cellStyle name="Calculation 2 2 4 2 4 2" xfId="42843"/>
    <cellStyle name="Calculation 2 2 4 2 4 3" xfId="39252"/>
    <cellStyle name="Calculation 2 2 4 2 4 4" xfId="32366"/>
    <cellStyle name="Calculation 2 2 4 2 5" xfId="13042"/>
    <cellStyle name="Calculation 2 2 4 2 5 2" xfId="42244"/>
    <cellStyle name="Calculation 2 2 4 2 5 3" xfId="43550"/>
    <cellStyle name="Calculation 2 2 4 2 5 4" xfId="30677"/>
    <cellStyle name="Calculation 2 2 4 2 6" xfId="19329"/>
    <cellStyle name="Calculation 2 2 4 2 6 2" xfId="44851"/>
    <cellStyle name="Calculation 2 2 4 2 6 3" xfId="48757"/>
    <cellStyle name="Calculation 2 2 4 2 6 4" xfId="36887"/>
    <cellStyle name="Calculation 2 2 4 2 7" xfId="19248"/>
    <cellStyle name="Calculation 2 2 4 2 7 2" xfId="44770"/>
    <cellStyle name="Calculation 2 2 4 2 7 3" xfId="48676"/>
    <cellStyle name="Calculation 2 2 4 2 7 4" xfId="36812"/>
    <cellStyle name="Calculation 2 2 4 2 8" xfId="18934"/>
    <cellStyle name="Calculation 2 2 4 2 8 2" xfId="44456"/>
    <cellStyle name="Calculation 2 2 4 2 8 3" xfId="48362"/>
    <cellStyle name="Calculation 2 2 4 2 9" xfId="39703"/>
    <cellStyle name="Calculation 2 2 4 3" xfId="22279"/>
    <cellStyle name="Calculation 2 2 4 3 2" xfId="47496"/>
    <cellStyle name="Calculation 2 2 4 3 3" xfId="51351"/>
    <cellStyle name="Calculation 2 2 4 3 4" xfId="38802"/>
    <cellStyle name="Calculation 2 2 4 4" xfId="23017"/>
    <cellStyle name="Calculation 2 2 4 4 2" xfId="47604"/>
    <cellStyle name="Calculation 2 2 4 4 3" xfId="51415"/>
    <cellStyle name="Calculation 2 2 4 5" xfId="52920"/>
    <cellStyle name="Calculation 2 2 5" xfId="4152"/>
    <cellStyle name="Calculation 2 2 5 2" xfId="10450"/>
    <cellStyle name="Calculation 2 2 5 2 2" xfId="18237"/>
    <cellStyle name="Calculation 2 2 5 2 2 2" xfId="43769"/>
    <cellStyle name="Calculation 2 2 5 2 2 3" xfId="47678"/>
    <cellStyle name="Calculation 2 2 5 2 2 4" xfId="35860"/>
    <cellStyle name="Calculation 2 2 5 2 3" xfId="19301"/>
    <cellStyle name="Calculation 2 2 5 2 3 2" xfId="44823"/>
    <cellStyle name="Calculation 2 2 5 2 3 3" xfId="48729"/>
    <cellStyle name="Calculation 2 2 5 2 3 4" xfId="36865"/>
    <cellStyle name="Calculation 2 2 5 2 4" xfId="11565"/>
    <cellStyle name="Calculation 2 2 5 2 4 2" xfId="41556"/>
    <cellStyle name="Calculation 2 2 5 2 4 3" xfId="42791"/>
    <cellStyle name="Calculation 2 2 5 2 4 4" xfId="29262"/>
    <cellStyle name="Calculation 2 2 5 2 5" xfId="20650"/>
    <cellStyle name="Calculation 2 2 5 2 5 2" xfId="46172"/>
    <cellStyle name="Calculation 2 2 5 2 5 3" xfId="50078"/>
    <cellStyle name="Calculation 2 2 5 2 5 4" xfId="38042"/>
    <cellStyle name="Calculation 2 2 5 2 6" xfId="21303"/>
    <cellStyle name="Calculation 2 2 5 2 6 2" xfId="46825"/>
    <cellStyle name="Calculation 2 2 5 2 6 3" xfId="50731"/>
    <cellStyle name="Calculation 2 2 5 2 7" xfId="40628"/>
    <cellStyle name="Calculation 2 2 5 2 8" xfId="41418"/>
    <cellStyle name="Calculation 2 2 5 3" xfId="8453"/>
    <cellStyle name="Calculation 2 2 5 3 2" xfId="16243"/>
    <cellStyle name="Calculation 2 2 5 3 2 2" xfId="43378"/>
    <cellStyle name="Calculation 2 2 5 3 2 3" xfId="43146"/>
    <cellStyle name="Calculation 2 2 5 3 2 4" xfId="33864"/>
    <cellStyle name="Calculation 2 2 5 3 3" xfId="12121"/>
    <cellStyle name="Calculation 2 2 5 3 3 2" xfId="41846"/>
    <cellStyle name="Calculation 2 2 5 3 3 3" xfId="47467"/>
    <cellStyle name="Calculation 2 2 5 3 3 4" xfId="29780"/>
    <cellStyle name="Calculation 2 2 5 3 4" xfId="20297"/>
    <cellStyle name="Calculation 2 2 5 3 4 2" xfId="45819"/>
    <cellStyle name="Calculation 2 2 5 3 4 3" xfId="49725"/>
    <cellStyle name="Calculation 2 2 5 3 4 4" xfId="37748"/>
    <cellStyle name="Calculation 2 2 5 3 5" xfId="18895"/>
    <cellStyle name="Calculation 2 2 5 3 5 2" xfId="44417"/>
    <cellStyle name="Calculation 2 2 5 3 5 3" xfId="48323"/>
    <cellStyle name="Calculation 2 2 5 3 5 4" xfId="36513"/>
    <cellStyle name="Calculation 2 2 5 3 6" xfId="13285"/>
    <cellStyle name="Calculation 2 2 5 3 6 2" xfId="42436"/>
    <cellStyle name="Calculation 2 2 5 3 6 3" xfId="40145"/>
    <cellStyle name="Calculation 2 2 5 3 7" xfId="40240"/>
    <cellStyle name="Calculation 2 2 5 3 8" xfId="39206"/>
    <cellStyle name="Calculation 2 2 6" xfId="6960"/>
    <cellStyle name="Calculation 2 2 6 10" xfId="43519"/>
    <cellStyle name="Calculation 2 2 6 2" xfId="10487"/>
    <cellStyle name="Calculation 2 2 6 2 2" xfId="18274"/>
    <cellStyle name="Calculation 2 2 6 2 2 2" xfId="43806"/>
    <cellStyle name="Calculation 2 2 6 2 2 3" xfId="47715"/>
    <cellStyle name="Calculation 2 2 6 2 2 4" xfId="35897"/>
    <cellStyle name="Calculation 2 2 6 2 3" xfId="19129"/>
    <cellStyle name="Calculation 2 2 6 2 3 2" xfId="44651"/>
    <cellStyle name="Calculation 2 2 6 2 3 3" xfId="48557"/>
    <cellStyle name="Calculation 2 2 6 2 3 4" xfId="36710"/>
    <cellStyle name="Calculation 2 2 6 2 4" xfId="20247"/>
    <cellStyle name="Calculation 2 2 6 2 4 2" xfId="45769"/>
    <cellStyle name="Calculation 2 2 6 2 4 3" xfId="49675"/>
    <cellStyle name="Calculation 2 2 6 2 4 4" xfId="37704"/>
    <cellStyle name="Calculation 2 2 6 2 5" xfId="20687"/>
    <cellStyle name="Calculation 2 2 6 2 5 2" xfId="46209"/>
    <cellStyle name="Calculation 2 2 6 2 5 3" xfId="50115"/>
    <cellStyle name="Calculation 2 2 6 2 5 4" xfId="38079"/>
    <cellStyle name="Calculation 2 2 6 2 6" xfId="21340"/>
    <cellStyle name="Calculation 2 2 6 2 6 2" xfId="46862"/>
    <cellStyle name="Calculation 2 2 6 2 6 3" xfId="50768"/>
    <cellStyle name="Calculation 2 2 6 2 7" xfId="40665"/>
    <cellStyle name="Calculation 2 2 6 2 8" xfId="40366"/>
    <cellStyle name="Calculation 2 2 6 3" xfId="10782"/>
    <cellStyle name="Calculation 2 2 6 3 2" xfId="18569"/>
    <cellStyle name="Calculation 2 2 6 3 2 2" xfId="44101"/>
    <cellStyle name="Calculation 2 2 6 3 2 3" xfId="48010"/>
    <cellStyle name="Calculation 2 2 6 3 2 4" xfId="36192"/>
    <cellStyle name="Calculation 2 2 6 3 3" xfId="11503"/>
    <cellStyle name="Calculation 2 2 6 3 3 2" xfId="41494"/>
    <cellStyle name="Calculation 2 2 6 3 3 3" xfId="43323"/>
    <cellStyle name="Calculation 2 2 6 3 3 4" xfId="29204"/>
    <cellStyle name="Calculation 2 2 6 3 4" xfId="12690"/>
    <cellStyle name="Calculation 2 2 6 3 4 2" xfId="42150"/>
    <cellStyle name="Calculation 2 2 6 3 4 3" xfId="39285"/>
    <cellStyle name="Calculation 2 2 6 3 4 4" xfId="30336"/>
    <cellStyle name="Calculation 2 2 6 3 5" xfId="20982"/>
    <cellStyle name="Calculation 2 2 6 3 5 2" xfId="46504"/>
    <cellStyle name="Calculation 2 2 6 3 5 3" xfId="50410"/>
    <cellStyle name="Calculation 2 2 6 3 5 4" xfId="38374"/>
    <cellStyle name="Calculation 2 2 6 3 6" xfId="21635"/>
    <cellStyle name="Calculation 2 2 6 3 6 2" xfId="47157"/>
    <cellStyle name="Calculation 2 2 6 3 6 3" xfId="51063"/>
    <cellStyle name="Calculation 2 2 6 3 7" xfId="40960"/>
    <cellStyle name="Calculation 2 2 6 3 8" xfId="41404"/>
    <cellStyle name="Calculation 2 2 6 4" xfId="14742"/>
    <cellStyle name="Calculation 2 2 6 4 2" xfId="42840"/>
    <cellStyle name="Calculation 2 2 6 4 3" xfId="41925"/>
    <cellStyle name="Calculation 2 2 6 4 4" xfId="32363"/>
    <cellStyle name="Calculation 2 2 6 5" xfId="11265"/>
    <cellStyle name="Calculation 2 2 6 5 2" xfId="41292"/>
    <cellStyle name="Calculation 2 2 6 5 3" xfId="43475"/>
    <cellStyle name="Calculation 2 2 6 5 4" xfId="28979"/>
    <cellStyle name="Calculation 2 2 6 6" xfId="19687"/>
    <cellStyle name="Calculation 2 2 6 6 2" xfId="45209"/>
    <cellStyle name="Calculation 2 2 6 6 3" xfId="49115"/>
    <cellStyle name="Calculation 2 2 6 6 4" xfId="37202"/>
    <cellStyle name="Calculation 2 2 6 7" xfId="18990"/>
    <cellStyle name="Calculation 2 2 6 7 2" xfId="44512"/>
    <cellStyle name="Calculation 2 2 6 7 3" xfId="48418"/>
    <cellStyle name="Calculation 2 2 6 7 4" xfId="36598"/>
    <cellStyle name="Calculation 2 2 6 8" xfId="20213"/>
    <cellStyle name="Calculation 2 2 6 8 2" xfId="45735"/>
    <cellStyle name="Calculation 2 2 6 8 3" xfId="49641"/>
    <cellStyle name="Calculation 2 2 6 9" xfId="39700"/>
    <cellStyle name="Calculation 2 2 7" xfId="52917"/>
    <cellStyle name="Calculation 2 2_Sheet1" xfId="1450"/>
    <cellStyle name="Calculation 2 20" xfId="52720"/>
    <cellStyle name="Calculation 2 21" xfId="52717"/>
    <cellStyle name="Calculation 2 22" xfId="52719"/>
    <cellStyle name="Calculation 2 23" xfId="52743"/>
    <cellStyle name="Calculation 2 24" xfId="52718"/>
    <cellStyle name="Calculation 2 25" xfId="52716"/>
    <cellStyle name="Calculation 2 26" xfId="52748"/>
    <cellStyle name="Calculation 2 27" xfId="52715"/>
    <cellStyle name="Calculation 2 28" xfId="52780"/>
    <cellStyle name="Calculation 2 29" xfId="52776"/>
    <cellStyle name="Calculation 2 3" xfId="1451"/>
    <cellStyle name="Calculation 2 3 2" xfId="6964"/>
    <cellStyle name="Calculation 2 3 2 10" xfId="43402"/>
    <cellStyle name="Calculation 2 3 2 2" xfId="10491"/>
    <cellStyle name="Calculation 2 3 2 2 2" xfId="18278"/>
    <cellStyle name="Calculation 2 3 2 2 2 2" xfId="43810"/>
    <cellStyle name="Calculation 2 3 2 2 2 3" xfId="47719"/>
    <cellStyle name="Calculation 2 3 2 2 2 4" xfId="35901"/>
    <cellStyle name="Calculation 2 3 2 2 3" xfId="11481"/>
    <cellStyle name="Calculation 2 3 2 2 3 2" xfId="41472"/>
    <cellStyle name="Calculation 2 3 2 2 3 3" xfId="39443"/>
    <cellStyle name="Calculation 2 3 2 2 3 4" xfId="29182"/>
    <cellStyle name="Calculation 2 3 2 2 4" xfId="20108"/>
    <cellStyle name="Calculation 2 3 2 2 4 2" xfId="45630"/>
    <cellStyle name="Calculation 2 3 2 2 4 3" xfId="49536"/>
    <cellStyle name="Calculation 2 3 2 2 4 4" xfId="37580"/>
    <cellStyle name="Calculation 2 3 2 2 5" xfId="20691"/>
    <cellStyle name="Calculation 2 3 2 2 5 2" xfId="46213"/>
    <cellStyle name="Calculation 2 3 2 2 5 3" xfId="50119"/>
    <cellStyle name="Calculation 2 3 2 2 5 4" xfId="38083"/>
    <cellStyle name="Calculation 2 3 2 2 6" xfId="21344"/>
    <cellStyle name="Calculation 2 3 2 2 6 2" xfId="46866"/>
    <cellStyle name="Calculation 2 3 2 2 6 3" xfId="50772"/>
    <cellStyle name="Calculation 2 3 2 2 7" xfId="40669"/>
    <cellStyle name="Calculation 2 3 2 2 8" xfId="40233"/>
    <cellStyle name="Calculation 2 3 2 3" xfId="10786"/>
    <cellStyle name="Calculation 2 3 2 3 2" xfId="18573"/>
    <cellStyle name="Calculation 2 3 2 3 2 2" xfId="44105"/>
    <cellStyle name="Calculation 2 3 2 3 2 3" xfId="48014"/>
    <cellStyle name="Calculation 2 3 2 3 2 4" xfId="36196"/>
    <cellStyle name="Calculation 2 3 2 3 3" xfId="19395"/>
    <cellStyle name="Calculation 2 3 2 3 3 2" xfId="44917"/>
    <cellStyle name="Calculation 2 3 2 3 3 3" xfId="48823"/>
    <cellStyle name="Calculation 2 3 2 3 3 4" xfId="36946"/>
    <cellStyle name="Calculation 2 3 2 3 4" xfId="11633"/>
    <cellStyle name="Calculation 2 3 2 3 4 2" xfId="41624"/>
    <cellStyle name="Calculation 2 3 2 3 4 3" xfId="39136"/>
    <cellStyle name="Calculation 2 3 2 3 4 4" xfId="29320"/>
    <cellStyle name="Calculation 2 3 2 3 5" xfId="20986"/>
    <cellStyle name="Calculation 2 3 2 3 5 2" xfId="46508"/>
    <cellStyle name="Calculation 2 3 2 3 5 3" xfId="50414"/>
    <cellStyle name="Calculation 2 3 2 3 5 4" xfId="38378"/>
    <cellStyle name="Calculation 2 3 2 3 6" xfId="21639"/>
    <cellStyle name="Calculation 2 3 2 3 6 2" xfId="47161"/>
    <cellStyle name="Calculation 2 3 2 3 6 3" xfId="51067"/>
    <cellStyle name="Calculation 2 3 2 3 7" xfId="40964"/>
    <cellStyle name="Calculation 2 3 2 3 8" xfId="43703"/>
    <cellStyle name="Calculation 2 3 2 4" xfId="14746"/>
    <cellStyle name="Calculation 2 3 2 4 2" xfId="42844"/>
    <cellStyle name="Calculation 2 3 2 4 3" xfId="41266"/>
    <cellStyle name="Calculation 2 3 2 4 4" xfId="32367"/>
    <cellStyle name="Calculation 2 3 2 5" xfId="13043"/>
    <cellStyle name="Calculation 2 3 2 5 2" xfId="42245"/>
    <cellStyle name="Calculation 2 3 2 5 3" xfId="40411"/>
    <cellStyle name="Calculation 2 3 2 5 4" xfId="30678"/>
    <cellStyle name="Calculation 2 3 2 6" xfId="20366"/>
    <cellStyle name="Calculation 2 3 2 6 2" xfId="45888"/>
    <cellStyle name="Calculation 2 3 2 6 3" xfId="49794"/>
    <cellStyle name="Calculation 2 3 2 6 4" xfId="37808"/>
    <cellStyle name="Calculation 2 3 2 7" xfId="18986"/>
    <cellStyle name="Calculation 2 3 2 7 2" xfId="44508"/>
    <cellStyle name="Calculation 2 3 2 7 3" xfId="48414"/>
    <cellStyle name="Calculation 2 3 2 7 4" xfId="36594"/>
    <cellStyle name="Calculation 2 3 2 8" xfId="12494"/>
    <cellStyle name="Calculation 2 3 2 8 2" xfId="41988"/>
    <cellStyle name="Calculation 2 3 2 8 3" xfId="42540"/>
    <cellStyle name="Calculation 2 3 2 9" xfId="39704"/>
    <cellStyle name="Calculation 2 3 3" xfId="52921"/>
    <cellStyle name="Calculation 2 30" xfId="52781"/>
    <cellStyle name="Calculation 2 31" xfId="52777"/>
    <cellStyle name="Calculation 2 32" xfId="52779"/>
    <cellStyle name="Calculation 2 33" xfId="52774"/>
    <cellStyle name="Calculation 2 34" xfId="52810"/>
    <cellStyle name="Calculation 2 35" xfId="52775"/>
    <cellStyle name="Calculation 2 36" xfId="52753"/>
    <cellStyle name="Calculation 2 37" xfId="52814"/>
    <cellStyle name="Calculation 2 38" xfId="52782"/>
    <cellStyle name="Calculation 2 39" xfId="52816"/>
    <cellStyle name="Calculation 2 4" xfId="1452"/>
    <cellStyle name="Calculation 2 4 2" xfId="6965"/>
    <cellStyle name="Calculation 2 4 2 10" xfId="40264"/>
    <cellStyle name="Calculation 2 4 2 2" xfId="10492"/>
    <cellStyle name="Calculation 2 4 2 2 2" xfId="18279"/>
    <cellStyle name="Calculation 2 4 2 2 2 2" xfId="43811"/>
    <cellStyle name="Calculation 2 4 2 2 2 3" xfId="47720"/>
    <cellStyle name="Calculation 2 4 2 2 2 4" xfId="35902"/>
    <cellStyle name="Calculation 2 4 2 2 3" xfId="12148"/>
    <cellStyle name="Calculation 2 4 2 2 3 2" xfId="41873"/>
    <cellStyle name="Calculation 2 4 2 2 3 3" xfId="40035"/>
    <cellStyle name="Calculation 2 4 2 2 3 4" xfId="29806"/>
    <cellStyle name="Calculation 2 4 2 2 4" xfId="12679"/>
    <cellStyle name="Calculation 2 4 2 2 4 2" xfId="42139"/>
    <cellStyle name="Calculation 2 4 2 2 4 3" xfId="43663"/>
    <cellStyle name="Calculation 2 4 2 2 4 4" xfId="30326"/>
    <cellStyle name="Calculation 2 4 2 2 5" xfId="20692"/>
    <cellStyle name="Calculation 2 4 2 2 5 2" xfId="46214"/>
    <cellStyle name="Calculation 2 4 2 2 5 3" xfId="50120"/>
    <cellStyle name="Calculation 2 4 2 2 5 4" xfId="38084"/>
    <cellStyle name="Calculation 2 4 2 2 6" xfId="21345"/>
    <cellStyle name="Calculation 2 4 2 2 6 2" xfId="46867"/>
    <cellStyle name="Calculation 2 4 2 2 6 3" xfId="50773"/>
    <cellStyle name="Calculation 2 4 2 2 7" xfId="40670"/>
    <cellStyle name="Calculation 2 4 2 2 8" xfId="39373"/>
    <cellStyle name="Calculation 2 4 2 3" xfId="10787"/>
    <cellStyle name="Calculation 2 4 2 3 2" xfId="18574"/>
    <cellStyle name="Calculation 2 4 2 3 2 2" xfId="44106"/>
    <cellStyle name="Calculation 2 4 2 3 2 3" xfId="48015"/>
    <cellStyle name="Calculation 2 4 2 3 2 4" xfId="36197"/>
    <cellStyle name="Calculation 2 4 2 3 3" xfId="20002"/>
    <cellStyle name="Calculation 2 4 2 3 3 2" xfId="45524"/>
    <cellStyle name="Calculation 2 4 2 3 3 3" xfId="49430"/>
    <cellStyle name="Calculation 2 4 2 3 3 4" xfId="37486"/>
    <cellStyle name="Calculation 2 4 2 3 4" xfId="11760"/>
    <cellStyle name="Calculation 2 4 2 3 4 2" xfId="41708"/>
    <cellStyle name="Calculation 2 4 2 3 4 3" xfId="39132"/>
    <cellStyle name="Calculation 2 4 2 3 4 4" xfId="29433"/>
    <cellStyle name="Calculation 2 4 2 3 5" xfId="20987"/>
    <cellStyle name="Calculation 2 4 2 3 5 2" xfId="46509"/>
    <cellStyle name="Calculation 2 4 2 3 5 3" xfId="50415"/>
    <cellStyle name="Calculation 2 4 2 3 5 4" xfId="38379"/>
    <cellStyle name="Calculation 2 4 2 3 6" xfId="21640"/>
    <cellStyle name="Calculation 2 4 2 3 6 2" xfId="47162"/>
    <cellStyle name="Calculation 2 4 2 3 6 3" xfId="51068"/>
    <cellStyle name="Calculation 2 4 2 3 7" xfId="40965"/>
    <cellStyle name="Calculation 2 4 2 3 8" xfId="40562"/>
    <cellStyle name="Calculation 2 4 2 4" xfId="14747"/>
    <cellStyle name="Calculation 2 4 2 4 2" xfId="42845"/>
    <cellStyle name="Calculation 2 4 2 4 3" xfId="43159"/>
    <cellStyle name="Calculation 2 4 2 4 4" xfId="32368"/>
    <cellStyle name="Calculation 2 4 2 5" xfId="13044"/>
    <cellStyle name="Calculation 2 4 2 5 2" xfId="42246"/>
    <cellStyle name="Calculation 2 4 2 5 3" xfId="39518"/>
    <cellStyle name="Calculation 2 4 2 5 4" xfId="30679"/>
    <cellStyle name="Calculation 2 4 2 6" xfId="20320"/>
    <cellStyle name="Calculation 2 4 2 6 2" xfId="45842"/>
    <cellStyle name="Calculation 2 4 2 6 3" xfId="49748"/>
    <cellStyle name="Calculation 2 4 2 6 4" xfId="37770"/>
    <cellStyle name="Calculation 2 4 2 7" xfId="13290"/>
    <cellStyle name="Calculation 2 4 2 7 2" xfId="42441"/>
    <cellStyle name="Calculation 2 4 2 7 3" xfId="40021"/>
    <cellStyle name="Calculation 2 4 2 7 4" xfId="30920"/>
    <cellStyle name="Calculation 2 4 2 8" xfId="11838"/>
    <cellStyle name="Calculation 2 4 2 8 2" xfId="41736"/>
    <cellStyle name="Calculation 2 4 2 8 3" xfId="42546"/>
    <cellStyle name="Calculation 2 4 2 9" xfId="39705"/>
    <cellStyle name="Calculation 2 4 3" xfId="52922"/>
    <cellStyle name="Calculation 2 40" xfId="52783"/>
    <cellStyle name="Calculation 2 41" xfId="52778"/>
    <cellStyle name="Calculation 2 42" xfId="52785"/>
    <cellStyle name="Calculation 2 43" xfId="52784"/>
    <cellStyle name="Calculation 2 44" xfId="52786"/>
    <cellStyle name="Calculation 2 45" xfId="52842"/>
    <cellStyle name="Calculation 2 46" xfId="52838"/>
    <cellStyle name="Calculation 2 47" xfId="52840"/>
    <cellStyle name="Calculation 2 48" xfId="52836"/>
    <cellStyle name="Calculation 2 49" xfId="52863"/>
    <cellStyle name="Calculation 2 5" xfId="1453"/>
    <cellStyle name="Calculation 2 5 2" xfId="6966"/>
    <cellStyle name="Calculation 2 5 2 10" xfId="39394"/>
    <cellStyle name="Calculation 2 5 2 2" xfId="10493"/>
    <cellStyle name="Calculation 2 5 2 2 2" xfId="18280"/>
    <cellStyle name="Calculation 2 5 2 2 2 2" xfId="43812"/>
    <cellStyle name="Calculation 2 5 2 2 2 3" xfId="47721"/>
    <cellStyle name="Calculation 2 5 2 2 2 4" xfId="35903"/>
    <cellStyle name="Calculation 2 5 2 2 3" xfId="19608"/>
    <cellStyle name="Calculation 2 5 2 2 3 2" xfId="45130"/>
    <cellStyle name="Calculation 2 5 2 2 3 3" xfId="49036"/>
    <cellStyle name="Calculation 2 5 2 2 3 4" xfId="37134"/>
    <cellStyle name="Calculation 2 5 2 2 4" xfId="20199"/>
    <cellStyle name="Calculation 2 5 2 2 4 2" xfId="45721"/>
    <cellStyle name="Calculation 2 5 2 2 4 3" xfId="49627"/>
    <cellStyle name="Calculation 2 5 2 2 4 4" xfId="37663"/>
    <cellStyle name="Calculation 2 5 2 2 5" xfId="20693"/>
    <cellStyle name="Calculation 2 5 2 2 5 2" xfId="46215"/>
    <cellStyle name="Calculation 2 5 2 2 5 3" xfId="50121"/>
    <cellStyle name="Calculation 2 5 2 2 5 4" xfId="38085"/>
    <cellStyle name="Calculation 2 5 2 2 6" xfId="21346"/>
    <cellStyle name="Calculation 2 5 2 2 6 2" xfId="46868"/>
    <cellStyle name="Calculation 2 5 2 2 6 3" xfId="50774"/>
    <cellStyle name="Calculation 2 5 2 2 7" xfId="40671"/>
    <cellStyle name="Calculation 2 5 2 2 8" xfId="39175"/>
    <cellStyle name="Calculation 2 5 2 3" xfId="10788"/>
    <cellStyle name="Calculation 2 5 2 3 2" xfId="18575"/>
    <cellStyle name="Calculation 2 5 2 3 2 2" xfId="44107"/>
    <cellStyle name="Calculation 2 5 2 3 2 3" xfId="48016"/>
    <cellStyle name="Calculation 2 5 2 3 2 4" xfId="36198"/>
    <cellStyle name="Calculation 2 5 2 3 3" xfId="19268"/>
    <cellStyle name="Calculation 2 5 2 3 3 2" xfId="44790"/>
    <cellStyle name="Calculation 2 5 2 3 3 3" xfId="48696"/>
    <cellStyle name="Calculation 2 5 2 3 3 4" xfId="36832"/>
    <cellStyle name="Calculation 2 5 2 3 4" xfId="20250"/>
    <cellStyle name="Calculation 2 5 2 3 4 2" xfId="45772"/>
    <cellStyle name="Calculation 2 5 2 3 4 3" xfId="49678"/>
    <cellStyle name="Calculation 2 5 2 3 4 4" xfId="37706"/>
    <cellStyle name="Calculation 2 5 2 3 5" xfId="20988"/>
    <cellStyle name="Calculation 2 5 2 3 5 2" xfId="46510"/>
    <cellStyle name="Calculation 2 5 2 3 5 3" xfId="50416"/>
    <cellStyle name="Calculation 2 5 2 3 5 4" xfId="38380"/>
    <cellStyle name="Calculation 2 5 2 3 6" xfId="21641"/>
    <cellStyle name="Calculation 2 5 2 3 6 2" xfId="47163"/>
    <cellStyle name="Calculation 2 5 2 3 6 3" xfId="51069"/>
    <cellStyle name="Calculation 2 5 2 3 7" xfId="40966"/>
    <cellStyle name="Calculation 2 5 2 3 8" xfId="39673"/>
    <cellStyle name="Calculation 2 5 2 4" xfId="14748"/>
    <cellStyle name="Calculation 2 5 2 4 2" xfId="42846"/>
    <cellStyle name="Calculation 2 5 2 4 3" xfId="40018"/>
    <cellStyle name="Calculation 2 5 2 4 4" xfId="32369"/>
    <cellStyle name="Calculation 2 5 2 5" xfId="11266"/>
    <cellStyle name="Calculation 2 5 2 5 2" xfId="41293"/>
    <cellStyle name="Calculation 2 5 2 5 3" xfId="40337"/>
    <cellStyle name="Calculation 2 5 2 5 4" xfId="28980"/>
    <cellStyle name="Calculation 2 5 2 6" xfId="19817"/>
    <cellStyle name="Calculation 2 5 2 6 2" xfId="45339"/>
    <cellStyle name="Calculation 2 5 2 6 3" xfId="49245"/>
    <cellStyle name="Calculation 2 5 2 6 4" xfId="37321"/>
    <cellStyle name="Calculation 2 5 2 7" xfId="19155"/>
    <cellStyle name="Calculation 2 5 2 7 2" xfId="44677"/>
    <cellStyle name="Calculation 2 5 2 7 3" xfId="48583"/>
    <cellStyle name="Calculation 2 5 2 7 4" xfId="36733"/>
    <cellStyle name="Calculation 2 5 2 8" xfId="11529"/>
    <cellStyle name="Calculation 2 5 2 8 2" xfId="41520"/>
    <cellStyle name="Calculation 2 5 2 8 3" xfId="40045"/>
    <cellStyle name="Calculation 2 5 2 9" xfId="39706"/>
    <cellStyle name="Calculation 2 5 3" xfId="52923"/>
    <cellStyle name="Calculation 2 50" xfId="52837"/>
    <cellStyle name="Calculation 2 51" xfId="52865"/>
    <cellStyle name="Calculation 2 52" xfId="52839"/>
    <cellStyle name="Calculation 2 53" xfId="52846"/>
    <cellStyle name="Calculation 2 54" xfId="52844"/>
    <cellStyle name="Calculation 2 55" xfId="52845"/>
    <cellStyle name="Calculation 2 56" xfId="52843"/>
    <cellStyle name="Calculation 2 57" xfId="52874"/>
    <cellStyle name="Calculation 2 58" xfId="52841"/>
    <cellStyle name="Calculation 2 59" xfId="52912"/>
    <cellStyle name="Calculation 2 6" xfId="1454"/>
    <cellStyle name="Calculation 2 6 2" xfId="6967"/>
    <cellStyle name="Calculation 2 6 2 10" xfId="39229"/>
    <cellStyle name="Calculation 2 6 2 2" xfId="10494"/>
    <cellStyle name="Calculation 2 6 2 2 2" xfId="18281"/>
    <cellStyle name="Calculation 2 6 2 2 2 2" xfId="43813"/>
    <cellStyle name="Calculation 2 6 2 2 2 3" xfId="47722"/>
    <cellStyle name="Calculation 2 6 2 2 2 4" xfId="35904"/>
    <cellStyle name="Calculation 2 6 2 2 3" xfId="20164"/>
    <cellStyle name="Calculation 2 6 2 2 3 2" xfId="45686"/>
    <cellStyle name="Calculation 2 6 2 2 3 3" xfId="49592"/>
    <cellStyle name="Calculation 2 6 2 2 3 4" xfId="37636"/>
    <cellStyle name="Calculation 2 6 2 2 4" xfId="19080"/>
    <cellStyle name="Calculation 2 6 2 2 4 2" xfId="44602"/>
    <cellStyle name="Calculation 2 6 2 2 4 3" xfId="48508"/>
    <cellStyle name="Calculation 2 6 2 2 4 4" xfId="36662"/>
    <cellStyle name="Calculation 2 6 2 2 5" xfId="20694"/>
    <cellStyle name="Calculation 2 6 2 2 5 2" xfId="46216"/>
    <cellStyle name="Calculation 2 6 2 2 5 3" xfId="50122"/>
    <cellStyle name="Calculation 2 6 2 2 5 4" xfId="38086"/>
    <cellStyle name="Calculation 2 6 2 2 6" xfId="21347"/>
    <cellStyle name="Calculation 2 6 2 2 6 2" xfId="46869"/>
    <cellStyle name="Calculation 2 6 2 2 6 3" xfId="50775"/>
    <cellStyle name="Calculation 2 6 2 2 7" xfId="40672"/>
    <cellStyle name="Calculation 2 6 2 2 8" xfId="41416"/>
    <cellStyle name="Calculation 2 6 2 3" xfId="10789"/>
    <cellStyle name="Calculation 2 6 2 3 2" xfId="18576"/>
    <cellStyle name="Calculation 2 6 2 3 2 2" xfId="44108"/>
    <cellStyle name="Calculation 2 6 2 3 2 3" xfId="48017"/>
    <cellStyle name="Calculation 2 6 2 3 2 4" xfId="36199"/>
    <cellStyle name="Calculation 2 6 2 3 3" xfId="19877"/>
    <cellStyle name="Calculation 2 6 2 3 3 2" xfId="45399"/>
    <cellStyle name="Calculation 2 6 2 3 3 3" xfId="49305"/>
    <cellStyle name="Calculation 2 6 2 3 3 4" xfId="37377"/>
    <cellStyle name="Calculation 2 6 2 3 4" xfId="19631"/>
    <cellStyle name="Calculation 2 6 2 3 4 2" xfId="45153"/>
    <cellStyle name="Calculation 2 6 2 3 4 3" xfId="49059"/>
    <cellStyle name="Calculation 2 6 2 3 4 4" xfId="37153"/>
    <cellStyle name="Calculation 2 6 2 3 5" xfId="20989"/>
    <cellStyle name="Calculation 2 6 2 3 5 2" xfId="46511"/>
    <cellStyle name="Calculation 2 6 2 3 5 3" xfId="50417"/>
    <cellStyle name="Calculation 2 6 2 3 5 4" xfId="38381"/>
    <cellStyle name="Calculation 2 6 2 3 6" xfId="21642"/>
    <cellStyle name="Calculation 2 6 2 3 6 2" xfId="47164"/>
    <cellStyle name="Calculation 2 6 2 3 6 3" xfId="51070"/>
    <cellStyle name="Calculation 2 6 2 3 7" xfId="40967"/>
    <cellStyle name="Calculation 2 6 2 3 8" xfId="42710"/>
    <cellStyle name="Calculation 2 6 2 4" xfId="14749"/>
    <cellStyle name="Calculation 2 6 2 4 2" xfId="42847"/>
    <cellStyle name="Calculation 2 6 2 4 3" xfId="42760"/>
    <cellStyle name="Calculation 2 6 2 4 4" xfId="32370"/>
    <cellStyle name="Calculation 2 6 2 5" xfId="13045"/>
    <cellStyle name="Calculation 2 6 2 5 2" xfId="42247"/>
    <cellStyle name="Calculation 2 6 2 5 3" xfId="42528"/>
    <cellStyle name="Calculation 2 6 2 5 4" xfId="30680"/>
    <cellStyle name="Calculation 2 6 2 6" xfId="13901"/>
    <cellStyle name="Calculation 2 6 2 6 2" xfId="42617"/>
    <cellStyle name="Calculation 2 6 2 6 3" xfId="43282"/>
    <cellStyle name="Calculation 2 6 2 6 4" xfId="31525"/>
    <cellStyle name="Calculation 2 6 2 7" xfId="18972"/>
    <cellStyle name="Calculation 2 6 2 7 2" xfId="44494"/>
    <cellStyle name="Calculation 2 6 2 7 3" xfId="48400"/>
    <cellStyle name="Calculation 2 6 2 7 4" xfId="36582"/>
    <cellStyle name="Calculation 2 6 2 8" xfId="20614"/>
    <cellStyle name="Calculation 2 6 2 8 2" xfId="46136"/>
    <cellStyle name="Calculation 2 6 2 8 3" xfId="50042"/>
    <cellStyle name="Calculation 2 6 2 9" xfId="39707"/>
    <cellStyle name="Calculation 2 6 3" xfId="52924"/>
    <cellStyle name="Calculation 2 7" xfId="1455"/>
    <cellStyle name="Calculation 2 7 2" xfId="6968"/>
    <cellStyle name="Calculation 2 7 2 10" xfId="39393"/>
    <cellStyle name="Calculation 2 7 2 2" xfId="10495"/>
    <cellStyle name="Calculation 2 7 2 2 2" xfId="18282"/>
    <cellStyle name="Calculation 2 7 2 2 2 2" xfId="43814"/>
    <cellStyle name="Calculation 2 7 2 2 2 3" xfId="47723"/>
    <cellStyle name="Calculation 2 7 2 2 2 4" xfId="35905"/>
    <cellStyle name="Calculation 2 7 2 2 3" xfId="19423"/>
    <cellStyle name="Calculation 2 7 2 2 3 2" xfId="44945"/>
    <cellStyle name="Calculation 2 7 2 2 3 3" xfId="48851"/>
    <cellStyle name="Calculation 2 7 2 2 3 4" xfId="36974"/>
    <cellStyle name="Calculation 2 7 2 2 4" xfId="20373"/>
    <cellStyle name="Calculation 2 7 2 2 4 2" xfId="45895"/>
    <cellStyle name="Calculation 2 7 2 2 4 3" xfId="49801"/>
    <cellStyle name="Calculation 2 7 2 2 4 4" xfId="37813"/>
    <cellStyle name="Calculation 2 7 2 2 5" xfId="20695"/>
    <cellStyle name="Calculation 2 7 2 2 5 2" xfId="46217"/>
    <cellStyle name="Calculation 2 7 2 2 5 3" xfId="50123"/>
    <cellStyle name="Calculation 2 7 2 2 5 4" xfId="38087"/>
    <cellStyle name="Calculation 2 7 2 2 6" xfId="21348"/>
    <cellStyle name="Calculation 2 7 2 2 6 2" xfId="46870"/>
    <cellStyle name="Calculation 2 7 2 2 6 3" xfId="50776"/>
    <cellStyle name="Calculation 2 7 2 2 7" xfId="40673"/>
    <cellStyle name="Calculation 2 7 2 2 8" xfId="43219"/>
    <cellStyle name="Calculation 2 7 2 3" xfId="10790"/>
    <cellStyle name="Calculation 2 7 2 3 2" xfId="18577"/>
    <cellStyle name="Calculation 2 7 2 3 2 2" xfId="44109"/>
    <cellStyle name="Calculation 2 7 2 3 2 3" xfId="48018"/>
    <cellStyle name="Calculation 2 7 2 3 2 4" xfId="36200"/>
    <cellStyle name="Calculation 2 7 2 3 3" xfId="19100"/>
    <cellStyle name="Calculation 2 7 2 3 3 2" xfId="44622"/>
    <cellStyle name="Calculation 2 7 2 3 3 3" xfId="48528"/>
    <cellStyle name="Calculation 2 7 2 3 3 4" xfId="36681"/>
    <cellStyle name="Calculation 2 7 2 3 4" xfId="19214"/>
    <cellStyle name="Calculation 2 7 2 3 4 2" xfId="44736"/>
    <cellStyle name="Calculation 2 7 2 3 4 3" xfId="48642"/>
    <cellStyle name="Calculation 2 7 2 3 4 4" xfId="36783"/>
    <cellStyle name="Calculation 2 7 2 3 5" xfId="20990"/>
    <cellStyle name="Calculation 2 7 2 3 5 2" xfId="46512"/>
    <cellStyle name="Calculation 2 7 2 3 5 3" xfId="50418"/>
    <cellStyle name="Calculation 2 7 2 3 5 4" xfId="38382"/>
    <cellStyle name="Calculation 2 7 2 3 6" xfId="21643"/>
    <cellStyle name="Calculation 2 7 2 3 6 2" xfId="47165"/>
    <cellStyle name="Calculation 2 7 2 3 6 3" xfId="51071"/>
    <cellStyle name="Calculation 2 7 2 3 7" xfId="40968"/>
    <cellStyle name="Calculation 2 7 2 3 8" xfId="43599"/>
    <cellStyle name="Calculation 2 7 2 4" xfId="14750"/>
    <cellStyle name="Calculation 2 7 2 4 2" xfId="42848"/>
    <cellStyle name="Calculation 2 7 2 4 3" xfId="43647"/>
    <cellStyle name="Calculation 2 7 2 4 4" xfId="32371"/>
    <cellStyle name="Calculation 2 7 2 5" xfId="13046"/>
    <cellStyle name="Calculation 2 7 2 5 2" xfId="42248"/>
    <cellStyle name="Calculation 2 7 2 5 3" xfId="43439"/>
    <cellStyle name="Calculation 2 7 2 5 4" xfId="30681"/>
    <cellStyle name="Calculation 2 7 2 6" xfId="12852"/>
    <cellStyle name="Calculation 2 7 2 6 2" xfId="42216"/>
    <cellStyle name="Calculation 2 7 2 6 3" xfId="39628"/>
    <cellStyle name="Calculation 2 7 2 6 4" xfId="30490"/>
    <cellStyle name="Calculation 2 7 2 7" xfId="20328"/>
    <cellStyle name="Calculation 2 7 2 7 2" xfId="45850"/>
    <cellStyle name="Calculation 2 7 2 7 3" xfId="49756"/>
    <cellStyle name="Calculation 2 7 2 7 4" xfId="37776"/>
    <cellStyle name="Calculation 2 7 2 8" xfId="20515"/>
    <cellStyle name="Calculation 2 7 2 8 2" xfId="46037"/>
    <cellStyle name="Calculation 2 7 2 8 3" xfId="49943"/>
    <cellStyle name="Calculation 2 7 2 9" xfId="39708"/>
    <cellStyle name="Calculation 2 7 3" xfId="52925"/>
    <cellStyle name="Calculation 2 8" xfId="1456"/>
    <cellStyle name="Calculation 2 8 2" xfId="6969"/>
    <cellStyle name="Calculation 2 8 2 10" xfId="39228"/>
    <cellStyle name="Calculation 2 8 2 2" xfId="10496"/>
    <cellStyle name="Calculation 2 8 2 2 2" xfId="18283"/>
    <cellStyle name="Calculation 2 8 2 2 2 2" xfId="43815"/>
    <cellStyle name="Calculation 2 8 2 2 2 3" xfId="47724"/>
    <cellStyle name="Calculation 2 8 2 2 2 4" xfId="35906"/>
    <cellStyle name="Calculation 2 8 2 2 3" xfId="20030"/>
    <cellStyle name="Calculation 2 8 2 2 3 2" xfId="45552"/>
    <cellStyle name="Calculation 2 8 2 2 3 3" xfId="49458"/>
    <cellStyle name="Calculation 2 8 2 2 3 4" xfId="37514"/>
    <cellStyle name="Calculation 2 8 2 2 4" xfId="11794"/>
    <cellStyle name="Calculation 2 8 2 2 4 2" xfId="41724"/>
    <cellStyle name="Calculation 2 8 2 2 4 3" xfId="44387"/>
    <cellStyle name="Calculation 2 8 2 2 4 4" xfId="29466"/>
    <cellStyle name="Calculation 2 8 2 2 5" xfId="20696"/>
    <cellStyle name="Calculation 2 8 2 2 5 2" xfId="46218"/>
    <cellStyle name="Calculation 2 8 2 2 5 3" xfId="50124"/>
    <cellStyle name="Calculation 2 8 2 2 5 4" xfId="38088"/>
    <cellStyle name="Calculation 2 8 2 2 6" xfId="21349"/>
    <cellStyle name="Calculation 2 8 2 2 6 2" xfId="46871"/>
    <cellStyle name="Calculation 2 8 2 2 6 3" xfId="50777"/>
    <cellStyle name="Calculation 2 8 2 2 7" xfId="40674"/>
    <cellStyle name="Calculation 2 8 2 2 8" xfId="40078"/>
    <cellStyle name="Calculation 2 8 2 3" xfId="10791"/>
    <cellStyle name="Calculation 2 8 2 3 2" xfId="18578"/>
    <cellStyle name="Calculation 2 8 2 3 2 2" xfId="44110"/>
    <cellStyle name="Calculation 2 8 2 3 2 3" xfId="48019"/>
    <cellStyle name="Calculation 2 8 2 3 2 4" xfId="36201"/>
    <cellStyle name="Calculation 2 8 2 3 3" xfId="19714"/>
    <cellStyle name="Calculation 2 8 2 3 3 2" xfId="45236"/>
    <cellStyle name="Calculation 2 8 2 3 3 3" xfId="49142"/>
    <cellStyle name="Calculation 2 8 2 3 3 4" xfId="37227"/>
    <cellStyle name="Calculation 2 8 2 3 4" xfId="19924"/>
    <cellStyle name="Calculation 2 8 2 3 4 2" xfId="45446"/>
    <cellStyle name="Calculation 2 8 2 3 4 3" xfId="49352"/>
    <cellStyle name="Calculation 2 8 2 3 4 4" xfId="37420"/>
    <cellStyle name="Calculation 2 8 2 3 5" xfId="20991"/>
    <cellStyle name="Calculation 2 8 2 3 5 2" xfId="46513"/>
    <cellStyle name="Calculation 2 8 2 3 5 3" xfId="50419"/>
    <cellStyle name="Calculation 2 8 2 3 5 4" xfId="38383"/>
    <cellStyle name="Calculation 2 8 2 3 6" xfId="21644"/>
    <cellStyle name="Calculation 2 8 2 3 6 2" xfId="47166"/>
    <cellStyle name="Calculation 2 8 2 3 6 3" xfId="51072"/>
    <cellStyle name="Calculation 2 8 2 3 7" xfId="40969"/>
    <cellStyle name="Calculation 2 8 2 3 8" xfId="40457"/>
    <cellStyle name="Calculation 2 8 2 4" xfId="14751"/>
    <cellStyle name="Calculation 2 8 2 4 2" xfId="42849"/>
    <cellStyle name="Calculation 2 8 2 4 3" xfId="40506"/>
    <cellStyle name="Calculation 2 8 2 4 4" xfId="32372"/>
    <cellStyle name="Calculation 2 8 2 5" xfId="13047"/>
    <cellStyle name="Calculation 2 8 2 5 2" xfId="42249"/>
    <cellStyle name="Calculation 2 8 2 5 3" xfId="40301"/>
    <cellStyle name="Calculation 2 8 2 5 4" xfId="30682"/>
    <cellStyle name="Calculation 2 8 2 6" xfId="15292"/>
    <cellStyle name="Calculation 2 8 2 6 2" xfId="43142"/>
    <cellStyle name="Calculation 2 8 2 6 3" xfId="40006"/>
    <cellStyle name="Calculation 2 8 2 6 4" xfId="32913"/>
    <cellStyle name="Calculation 2 8 2 7" xfId="11637"/>
    <cellStyle name="Calculation 2 8 2 7 2" xfId="41628"/>
    <cellStyle name="Calculation 2 8 2 7 3" xfId="43182"/>
    <cellStyle name="Calculation 2 8 2 7 4" xfId="29323"/>
    <cellStyle name="Calculation 2 8 2 8" xfId="19439"/>
    <cellStyle name="Calculation 2 8 2 8 2" xfId="44961"/>
    <cellStyle name="Calculation 2 8 2 8 3" xfId="48867"/>
    <cellStyle name="Calculation 2 8 2 9" xfId="39709"/>
    <cellStyle name="Calculation 2 8 3" xfId="52926"/>
    <cellStyle name="Calculation 2 9" xfId="1457"/>
    <cellStyle name="Calculation 2 9 2" xfId="6970"/>
    <cellStyle name="Calculation 2 9 2 10" xfId="39392"/>
    <cellStyle name="Calculation 2 9 2 2" xfId="10497"/>
    <cellStyle name="Calculation 2 9 2 2 2" xfId="18284"/>
    <cellStyle name="Calculation 2 9 2 2 2 2" xfId="43816"/>
    <cellStyle name="Calculation 2 9 2 2 2 3" xfId="47725"/>
    <cellStyle name="Calculation 2 9 2 2 2 4" xfId="35907"/>
    <cellStyle name="Calculation 2 9 2 2 3" xfId="19296"/>
    <cellStyle name="Calculation 2 9 2 2 3 2" xfId="44818"/>
    <cellStyle name="Calculation 2 9 2 2 3 3" xfId="48724"/>
    <cellStyle name="Calculation 2 9 2 2 3 4" xfId="36860"/>
    <cellStyle name="Calculation 2 9 2 2 4" xfId="11644"/>
    <cellStyle name="Calculation 2 9 2 2 4 2" xfId="41635"/>
    <cellStyle name="Calculation 2 9 2 2 4 3" xfId="43570"/>
    <cellStyle name="Calculation 2 9 2 2 4 4" xfId="29329"/>
    <cellStyle name="Calculation 2 9 2 2 5" xfId="20697"/>
    <cellStyle name="Calculation 2 9 2 2 5 2" xfId="46219"/>
    <cellStyle name="Calculation 2 9 2 2 5 3" xfId="50125"/>
    <cellStyle name="Calculation 2 9 2 2 5 4" xfId="38089"/>
    <cellStyle name="Calculation 2 9 2 2 6" xfId="21350"/>
    <cellStyle name="Calculation 2 9 2 2 6 2" xfId="46872"/>
    <cellStyle name="Calculation 2 9 2 2 6 3" xfId="50778"/>
    <cellStyle name="Calculation 2 9 2 2 7" xfId="40675"/>
    <cellStyle name="Calculation 2 9 2 2 8" xfId="42828"/>
    <cellStyle name="Calculation 2 9 2 3" xfId="10792"/>
    <cellStyle name="Calculation 2 9 2 3 2" xfId="18579"/>
    <cellStyle name="Calculation 2 9 2 3 2 2" xfId="44111"/>
    <cellStyle name="Calculation 2 9 2 3 2 3" xfId="48020"/>
    <cellStyle name="Calculation 2 9 2 3 2 4" xfId="36202"/>
    <cellStyle name="Calculation 2 9 2 3 3" xfId="11504"/>
    <cellStyle name="Calculation 2 9 2 3 3 2" xfId="41495"/>
    <cellStyle name="Calculation 2 9 2 3 3 3" xfId="40186"/>
    <cellStyle name="Calculation 2 9 2 3 3 4" xfId="29205"/>
    <cellStyle name="Calculation 2 9 2 3 4" xfId="20106"/>
    <cellStyle name="Calculation 2 9 2 3 4 2" xfId="45628"/>
    <cellStyle name="Calculation 2 9 2 3 4 3" xfId="49534"/>
    <cellStyle name="Calculation 2 9 2 3 4 4" xfId="37578"/>
    <cellStyle name="Calculation 2 9 2 3 5" xfId="20992"/>
    <cellStyle name="Calculation 2 9 2 3 5 2" xfId="46514"/>
    <cellStyle name="Calculation 2 9 2 3 5 3" xfId="50420"/>
    <cellStyle name="Calculation 2 9 2 3 5 4" xfId="38384"/>
    <cellStyle name="Calculation 2 9 2 3 6" xfId="21645"/>
    <cellStyle name="Calculation 2 9 2 3 6 2" xfId="47167"/>
    <cellStyle name="Calculation 2 9 2 3 6 3" xfId="51073"/>
    <cellStyle name="Calculation 2 9 2 3 7" xfId="40970"/>
    <cellStyle name="Calculation 2 9 2 3 8" xfId="39567"/>
    <cellStyle name="Calculation 2 9 2 4" xfId="14752"/>
    <cellStyle name="Calculation 2 9 2 4 2" xfId="42850"/>
    <cellStyle name="Calculation 2 9 2 4 3" xfId="39614"/>
    <cellStyle name="Calculation 2 9 2 4 4" xfId="32373"/>
    <cellStyle name="Calculation 2 9 2 5" xfId="11267"/>
    <cellStyle name="Calculation 2 9 2 5 2" xfId="41294"/>
    <cellStyle name="Calculation 2 9 2 5 3" xfId="39449"/>
    <cellStyle name="Calculation 2 9 2 5 4" xfId="28981"/>
    <cellStyle name="Calculation 2 9 2 6" xfId="20242"/>
    <cellStyle name="Calculation 2 9 2 6 2" xfId="45764"/>
    <cellStyle name="Calculation 2 9 2 6 3" xfId="49670"/>
    <cellStyle name="Calculation 2 9 2 6 4" xfId="37699"/>
    <cellStyle name="Calculation 2 9 2 7" xfId="19238"/>
    <cellStyle name="Calculation 2 9 2 7 2" xfId="44760"/>
    <cellStyle name="Calculation 2 9 2 7 3" xfId="48666"/>
    <cellStyle name="Calculation 2 9 2 7 4" xfId="36802"/>
    <cellStyle name="Calculation 2 9 2 8" xfId="20336"/>
    <cellStyle name="Calculation 2 9 2 8 2" xfId="45858"/>
    <cellStyle name="Calculation 2 9 2 8 3" xfId="49764"/>
    <cellStyle name="Calculation 2 9 2 9" xfId="39710"/>
    <cellStyle name="Calculation 2 9 3" xfId="52927"/>
    <cellStyle name="Calculation 2_BallGrid" xfId="1458"/>
    <cellStyle name="Calculation 3" xfId="77"/>
    <cellStyle name="Calculation 3 10" xfId="6971"/>
    <cellStyle name="Calculation 3 10 10" xfId="39227"/>
    <cellStyle name="Calculation 3 10 2" xfId="10498"/>
    <cellStyle name="Calculation 3 10 2 2" xfId="18285"/>
    <cellStyle name="Calculation 3 10 2 2 2" xfId="43817"/>
    <cellStyle name="Calculation 3 10 2 2 3" xfId="47726"/>
    <cellStyle name="Calculation 3 10 2 2 4" xfId="35908"/>
    <cellStyle name="Calculation 3 10 2 3" xfId="19905"/>
    <cellStyle name="Calculation 3 10 2 3 2" xfId="45427"/>
    <cellStyle name="Calculation 3 10 2 3 3" xfId="49333"/>
    <cellStyle name="Calculation 3 10 2 3 4" xfId="37405"/>
    <cellStyle name="Calculation 3 10 2 4" xfId="12605"/>
    <cellStyle name="Calculation 3 10 2 4 2" xfId="42065"/>
    <cellStyle name="Calculation 3 10 2 4 3" xfId="40422"/>
    <cellStyle name="Calculation 3 10 2 4 4" xfId="30257"/>
    <cellStyle name="Calculation 3 10 2 5" xfId="20698"/>
    <cellStyle name="Calculation 3 10 2 5 2" xfId="46220"/>
    <cellStyle name="Calculation 3 10 2 5 3" xfId="50126"/>
    <cellStyle name="Calculation 3 10 2 5 4" xfId="38090"/>
    <cellStyle name="Calculation 3 10 2 6" xfId="21351"/>
    <cellStyle name="Calculation 3 10 2 6 2" xfId="46873"/>
    <cellStyle name="Calculation 3 10 2 6 3" xfId="50779"/>
    <cellStyle name="Calculation 3 10 2 7" xfId="40676"/>
    <cellStyle name="Calculation 3 10 2 8" xfId="43717"/>
    <cellStyle name="Calculation 3 10 3" xfId="10793"/>
    <cellStyle name="Calculation 3 10 3 2" xfId="18580"/>
    <cellStyle name="Calculation 3 10 3 2 2" xfId="44112"/>
    <cellStyle name="Calculation 3 10 3 2 3" xfId="48021"/>
    <cellStyle name="Calculation 3 10 3 2 4" xfId="36203"/>
    <cellStyle name="Calculation 3 10 3 3" xfId="13321"/>
    <cellStyle name="Calculation 3 10 3 3 2" xfId="42472"/>
    <cellStyle name="Calculation 3 10 3 3 3" xfId="39412"/>
    <cellStyle name="Calculation 3 10 3 3 4" xfId="30947"/>
    <cellStyle name="Calculation 3 10 3 4" xfId="18944"/>
    <cellStyle name="Calculation 3 10 3 4 2" xfId="44466"/>
    <cellStyle name="Calculation 3 10 3 4 3" xfId="48372"/>
    <cellStyle name="Calculation 3 10 3 4 4" xfId="36556"/>
    <cellStyle name="Calculation 3 10 3 5" xfId="20993"/>
    <cellStyle name="Calculation 3 10 3 5 2" xfId="46515"/>
    <cellStyle name="Calculation 3 10 3 5 3" xfId="50421"/>
    <cellStyle name="Calculation 3 10 3 5 4" xfId="38385"/>
    <cellStyle name="Calculation 3 10 3 6" xfId="21646"/>
    <cellStyle name="Calculation 3 10 3 6 2" xfId="47168"/>
    <cellStyle name="Calculation 3 10 3 6 3" xfId="51074"/>
    <cellStyle name="Calculation 3 10 3 7" xfId="40971"/>
    <cellStyle name="Calculation 3 10 3 8" xfId="42575"/>
    <cellStyle name="Calculation 3 10 4" xfId="14753"/>
    <cellStyle name="Calculation 3 10 4 2" xfId="42851"/>
    <cellStyle name="Calculation 3 10 4 3" xfId="42650"/>
    <cellStyle name="Calculation 3 10 4 4" xfId="32374"/>
    <cellStyle name="Calculation 3 10 5" xfId="13048"/>
    <cellStyle name="Calculation 3 10 5 2" xfId="42250"/>
    <cellStyle name="Calculation 3 10 5 3" xfId="39418"/>
    <cellStyle name="Calculation 3 10 5 4" xfId="30683"/>
    <cellStyle name="Calculation 3 10 6" xfId="12028"/>
    <cellStyle name="Calculation 3 10 6 2" xfId="41764"/>
    <cellStyle name="Calculation 3 10 6 3" xfId="47477"/>
    <cellStyle name="Calculation 3 10 6 4" xfId="29693"/>
    <cellStyle name="Calculation 3 10 7" xfId="20516"/>
    <cellStyle name="Calculation 3 10 7 2" xfId="46038"/>
    <cellStyle name="Calculation 3 10 7 3" xfId="49944"/>
    <cellStyle name="Calculation 3 10 7 4" xfId="37931"/>
    <cellStyle name="Calculation 3 10 8" xfId="13296"/>
    <cellStyle name="Calculation 3 10 8 2" xfId="42447"/>
    <cellStyle name="Calculation 3 10 8 3" xfId="43542"/>
    <cellStyle name="Calculation 3 10 9" xfId="39711"/>
    <cellStyle name="Calculation 3 11" xfId="1459"/>
    <cellStyle name="Calculation 3 12" xfId="52721"/>
    <cellStyle name="Calculation 3 2" xfId="1460"/>
    <cellStyle name="Calculation 3 2 2" xfId="6972"/>
    <cellStyle name="Calculation 3 2 2 10" xfId="47569"/>
    <cellStyle name="Calculation 3 2 2 2" xfId="10499"/>
    <cellStyle name="Calculation 3 2 2 2 2" xfId="18286"/>
    <cellStyle name="Calculation 3 2 2 2 2 2" xfId="43818"/>
    <cellStyle name="Calculation 3 2 2 2 2 3" xfId="47727"/>
    <cellStyle name="Calculation 3 2 2 2 2 4" xfId="35909"/>
    <cellStyle name="Calculation 3 2 2 2 3" xfId="19128"/>
    <cellStyle name="Calculation 3 2 2 2 3 2" xfId="44650"/>
    <cellStyle name="Calculation 3 2 2 2 3 3" xfId="48556"/>
    <cellStyle name="Calculation 3 2 2 2 3 4" xfId="36709"/>
    <cellStyle name="Calculation 3 2 2 2 4" xfId="19548"/>
    <cellStyle name="Calculation 3 2 2 2 4 2" xfId="45070"/>
    <cellStyle name="Calculation 3 2 2 2 4 3" xfId="48976"/>
    <cellStyle name="Calculation 3 2 2 2 4 4" xfId="37075"/>
    <cellStyle name="Calculation 3 2 2 2 5" xfId="20699"/>
    <cellStyle name="Calculation 3 2 2 2 5 2" xfId="46221"/>
    <cellStyle name="Calculation 3 2 2 2 5 3" xfId="50127"/>
    <cellStyle name="Calculation 3 2 2 2 5 4" xfId="38091"/>
    <cellStyle name="Calculation 3 2 2 2 6" xfId="21352"/>
    <cellStyle name="Calculation 3 2 2 2 6 2" xfId="46874"/>
    <cellStyle name="Calculation 3 2 2 2 6 3" xfId="50780"/>
    <cellStyle name="Calculation 3 2 2 2 7" xfId="40677"/>
    <cellStyle name="Calculation 3 2 2 2 8" xfId="40576"/>
    <cellStyle name="Calculation 3 2 2 3" xfId="10794"/>
    <cellStyle name="Calculation 3 2 2 3 2" xfId="18581"/>
    <cellStyle name="Calculation 3 2 2 3 2 2" xfId="44113"/>
    <cellStyle name="Calculation 3 2 2 3 2 3" xfId="48022"/>
    <cellStyle name="Calculation 3 2 2 3 2 4" xfId="36204"/>
    <cellStyle name="Calculation 3 2 2 3 3" xfId="19582"/>
    <cellStyle name="Calculation 3 2 2 3 3 2" xfId="45104"/>
    <cellStyle name="Calculation 3 2 2 3 3 3" xfId="49010"/>
    <cellStyle name="Calculation 3 2 2 3 3 4" xfId="37108"/>
    <cellStyle name="Calculation 3 2 2 3 4" xfId="19230"/>
    <cellStyle name="Calculation 3 2 2 3 4 2" xfId="44752"/>
    <cellStyle name="Calculation 3 2 2 3 4 3" xfId="48658"/>
    <cellStyle name="Calculation 3 2 2 3 4 4" xfId="36794"/>
    <cellStyle name="Calculation 3 2 2 3 5" xfId="20994"/>
    <cellStyle name="Calculation 3 2 2 3 5 2" xfId="46516"/>
    <cellStyle name="Calculation 3 2 2 3 5 3" xfId="50422"/>
    <cellStyle name="Calculation 3 2 2 3 5 4" xfId="38386"/>
    <cellStyle name="Calculation 3 2 2 3 6" xfId="21647"/>
    <cellStyle name="Calculation 3 2 2 3 6 2" xfId="47169"/>
    <cellStyle name="Calculation 3 2 2 3 6 3" xfId="51075"/>
    <cellStyle name="Calculation 3 2 2 3 7" xfId="40972"/>
    <cellStyle name="Calculation 3 2 2 3 8" xfId="43488"/>
    <cellStyle name="Calculation 3 2 2 4" xfId="14754"/>
    <cellStyle name="Calculation 3 2 2 4 2" xfId="42852"/>
    <cellStyle name="Calculation 3 2 2 4 3" xfId="43538"/>
    <cellStyle name="Calculation 3 2 2 4 4" xfId="32375"/>
    <cellStyle name="Calculation 3 2 2 5" xfId="11268"/>
    <cellStyle name="Calculation 3 2 2 5 2" xfId="41295"/>
    <cellStyle name="Calculation 3 2 2 5 3" xfId="42013"/>
    <cellStyle name="Calculation 3 2 2 5 4" xfId="28982"/>
    <cellStyle name="Calculation 3 2 2 6" xfId="18899"/>
    <cellStyle name="Calculation 3 2 2 6 2" xfId="44421"/>
    <cellStyle name="Calculation 3 2 2 6 3" xfId="48327"/>
    <cellStyle name="Calculation 3 2 2 6 4" xfId="36517"/>
    <cellStyle name="Calculation 3 2 2 7" xfId="12024"/>
    <cellStyle name="Calculation 3 2 2 7 2" xfId="41761"/>
    <cellStyle name="Calculation 3 2 2 7 3" xfId="39307"/>
    <cellStyle name="Calculation 3 2 2 7 4" xfId="29690"/>
    <cellStyle name="Calculation 3 2 2 8" xfId="20478"/>
    <cellStyle name="Calculation 3 2 2 8 2" xfId="46000"/>
    <cellStyle name="Calculation 3 2 2 8 3" xfId="49906"/>
    <cellStyle name="Calculation 3 2 2 9" xfId="39712"/>
    <cellStyle name="Calculation 3 2 3" xfId="52928"/>
    <cellStyle name="Calculation 3 3" xfId="1461"/>
    <cellStyle name="Calculation 3 3 2" xfId="6973"/>
    <cellStyle name="Calculation 3 3 2 10" xfId="41703"/>
    <cellStyle name="Calculation 3 3 2 2" xfId="10500"/>
    <cellStyle name="Calculation 3 3 2 2 2" xfId="18287"/>
    <cellStyle name="Calculation 3 3 2 2 2 2" xfId="43819"/>
    <cellStyle name="Calculation 3 3 2 2 2 3" xfId="47728"/>
    <cellStyle name="Calculation 3 3 2 2 2 4" xfId="35910"/>
    <cellStyle name="Calculation 3 3 2 2 3" xfId="19750"/>
    <cellStyle name="Calculation 3 3 2 2 3 2" xfId="45272"/>
    <cellStyle name="Calculation 3 3 2 2 3 3" xfId="49178"/>
    <cellStyle name="Calculation 3 3 2 2 3 4" xfId="37263"/>
    <cellStyle name="Calculation 3 3 2 2 4" xfId="19823"/>
    <cellStyle name="Calculation 3 3 2 2 4 2" xfId="45345"/>
    <cellStyle name="Calculation 3 3 2 2 4 3" xfId="49251"/>
    <cellStyle name="Calculation 3 3 2 2 4 4" xfId="37327"/>
    <cellStyle name="Calculation 3 3 2 2 5" xfId="20700"/>
    <cellStyle name="Calculation 3 3 2 2 5 2" xfId="46222"/>
    <cellStyle name="Calculation 3 3 2 2 5 3" xfId="50128"/>
    <cellStyle name="Calculation 3 3 2 2 5 4" xfId="38092"/>
    <cellStyle name="Calculation 3 3 2 2 6" xfId="21353"/>
    <cellStyle name="Calculation 3 3 2 2 6 2" xfId="46875"/>
    <cellStyle name="Calculation 3 3 2 2 6 3" xfId="50781"/>
    <cellStyle name="Calculation 3 3 2 2 7" xfId="40678"/>
    <cellStyle name="Calculation 3 3 2 2 8" xfId="39687"/>
    <cellStyle name="Calculation 3 3 2 3" xfId="10795"/>
    <cellStyle name="Calculation 3 3 2 3 2" xfId="18582"/>
    <cellStyle name="Calculation 3 3 2 3 2 2" xfId="44114"/>
    <cellStyle name="Calculation 3 3 2 3 2 3" xfId="48023"/>
    <cellStyle name="Calculation 3 3 2 3 2 4" xfId="36205"/>
    <cellStyle name="Calculation 3 3 2 3 3" xfId="20135"/>
    <cellStyle name="Calculation 3 3 2 3 3 2" xfId="45657"/>
    <cellStyle name="Calculation 3 3 2 3 3 3" xfId="49563"/>
    <cellStyle name="Calculation 3 3 2 3 3 4" xfId="37607"/>
    <cellStyle name="Calculation 3 3 2 3 4" xfId="19068"/>
    <cellStyle name="Calculation 3 3 2 3 4 2" xfId="44590"/>
    <cellStyle name="Calculation 3 3 2 3 4 3" xfId="48496"/>
    <cellStyle name="Calculation 3 3 2 3 4 4" xfId="36650"/>
    <cellStyle name="Calculation 3 3 2 3 5" xfId="20995"/>
    <cellStyle name="Calculation 3 3 2 3 5 2" xfId="46517"/>
    <cellStyle name="Calculation 3 3 2 3 5 3" xfId="50423"/>
    <cellStyle name="Calculation 3 3 2 3 5 4" xfId="38387"/>
    <cellStyle name="Calculation 3 3 2 3 6" xfId="21648"/>
    <cellStyle name="Calculation 3 3 2 3 6 2" xfId="47170"/>
    <cellStyle name="Calculation 3 3 2 3 6 3" xfId="51076"/>
    <cellStyle name="Calculation 3 3 2 3 7" xfId="40973"/>
    <cellStyle name="Calculation 3 3 2 3 8" xfId="40351"/>
    <cellStyle name="Calculation 3 3 2 4" xfId="14755"/>
    <cellStyle name="Calculation 3 3 2 4 2" xfId="42853"/>
    <cellStyle name="Calculation 3 3 2 4 3" xfId="40399"/>
    <cellStyle name="Calculation 3 3 2 4 4" xfId="32376"/>
    <cellStyle name="Calculation 3 3 2 5" xfId="11269"/>
    <cellStyle name="Calculation 3 3 2 5 2" xfId="41296"/>
    <cellStyle name="Calculation 3 3 2 5 3" xfId="43334"/>
    <cellStyle name="Calculation 3 3 2 5 4" xfId="28983"/>
    <cellStyle name="Calculation 3 3 2 6" xfId="19542"/>
    <cellStyle name="Calculation 3 3 2 6 2" xfId="45064"/>
    <cellStyle name="Calculation 3 3 2 6 3" xfId="48970"/>
    <cellStyle name="Calculation 3 3 2 6 4" xfId="37070"/>
    <cellStyle name="Calculation 3 3 2 7" xfId="11561"/>
    <cellStyle name="Calculation 3 3 2 7 2" xfId="41552"/>
    <cellStyle name="Calculation 3 3 2 7 3" xfId="39325"/>
    <cellStyle name="Calculation 3 3 2 7 4" xfId="29258"/>
    <cellStyle name="Calculation 3 3 2 8" xfId="12084"/>
    <cellStyle name="Calculation 3 3 2 8 2" xfId="41809"/>
    <cellStyle name="Calculation 3 3 2 8 3" xfId="39301"/>
    <cellStyle name="Calculation 3 3 2 9" xfId="39713"/>
    <cellStyle name="Calculation 3 3 3" xfId="52929"/>
    <cellStyle name="Calculation 3 4" xfId="1462"/>
    <cellStyle name="Calculation 3 4 2" xfId="6974"/>
    <cellStyle name="Calculation 3 4 2 10" xfId="43253"/>
    <cellStyle name="Calculation 3 4 2 2" xfId="10501"/>
    <cellStyle name="Calculation 3 4 2 2 2" xfId="18288"/>
    <cellStyle name="Calculation 3 4 2 2 2 2" xfId="43820"/>
    <cellStyle name="Calculation 3 4 2 2 2 3" xfId="47729"/>
    <cellStyle name="Calculation 3 4 2 2 2 4" xfId="35911"/>
    <cellStyle name="Calculation 3 4 2 2 3" xfId="12613"/>
    <cellStyle name="Calculation 3 4 2 2 3 2" xfId="42073"/>
    <cellStyle name="Calculation 3 4 2 2 3 3" xfId="40165"/>
    <cellStyle name="Calculation 3 4 2 2 3 4" xfId="30264"/>
    <cellStyle name="Calculation 3 4 2 2 4" xfId="11673"/>
    <cellStyle name="Calculation 3 4 2 2 4 2" xfId="41664"/>
    <cellStyle name="Calculation 3 4 2 2 4 3" xfId="43314"/>
    <cellStyle name="Calculation 3 4 2 2 4 4" xfId="29352"/>
    <cellStyle name="Calculation 3 4 2 2 5" xfId="20701"/>
    <cellStyle name="Calculation 3 4 2 2 5 2" xfId="46223"/>
    <cellStyle name="Calculation 3 4 2 2 5 3" xfId="50129"/>
    <cellStyle name="Calculation 3 4 2 2 5 4" xfId="38093"/>
    <cellStyle name="Calculation 3 4 2 2 6" xfId="21354"/>
    <cellStyle name="Calculation 3 4 2 2 6 2" xfId="46876"/>
    <cellStyle name="Calculation 3 4 2 2 6 3" xfId="50782"/>
    <cellStyle name="Calculation 3 4 2 2 7" xfId="40679"/>
    <cellStyle name="Calculation 3 4 2 2 8" xfId="42724"/>
    <cellStyle name="Calculation 3 4 2 3" xfId="10796"/>
    <cellStyle name="Calculation 3 4 2 3 2" xfId="18583"/>
    <cellStyle name="Calculation 3 4 2 3 2 2" xfId="44115"/>
    <cellStyle name="Calculation 3 4 2 3 2 3" xfId="48024"/>
    <cellStyle name="Calculation 3 4 2 3 2 4" xfId="36206"/>
    <cellStyle name="Calculation 3 4 2 3 3" xfId="19394"/>
    <cellStyle name="Calculation 3 4 2 3 3 2" xfId="44916"/>
    <cellStyle name="Calculation 3 4 2 3 3 3" xfId="48822"/>
    <cellStyle name="Calculation 3 4 2 3 3 4" xfId="36945"/>
    <cellStyle name="Calculation 3 4 2 3 4" xfId="12118"/>
    <cellStyle name="Calculation 3 4 2 3 4 2" xfId="41843"/>
    <cellStyle name="Calculation 3 4 2 3 4 3" xfId="41303"/>
    <cellStyle name="Calculation 3 4 2 3 4 4" xfId="29777"/>
    <cellStyle name="Calculation 3 4 2 3 5" xfId="20996"/>
    <cellStyle name="Calculation 3 4 2 3 5 2" xfId="46518"/>
    <cellStyle name="Calculation 3 4 2 3 5 3" xfId="50424"/>
    <cellStyle name="Calculation 3 4 2 3 5 4" xfId="38388"/>
    <cellStyle name="Calculation 3 4 2 3 6" xfId="21649"/>
    <cellStyle name="Calculation 3 4 2 3 6 2" xfId="47171"/>
    <cellStyle name="Calculation 3 4 2 3 6 3" xfId="51077"/>
    <cellStyle name="Calculation 3 4 2 3 7" xfId="40974"/>
    <cellStyle name="Calculation 3 4 2 3 8" xfId="39463"/>
    <cellStyle name="Calculation 3 4 2 4" xfId="14756"/>
    <cellStyle name="Calculation 3 4 2 4 2" xfId="42854"/>
    <cellStyle name="Calculation 3 4 2 4 3" xfId="39508"/>
    <cellStyle name="Calculation 3 4 2 4 4" xfId="32377"/>
    <cellStyle name="Calculation 3 4 2 5" xfId="11270"/>
    <cellStyle name="Calculation 3 4 2 5 2" xfId="41297"/>
    <cellStyle name="Calculation 3 4 2 5 3" xfId="40196"/>
    <cellStyle name="Calculation 3 4 2 5 4" xfId="28984"/>
    <cellStyle name="Calculation 3 4 2 6" xfId="11668"/>
    <cellStyle name="Calculation 3 4 2 6 2" xfId="41659"/>
    <cellStyle name="Calculation 3 4 2 6 3" xfId="42547"/>
    <cellStyle name="Calculation 3 4 2 6 4" xfId="29348"/>
    <cellStyle name="Calculation 3 4 2 7" xfId="19308"/>
    <cellStyle name="Calculation 3 4 2 7 2" xfId="44830"/>
    <cellStyle name="Calculation 3 4 2 7 3" xfId="48736"/>
    <cellStyle name="Calculation 3 4 2 7 4" xfId="36872"/>
    <cellStyle name="Calculation 3 4 2 8" xfId="19832"/>
    <cellStyle name="Calculation 3 4 2 8 2" xfId="45354"/>
    <cellStyle name="Calculation 3 4 2 8 3" xfId="49260"/>
    <cellStyle name="Calculation 3 4 2 9" xfId="39714"/>
    <cellStyle name="Calculation 3 4 3" xfId="52930"/>
    <cellStyle name="Calculation 3 5" xfId="1463"/>
    <cellStyle name="Calculation 3 5 2" xfId="6975"/>
    <cellStyle name="Calculation 3 5 2 10" xfId="40112"/>
    <cellStyle name="Calculation 3 5 2 2" xfId="10502"/>
    <cellStyle name="Calculation 3 5 2 2 2" xfId="18289"/>
    <cellStyle name="Calculation 3 5 2 2 2 2" xfId="43821"/>
    <cellStyle name="Calculation 3 5 2 2 2 3" xfId="47730"/>
    <cellStyle name="Calculation 3 5 2 2 2 4" xfId="35912"/>
    <cellStyle name="Calculation 3 5 2 2 3" xfId="12149"/>
    <cellStyle name="Calculation 3 5 2 2 3 2" xfId="41874"/>
    <cellStyle name="Calculation 3 5 2 2 3 3" xfId="42780"/>
    <cellStyle name="Calculation 3 5 2 2 3 4" xfId="29807"/>
    <cellStyle name="Calculation 3 5 2 2 4" xfId="18952"/>
    <cellStyle name="Calculation 3 5 2 2 4 2" xfId="44474"/>
    <cellStyle name="Calculation 3 5 2 2 4 3" xfId="48380"/>
    <cellStyle name="Calculation 3 5 2 2 4 4" xfId="36564"/>
    <cellStyle name="Calculation 3 5 2 2 5" xfId="20702"/>
    <cellStyle name="Calculation 3 5 2 2 5 2" xfId="46224"/>
    <cellStyle name="Calculation 3 5 2 2 5 3" xfId="50130"/>
    <cellStyle name="Calculation 3 5 2 2 5 4" xfId="38094"/>
    <cellStyle name="Calculation 3 5 2 2 6" xfId="21355"/>
    <cellStyle name="Calculation 3 5 2 2 6 2" xfId="46877"/>
    <cellStyle name="Calculation 3 5 2 2 6 3" xfId="50783"/>
    <cellStyle name="Calculation 3 5 2 2 7" xfId="40680"/>
    <cellStyle name="Calculation 3 5 2 2 8" xfId="43613"/>
    <cellStyle name="Calculation 3 5 2 3" xfId="10797"/>
    <cellStyle name="Calculation 3 5 2 3 2" xfId="18584"/>
    <cellStyle name="Calculation 3 5 2 3 2 2" xfId="44116"/>
    <cellStyle name="Calculation 3 5 2 3 2 3" xfId="48025"/>
    <cellStyle name="Calculation 3 5 2 3 2 4" xfId="36207"/>
    <cellStyle name="Calculation 3 5 2 3 3" xfId="20001"/>
    <cellStyle name="Calculation 3 5 2 3 3 2" xfId="45523"/>
    <cellStyle name="Calculation 3 5 2 3 3 3" xfId="49429"/>
    <cellStyle name="Calculation 3 5 2 3 3 4" xfId="37485"/>
    <cellStyle name="Calculation 3 5 2 3 4" xfId="11451"/>
    <cellStyle name="Calculation 3 5 2 3 4 2" xfId="41442"/>
    <cellStyle name="Calculation 3 5 2 3 4 3" xfId="43579"/>
    <cellStyle name="Calculation 3 5 2 3 4 4" xfId="29156"/>
    <cellStyle name="Calculation 3 5 2 3 5" xfId="20997"/>
    <cellStyle name="Calculation 3 5 2 3 5 2" xfId="46519"/>
    <cellStyle name="Calculation 3 5 2 3 5 3" xfId="50425"/>
    <cellStyle name="Calculation 3 5 2 3 5 4" xfId="38389"/>
    <cellStyle name="Calculation 3 5 2 3 6" xfId="21650"/>
    <cellStyle name="Calculation 3 5 2 3 6 2" xfId="47172"/>
    <cellStyle name="Calculation 3 5 2 3 6 3" xfId="51078"/>
    <cellStyle name="Calculation 3 5 2 3 7" xfId="40975"/>
    <cellStyle name="Calculation 3 5 2 3 8" xfId="47565"/>
    <cellStyle name="Calculation 3 5 2 4" xfId="14757"/>
    <cellStyle name="Calculation 3 5 2 4 2" xfId="42855"/>
    <cellStyle name="Calculation 3 5 2 4 3" xfId="42518"/>
    <cellStyle name="Calculation 3 5 2 4 4" xfId="32378"/>
    <cellStyle name="Calculation 3 5 2 5" xfId="13049"/>
    <cellStyle name="Calculation 3 5 2 5 2" xfId="42251"/>
    <cellStyle name="Calculation 3 5 2 5 3" xfId="41944"/>
    <cellStyle name="Calculation 3 5 2 5 4" xfId="30684"/>
    <cellStyle name="Calculation 3 5 2 6" xfId="19431"/>
    <cellStyle name="Calculation 3 5 2 6 2" xfId="44953"/>
    <cellStyle name="Calculation 3 5 2 6 3" xfId="48859"/>
    <cellStyle name="Calculation 3 5 2 6 4" xfId="36982"/>
    <cellStyle name="Calculation 3 5 2 7" xfId="20220"/>
    <cellStyle name="Calculation 3 5 2 7 2" xfId="45742"/>
    <cellStyle name="Calculation 3 5 2 7 3" xfId="49648"/>
    <cellStyle name="Calculation 3 5 2 7 4" xfId="37680"/>
    <cellStyle name="Calculation 3 5 2 8" xfId="20613"/>
    <cellStyle name="Calculation 3 5 2 8 2" xfId="46135"/>
    <cellStyle name="Calculation 3 5 2 8 3" xfId="50041"/>
    <cellStyle name="Calculation 3 5 2 9" xfId="39715"/>
    <cellStyle name="Calculation 3 5 3" xfId="52931"/>
    <cellStyle name="Calculation 3 6" xfId="1464"/>
    <cellStyle name="Calculation 3 6 2" xfId="6976"/>
    <cellStyle name="Calculation 3 6 2 10" xfId="43081"/>
    <cellStyle name="Calculation 3 6 2 2" xfId="10503"/>
    <cellStyle name="Calculation 3 6 2 2 2" xfId="18290"/>
    <cellStyle name="Calculation 3 6 2 2 2 2" xfId="43822"/>
    <cellStyle name="Calculation 3 6 2 2 2 3" xfId="47731"/>
    <cellStyle name="Calculation 3 6 2 2 2 4" xfId="35913"/>
    <cellStyle name="Calculation 3 6 2 2 3" xfId="19607"/>
    <cellStyle name="Calculation 3 6 2 2 3 2" xfId="45129"/>
    <cellStyle name="Calculation 3 6 2 2 3 3" xfId="49035"/>
    <cellStyle name="Calculation 3 6 2 2 3 4" xfId="37133"/>
    <cellStyle name="Calculation 3 6 2 2 4" xfId="12772"/>
    <cellStyle name="Calculation 3 6 2 2 4 2" xfId="42184"/>
    <cellStyle name="Calculation 3 6 2 2 4 3" xfId="39525"/>
    <cellStyle name="Calculation 3 6 2 2 4 4" xfId="30416"/>
    <cellStyle name="Calculation 3 6 2 2 5" xfId="20703"/>
    <cellStyle name="Calculation 3 6 2 2 5 2" xfId="46225"/>
    <cellStyle name="Calculation 3 6 2 2 5 3" xfId="50131"/>
    <cellStyle name="Calculation 3 6 2 2 5 4" xfId="38095"/>
    <cellStyle name="Calculation 3 6 2 2 6" xfId="21356"/>
    <cellStyle name="Calculation 3 6 2 2 6 2" xfId="46878"/>
    <cellStyle name="Calculation 3 6 2 2 6 3" xfId="50784"/>
    <cellStyle name="Calculation 3 6 2 2 7" xfId="40681"/>
    <cellStyle name="Calculation 3 6 2 2 8" xfId="40471"/>
    <cellStyle name="Calculation 3 6 2 3" xfId="10798"/>
    <cellStyle name="Calculation 3 6 2 3 2" xfId="18585"/>
    <cellStyle name="Calculation 3 6 2 3 2 2" xfId="44117"/>
    <cellStyle name="Calculation 3 6 2 3 2 3" xfId="48026"/>
    <cellStyle name="Calculation 3 6 2 3 2 4" xfId="36208"/>
    <cellStyle name="Calculation 3 6 2 3 3" xfId="19267"/>
    <cellStyle name="Calculation 3 6 2 3 3 2" xfId="44789"/>
    <cellStyle name="Calculation 3 6 2 3 3 3" xfId="48695"/>
    <cellStyle name="Calculation 3 6 2 3 3 4" xfId="36831"/>
    <cellStyle name="Calculation 3 6 2 3 4" xfId="19550"/>
    <cellStyle name="Calculation 3 6 2 3 4 2" xfId="45072"/>
    <cellStyle name="Calculation 3 6 2 3 4 3" xfId="48978"/>
    <cellStyle name="Calculation 3 6 2 3 4 4" xfId="37077"/>
    <cellStyle name="Calculation 3 6 2 3 5" xfId="20998"/>
    <cellStyle name="Calculation 3 6 2 3 5 2" xfId="46520"/>
    <cellStyle name="Calculation 3 6 2 3 5 3" xfId="50426"/>
    <cellStyle name="Calculation 3 6 2 3 5 4" xfId="38390"/>
    <cellStyle name="Calculation 3 6 2 3 6" xfId="21651"/>
    <cellStyle name="Calculation 3 6 2 3 6 2" xfId="47173"/>
    <cellStyle name="Calculation 3 6 2 3 6 3" xfId="51079"/>
    <cellStyle name="Calculation 3 6 2 3 7" xfId="40976"/>
    <cellStyle name="Calculation 3 6 2 3 8" xfId="42034"/>
    <cellStyle name="Calculation 3 6 2 4" xfId="14758"/>
    <cellStyle name="Calculation 3 6 2 4 2" xfId="42856"/>
    <cellStyle name="Calculation 3 6 2 4 3" xfId="43429"/>
    <cellStyle name="Calculation 3 6 2 4 4" xfId="32379"/>
    <cellStyle name="Calculation 3 6 2 5" xfId="12014"/>
    <cellStyle name="Calculation 3 6 2 5 2" xfId="41751"/>
    <cellStyle name="Calculation 3 6 2 5 3" xfId="40174"/>
    <cellStyle name="Calculation 3 6 2 5 4" xfId="29682"/>
    <cellStyle name="Calculation 3 6 2 6" xfId="19935"/>
    <cellStyle name="Calculation 3 6 2 6 2" xfId="45457"/>
    <cellStyle name="Calculation 3 6 2 6 3" xfId="49363"/>
    <cellStyle name="Calculation 3 6 2 6 4" xfId="37429"/>
    <cellStyle name="Calculation 3 6 2 7" xfId="18927"/>
    <cellStyle name="Calculation 3 6 2 7 2" xfId="44449"/>
    <cellStyle name="Calculation 3 6 2 7 3" xfId="48355"/>
    <cellStyle name="Calculation 3 6 2 7 4" xfId="36540"/>
    <cellStyle name="Calculation 3 6 2 8" xfId="19025"/>
    <cellStyle name="Calculation 3 6 2 8 2" xfId="44547"/>
    <cellStyle name="Calculation 3 6 2 8 3" xfId="48453"/>
    <cellStyle name="Calculation 3 6 2 9" xfId="39716"/>
    <cellStyle name="Calculation 3 7" xfId="4153"/>
    <cellStyle name="Calculation 3 7 2" xfId="6977"/>
    <cellStyle name="Calculation 3 7 2 10" xfId="43748"/>
    <cellStyle name="Calculation 3 7 2 2" xfId="10504"/>
    <cellStyle name="Calculation 3 7 2 2 2" xfId="18291"/>
    <cellStyle name="Calculation 3 7 2 2 2 2" xfId="43823"/>
    <cellStyle name="Calculation 3 7 2 2 2 3" xfId="47732"/>
    <cellStyle name="Calculation 3 7 2 2 2 4" xfId="35914"/>
    <cellStyle name="Calculation 3 7 2 2 3" xfId="20163"/>
    <cellStyle name="Calculation 3 7 2 2 3 2" xfId="45685"/>
    <cellStyle name="Calculation 3 7 2 2 3 3" xfId="49591"/>
    <cellStyle name="Calculation 3 7 2 2 3 4" xfId="37635"/>
    <cellStyle name="Calculation 3 7 2 2 4" xfId="19079"/>
    <cellStyle name="Calculation 3 7 2 2 4 2" xfId="44601"/>
    <cellStyle name="Calculation 3 7 2 2 4 3" xfId="48507"/>
    <cellStyle name="Calculation 3 7 2 2 4 4" xfId="36661"/>
    <cellStyle name="Calculation 3 7 2 2 5" xfId="20704"/>
    <cellStyle name="Calculation 3 7 2 2 5 2" xfId="46226"/>
    <cellStyle name="Calculation 3 7 2 2 5 3" xfId="50132"/>
    <cellStyle name="Calculation 3 7 2 2 5 4" xfId="38096"/>
    <cellStyle name="Calculation 3 7 2 2 6" xfId="21357"/>
    <cellStyle name="Calculation 3 7 2 2 6 2" xfId="46879"/>
    <cellStyle name="Calculation 3 7 2 2 6 3" xfId="50785"/>
    <cellStyle name="Calculation 3 7 2 2 7" xfId="40682"/>
    <cellStyle name="Calculation 3 7 2 2 8" xfId="39581"/>
    <cellStyle name="Calculation 3 7 2 3" xfId="10799"/>
    <cellStyle name="Calculation 3 7 2 3 2" xfId="18586"/>
    <cellStyle name="Calculation 3 7 2 3 2 2" xfId="44118"/>
    <cellStyle name="Calculation 3 7 2 3 2 3" xfId="48027"/>
    <cellStyle name="Calculation 3 7 2 3 2 4" xfId="36209"/>
    <cellStyle name="Calculation 3 7 2 3 3" xfId="19876"/>
    <cellStyle name="Calculation 3 7 2 3 3 2" xfId="45398"/>
    <cellStyle name="Calculation 3 7 2 3 3 3" xfId="49304"/>
    <cellStyle name="Calculation 3 7 2 3 3 4" xfId="37376"/>
    <cellStyle name="Calculation 3 7 2 3 4" xfId="11798"/>
    <cellStyle name="Calculation 3 7 2 3 4 2" xfId="41727"/>
    <cellStyle name="Calculation 3 7 2 3 4 3" xfId="42784"/>
    <cellStyle name="Calculation 3 7 2 3 4 4" xfId="29470"/>
    <cellStyle name="Calculation 3 7 2 3 5" xfId="20999"/>
    <cellStyle name="Calculation 3 7 2 3 5 2" xfId="46521"/>
    <cellStyle name="Calculation 3 7 2 3 5 3" xfId="50427"/>
    <cellStyle name="Calculation 3 7 2 3 5 4" xfId="38391"/>
    <cellStyle name="Calculation 3 7 2 3 6" xfId="21652"/>
    <cellStyle name="Calculation 3 7 2 3 6 2" xfId="47174"/>
    <cellStyle name="Calculation 3 7 2 3 6 3" xfId="51080"/>
    <cellStyle name="Calculation 3 7 2 3 7" xfId="40977"/>
    <cellStyle name="Calculation 3 7 2 3 8" xfId="43353"/>
    <cellStyle name="Calculation 3 7 2 4" xfId="14759"/>
    <cellStyle name="Calculation 3 7 2 4 2" xfId="42857"/>
    <cellStyle name="Calculation 3 7 2 4 3" xfId="40291"/>
    <cellStyle name="Calculation 3 7 2 4 4" xfId="32380"/>
    <cellStyle name="Calculation 3 7 2 5" xfId="13050"/>
    <cellStyle name="Calculation 3 7 2 5 2" xfId="42252"/>
    <cellStyle name="Calculation 3 7 2 5 3" xfId="43292"/>
    <cellStyle name="Calculation 3 7 2 5 4" xfId="30685"/>
    <cellStyle name="Calculation 3 7 2 6" xfId="20309"/>
    <cellStyle name="Calculation 3 7 2 6 2" xfId="45831"/>
    <cellStyle name="Calculation 3 7 2 6 3" xfId="49737"/>
    <cellStyle name="Calculation 3 7 2 6 4" xfId="37759"/>
    <cellStyle name="Calculation 3 7 2 7" xfId="18875"/>
    <cellStyle name="Calculation 3 7 2 7 2" xfId="44397"/>
    <cellStyle name="Calculation 3 7 2 7 3" xfId="48303"/>
    <cellStyle name="Calculation 3 7 2 7 4" xfId="36497"/>
    <cellStyle name="Calculation 3 7 2 8" xfId="12846"/>
    <cellStyle name="Calculation 3 7 2 8 2" xfId="42210"/>
    <cellStyle name="Calculation 3 7 2 8 3" xfId="41282"/>
    <cellStyle name="Calculation 3 7 2 9" xfId="39717"/>
    <cellStyle name="Calculation 3 8" xfId="4154"/>
    <cellStyle name="Calculation 3 8 2" xfId="6978"/>
    <cellStyle name="Calculation 3 8 2 10" xfId="40607"/>
    <cellStyle name="Calculation 3 8 2 2" xfId="10505"/>
    <cellStyle name="Calculation 3 8 2 2 2" xfId="18292"/>
    <cellStyle name="Calculation 3 8 2 2 2 2" xfId="43824"/>
    <cellStyle name="Calculation 3 8 2 2 2 3" xfId="47733"/>
    <cellStyle name="Calculation 3 8 2 2 2 4" xfId="35915"/>
    <cellStyle name="Calculation 3 8 2 2 3" xfId="19422"/>
    <cellStyle name="Calculation 3 8 2 2 3 2" xfId="44944"/>
    <cellStyle name="Calculation 3 8 2 2 3 3" xfId="48850"/>
    <cellStyle name="Calculation 3 8 2 2 3 4" xfId="36973"/>
    <cellStyle name="Calculation 3 8 2 2 4" xfId="20314"/>
    <cellStyle name="Calculation 3 8 2 2 4 2" xfId="45836"/>
    <cellStyle name="Calculation 3 8 2 2 4 3" xfId="49742"/>
    <cellStyle name="Calculation 3 8 2 2 4 4" xfId="37764"/>
    <cellStyle name="Calculation 3 8 2 2 5" xfId="20705"/>
    <cellStyle name="Calculation 3 8 2 2 5 2" xfId="46227"/>
    <cellStyle name="Calculation 3 8 2 2 5 3" xfId="50133"/>
    <cellStyle name="Calculation 3 8 2 2 5 4" xfId="38097"/>
    <cellStyle name="Calculation 3 8 2 2 6" xfId="21358"/>
    <cellStyle name="Calculation 3 8 2 2 6 2" xfId="46880"/>
    <cellStyle name="Calculation 3 8 2 2 6 3" xfId="50786"/>
    <cellStyle name="Calculation 3 8 2 2 7" xfId="40683"/>
    <cellStyle name="Calculation 3 8 2 2 8" xfId="42589"/>
    <cellStyle name="Calculation 3 8 2 3" xfId="10800"/>
    <cellStyle name="Calculation 3 8 2 3 2" xfId="18587"/>
    <cellStyle name="Calculation 3 8 2 3 2 2" xfId="44119"/>
    <cellStyle name="Calculation 3 8 2 3 2 3" xfId="48028"/>
    <cellStyle name="Calculation 3 8 2 3 2 4" xfId="36210"/>
    <cellStyle name="Calculation 3 8 2 3 3" xfId="19099"/>
    <cellStyle name="Calculation 3 8 2 3 3 2" xfId="44621"/>
    <cellStyle name="Calculation 3 8 2 3 3 3" xfId="48527"/>
    <cellStyle name="Calculation 3 8 2 3 3 4" xfId="36680"/>
    <cellStyle name="Calculation 3 8 2 3 4" xfId="19017"/>
    <cellStyle name="Calculation 3 8 2 3 4 2" xfId="44539"/>
    <cellStyle name="Calculation 3 8 2 3 4 3" xfId="48445"/>
    <cellStyle name="Calculation 3 8 2 3 4 4" xfId="36609"/>
    <cellStyle name="Calculation 3 8 2 3 5" xfId="21000"/>
    <cellStyle name="Calculation 3 8 2 3 5 2" xfId="46522"/>
    <cellStyle name="Calculation 3 8 2 3 5 3" xfId="50428"/>
    <cellStyle name="Calculation 3 8 2 3 5 4" xfId="38392"/>
    <cellStyle name="Calculation 3 8 2 3 6" xfId="21653"/>
    <cellStyle name="Calculation 3 8 2 3 6 2" xfId="47175"/>
    <cellStyle name="Calculation 3 8 2 3 6 3" xfId="51081"/>
    <cellStyle name="Calculation 3 8 2 3 7" xfId="40978"/>
    <cellStyle name="Calculation 3 8 2 3 8" xfId="40215"/>
    <cellStyle name="Calculation 3 8 2 4" xfId="14760"/>
    <cellStyle name="Calculation 3 8 2 4 2" xfId="42858"/>
    <cellStyle name="Calculation 3 8 2 4 3" xfId="39408"/>
    <cellStyle name="Calculation 3 8 2 4 4" xfId="32381"/>
    <cellStyle name="Calculation 3 8 2 5" xfId="13051"/>
    <cellStyle name="Calculation 3 8 2 5 2" xfId="42253"/>
    <cellStyle name="Calculation 3 8 2 5 3" xfId="40152"/>
    <cellStyle name="Calculation 3 8 2 5 4" xfId="30686"/>
    <cellStyle name="Calculation 3 8 2 6" xfId="20262"/>
    <cellStyle name="Calculation 3 8 2 6 2" xfId="45784"/>
    <cellStyle name="Calculation 3 8 2 6 3" xfId="49690"/>
    <cellStyle name="Calculation 3 8 2 6 4" xfId="37716"/>
    <cellStyle name="Calculation 3 8 2 7" xfId="20356"/>
    <cellStyle name="Calculation 3 8 2 7 2" xfId="45878"/>
    <cellStyle name="Calculation 3 8 2 7 3" xfId="49784"/>
    <cellStyle name="Calculation 3 8 2 7 4" xfId="37798"/>
    <cellStyle name="Calculation 3 8 2 8" xfId="20480"/>
    <cellStyle name="Calculation 3 8 2 8 2" xfId="46002"/>
    <cellStyle name="Calculation 3 8 2 8 3" xfId="49908"/>
    <cellStyle name="Calculation 3 8 2 9" xfId="39718"/>
    <cellStyle name="Calculation 3 9" xfId="4155"/>
    <cellStyle name="Calculation 3 9 2" xfId="10451"/>
    <cellStyle name="Calculation 3 9 2 2" xfId="18238"/>
    <cellStyle name="Calculation 3 9 2 2 2" xfId="43770"/>
    <cellStyle name="Calculation 3 9 2 2 3" xfId="47679"/>
    <cellStyle name="Calculation 3 9 2 2 4" xfId="35861"/>
    <cellStyle name="Calculation 3 9 2 3" xfId="19910"/>
    <cellStyle name="Calculation 3 9 2 3 2" xfId="45432"/>
    <cellStyle name="Calculation 3 9 2 3 3" xfId="49338"/>
    <cellStyle name="Calculation 3 9 2 3 4" xfId="37410"/>
    <cellStyle name="Calculation 3 9 2 4" xfId="20089"/>
    <cellStyle name="Calculation 3 9 2 4 2" xfId="45611"/>
    <cellStyle name="Calculation 3 9 2 4 3" xfId="49517"/>
    <cellStyle name="Calculation 3 9 2 4 4" xfId="37564"/>
    <cellStyle name="Calculation 3 9 2 5" xfId="20651"/>
    <cellStyle name="Calculation 3 9 2 5 2" xfId="46173"/>
    <cellStyle name="Calculation 3 9 2 5 3" xfId="50079"/>
    <cellStyle name="Calculation 3 9 2 5 4" xfId="38043"/>
    <cellStyle name="Calculation 3 9 2 6" xfId="21304"/>
    <cellStyle name="Calculation 3 9 2 6 2" xfId="46826"/>
    <cellStyle name="Calculation 3 9 2 6 3" xfId="50732"/>
    <cellStyle name="Calculation 3 9 2 7" xfId="40629"/>
    <cellStyle name="Calculation 3 9 2 8" xfId="43221"/>
    <cellStyle name="Calculation 3 9 3" xfId="8454"/>
    <cellStyle name="Calculation 3 9 3 2" xfId="16244"/>
    <cellStyle name="Calculation 3 9 3 2 2" xfId="43379"/>
    <cellStyle name="Calculation 3 9 3 2 3" xfId="40004"/>
    <cellStyle name="Calculation 3 9 3 2 4" xfId="33865"/>
    <cellStyle name="Calculation 3 9 3 3" xfId="11441"/>
    <cellStyle name="Calculation 3 9 3 3 2" xfId="41432"/>
    <cellStyle name="Calculation 3 9 3 3 3" xfId="40190"/>
    <cellStyle name="Calculation 3 9 3 3 4" xfId="29147"/>
    <cellStyle name="Calculation 3 9 3 4" xfId="19187"/>
    <cellStyle name="Calculation 3 9 3 4 2" xfId="44709"/>
    <cellStyle name="Calculation 3 9 3 4 3" xfId="48615"/>
    <cellStyle name="Calculation 3 9 3 4 4" xfId="36759"/>
    <cellStyle name="Calculation 3 9 3 5" xfId="20179"/>
    <cellStyle name="Calculation 3 9 3 5 2" xfId="45701"/>
    <cellStyle name="Calculation 3 9 3 5 3" xfId="49607"/>
    <cellStyle name="Calculation 3 9 3 5 4" xfId="37648"/>
    <cellStyle name="Calculation 3 9 3 6" xfId="18992"/>
    <cellStyle name="Calculation 3 9 3 6 2" xfId="44514"/>
    <cellStyle name="Calculation 3 9 3 6 3" xfId="48420"/>
    <cellStyle name="Calculation 3 9 3 7" xfId="40241"/>
    <cellStyle name="Calculation 3 9 3 8" xfId="39205"/>
    <cellStyle name="Calculation 3_BallGrid" xfId="1465"/>
    <cellStyle name="Calculation 4" xfId="78"/>
    <cellStyle name="Calculation 4 10" xfId="1466"/>
    <cellStyle name="Calculation 4 11" xfId="52722"/>
    <cellStyle name="Calculation 4 2" xfId="1467"/>
    <cellStyle name="Calculation 4 2 2" xfId="6980"/>
    <cellStyle name="Calculation 4 2 2 10" xfId="42741"/>
    <cellStyle name="Calculation 4 2 2 2" xfId="10507"/>
    <cellStyle name="Calculation 4 2 2 2 2" xfId="18294"/>
    <cellStyle name="Calculation 4 2 2 2 2 2" xfId="43826"/>
    <cellStyle name="Calculation 4 2 2 2 2 3" xfId="47735"/>
    <cellStyle name="Calculation 4 2 2 2 2 4" xfId="35917"/>
    <cellStyle name="Calculation 4 2 2 2 3" xfId="19295"/>
    <cellStyle name="Calculation 4 2 2 2 3 2" xfId="44817"/>
    <cellStyle name="Calculation 4 2 2 2 3 3" xfId="48723"/>
    <cellStyle name="Calculation 4 2 2 2 3 4" xfId="36859"/>
    <cellStyle name="Calculation 4 2 2 2 4" xfId="18916"/>
    <cellStyle name="Calculation 4 2 2 2 4 2" xfId="44438"/>
    <cellStyle name="Calculation 4 2 2 2 4 3" xfId="48344"/>
    <cellStyle name="Calculation 4 2 2 2 4 4" xfId="36530"/>
    <cellStyle name="Calculation 4 2 2 2 5" xfId="20707"/>
    <cellStyle name="Calculation 4 2 2 2 5 2" xfId="46229"/>
    <cellStyle name="Calculation 4 2 2 2 5 3" xfId="50135"/>
    <cellStyle name="Calculation 4 2 2 2 5 4" xfId="38099"/>
    <cellStyle name="Calculation 4 2 2 2 6" xfId="21360"/>
    <cellStyle name="Calculation 4 2 2 2 6 2" xfId="46882"/>
    <cellStyle name="Calculation 4 2 2 2 6 3" xfId="50788"/>
    <cellStyle name="Calculation 4 2 2 2 7" xfId="40685"/>
    <cellStyle name="Calculation 4 2 2 2 8" xfId="40365"/>
    <cellStyle name="Calculation 4 2 2 3" xfId="10802"/>
    <cellStyle name="Calculation 4 2 2 3 2" xfId="18589"/>
    <cellStyle name="Calculation 4 2 2 3 2 2" xfId="44121"/>
    <cellStyle name="Calculation 4 2 2 3 2 3" xfId="48030"/>
    <cellStyle name="Calculation 4 2 2 3 2 4" xfId="36212"/>
    <cellStyle name="Calculation 4 2 2 3 3" xfId="11505"/>
    <cellStyle name="Calculation 4 2 2 3 3 2" xfId="41496"/>
    <cellStyle name="Calculation 4 2 2 3 3 3" xfId="39327"/>
    <cellStyle name="Calculation 4 2 2 3 3 4" xfId="29206"/>
    <cellStyle name="Calculation 4 2 2 3 4" xfId="19365"/>
    <cellStyle name="Calculation 4 2 2 3 4 2" xfId="44887"/>
    <cellStyle name="Calculation 4 2 2 3 4 3" xfId="48793"/>
    <cellStyle name="Calculation 4 2 2 3 4 4" xfId="36917"/>
    <cellStyle name="Calculation 4 2 2 3 5" xfId="21002"/>
    <cellStyle name="Calculation 4 2 2 3 5 2" xfId="46524"/>
    <cellStyle name="Calculation 4 2 2 3 5 3" xfId="50430"/>
    <cellStyle name="Calculation 4 2 2 3 5 4" xfId="38394"/>
    <cellStyle name="Calculation 4 2 2 3 6" xfId="21655"/>
    <cellStyle name="Calculation 4 2 2 3 6 2" xfId="47177"/>
    <cellStyle name="Calculation 4 2 2 3 6 3" xfId="51083"/>
    <cellStyle name="Calculation 4 2 2 3 7" xfId="40980"/>
    <cellStyle name="Calculation 4 2 2 3 8" xfId="39162"/>
    <cellStyle name="Calculation 4 2 2 4" xfId="14762"/>
    <cellStyle name="Calculation 4 2 2 4 2" xfId="42860"/>
    <cellStyle name="Calculation 4 2 2 4 3" xfId="43277"/>
    <cellStyle name="Calculation 4 2 2 4 4" xfId="32383"/>
    <cellStyle name="Calculation 4 2 2 5" xfId="13053"/>
    <cellStyle name="Calculation 4 2 2 5 2" xfId="42255"/>
    <cellStyle name="Calculation 4 2 2 5 3" xfId="41946"/>
    <cellStyle name="Calculation 4 2 2 5 4" xfId="30688"/>
    <cellStyle name="Calculation 4 2 2 6" xfId="12854"/>
    <cellStyle name="Calculation 4 2 2 6 2" xfId="42218"/>
    <cellStyle name="Calculation 4 2 2 6 3" xfId="43553"/>
    <cellStyle name="Calculation 4 2 2 6 4" xfId="30492"/>
    <cellStyle name="Calculation 4 2 2 7" xfId="20185"/>
    <cellStyle name="Calculation 4 2 2 7 2" xfId="45707"/>
    <cellStyle name="Calculation 4 2 2 7 3" xfId="49613"/>
    <cellStyle name="Calculation 4 2 2 7 4" xfId="37653"/>
    <cellStyle name="Calculation 4 2 2 8" xfId="19224"/>
    <cellStyle name="Calculation 4 2 2 8 2" xfId="44746"/>
    <cellStyle name="Calculation 4 2 2 8 3" xfId="48652"/>
    <cellStyle name="Calculation 4 2 2 9" xfId="39720"/>
    <cellStyle name="Calculation 4 2 3" xfId="22879"/>
    <cellStyle name="Calculation 4 2 3 2" xfId="47584"/>
    <cellStyle name="Calculation 4 2 3 3" xfId="51399"/>
    <cellStyle name="Calculation 4 2 3 4" xfId="39004"/>
    <cellStyle name="Calculation 4 2 4" xfId="23041"/>
    <cellStyle name="Calculation 4 2 4 2" xfId="47628"/>
    <cellStyle name="Calculation 4 2 4 3" xfId="51439"/>
    <cellStyle name="Calculation 4 2 5" xfId="52932"/>
    <cellStyle name="Calculation 4 3" xfId="1468"/>
    <cellStyle name="Calculation 4 3 2" xfId="6981"/>
    <cellStyle name="Calculation 4 3 2 10" xfId="43629"/>
    <cellStyle name="Calculation 4 3 2 2" xfId="10508"/>
    <cellStyle name="Calculation 4 3 2 2 2" xfId="18295"/>
    <cellStyle name="Calculation 4 3 2 2 2 2" xfId="43827"/>
    <cellStyle name="Calculation 4 3 2 2 2 3" xfId="47736"/>
    <cellStyle name="Calculation 4 3 2 2 2 4" xfId="35918"/>
    <cellStyle name="Calculation 4 3 2 2 3" xfId="19904"/>
    <cellStyle name="Calculation 4 3 2 2 3 2" xfId="45426"/>
    <cellStyle name="Calculation 4 3 2 2 3 3" xfId="49332"/>
    <cellStyle name="Calculation 4 3 2 2 3 4" xfId="37404"/>
    <cellStyle name="Calculation 4 3 2 2 4" xfId="11907"/>
    <cellStyle name="Calculation 4 3 2 2 4 2" xfId="41748"/>
    <cellStyle name="Calculation 4 3 2 2 4 3" xfId="42545"/>
    <cellStyle name="Calculation 4 3 2 2 4 4" xfId="29576"/>
    <cellStyle name="Calculation 4 3 2 2 5" xfId="20708"/>
    <cellStyle name="Calculation 4 3 2 2 5 2" xfId="46230"/>
    <cellStyle name="Calculation 4 3 2 2 5 3" xfId="50136"/>
    <cellStyle name="Calculation 4 3 2 2 5 4" xfId="38100"/>
    <cellStyle name="Calculation 4 3 2 2 6" xfId="21361"/>
    <cellStyle name="Calculation 4 3 2 2 6 2" xfId="46883"/>
    <cellStyle name="Calculation 4 3 2 2 6 3" xfId="50789"/>
    <cellStyle name="Calculation 4 3 2 2 7" xfId="40686"/>
    <cellStyle name="Calculation 4 3 2 2 8" xfId="39477"/>
    <cellStyle name="Calculation 4 3 2 3" xfId="10803"/>
    <cellStyle name="Calculation 4 3 2 3 2" xfId="18590"/>
    <cellStyle name="Calculation 4 3 2 3 2 2" xfId="44122"/>
    <cellStyle name="Calculation 4 3 2 3 2 3" xfId="48031"/>
    <cellStyle name="Calculation 4 3 2 3 2 4" xfId="36213"/>
    <cellStyle name="Calculation 4 3 2 3 3" xfId="12158"/>
    <cellStyle name="Calculation 4 3 2 3 3 2" xfId="41883"/>
    <cellStyle name="Calculation 4 3 2 3 3 3" xfId="43457"/>
    <cellStyle name="Calculation 4 3 2 3 3 4" xfId="29816"/>
    <cellStyle name="Calculation 4 3 2 3 4" xfId="18946"/>
    <cellStyle name="Calculation 4 3 2 3 4 2" xfId="44468"/>
    <cellStyle name="Calculation 4 3 2 3 4 3" xfId="48374"/>
    <cellStyle name="Calculation 4 3 2 3 4 4" xfId="36558"/>
    <cellStyle name="Calculation 4 3 2 3 5" xfId="21003"/>
    <cellStyle name="Calculation 4 3 2 3 5 2" xfId="46525"/>
    <cellStyle name="Calculation 4 3 2 3 5 3" xfId="50431"/>
    <cellStyle name="Calculation 4 3 2 3 5 4" xfId="38395"/>
    <cellStyle name="Calculation 4 3 2 3 6" xfId="21656"/>
    <cellStyle name="Calculation 4 3 2 3 6 2" xfId="47178"/>
    <cellStyle name="Calculation 4 3 2 3 6 3" xfId="51084"/>
    <cellStyle name="Calculation 4 3 2 3 7" xfId="40981"/>
    <cellStyle name="Calculation 4 3 2 3 8" xfId="47487"/>
    <cellStyle name="Calculation 4 3 2 4" xfId="14763"/>
    <cellStyle name="Calculation 4 3 2 4 2" xfId="42861"/>
    <cellStyle name="Calculation 4 3 2 4 3" xfId="40136"/>
    <cellStyle name="Calculation 4 3 2 4 4" xfId="32384"/>
    <cellStyle name="Calculation 4 3 2 5" xfId="11271"/>
    <cellStyle name="Calculation 4 3 2 5 2" xfId="41298"/>
    <cellStyle name="Calculation 4 3 2 5 3" xfId="39336"/>
    <cellStyle name="Calculation 4 3 2 5 4" xfId="28985"/>
    <cellStyle name="Calculation 4 3 2 6" xfId="20110"/>
    <cellStyle name="Calculation 4 3 2 6 2" xfId="45632"/>
    <cellStyle name="Calculation 4 3 2 6 3" xfId="49538"/>
    <cellStyle name="Calculation 4 3 2 6 4" xfId="37582"/>
    <cellStyle name="Calculation 4 3 2 7" xfId="13905"/>
    <cellStyle name="Calculation 4 3 2 7 2" xfId="42621"/>
    <cellStyle name="Calculation 4 3 2 7 3" xfId="39039"/>
    <cellStyle name="Calculation 4 3 2 7 4" xfId="31528"/>
    <cellStyle name="Calculation 4 3 2 8" xfId="12489"/>
    <cellStyle name="Calculation 4 3 2 8 2" xfId="41983"/>
    <cellStyle name="Calculation 4 3 2 8 3" xfId="39636"/>
    <cellStyle name="Calculation 4 3 2 9" xfId="39721"/>
    <cellStyle name="Calculation 4 3 3" xfId="22281"/>
    <cellStyle name="Calculation 4 3 3 2" xfId="47497"/>
    <cellStyle name="Calculation 4 3 3 3" xfId="51352"/>
    <cellStyle name="Calculation 4 3 3 4" xfId="38803"/>
    <cellStyle name="Calculation 4 3 4" xfId="23018"/>
    <cellStyle name="Calculation 4 3 4 2" xfId="47605"/>
    <cellStyle name="Calculation 4 3 4 3" xfId="51416"/>
    <cellStyle name="Calculation 4 3 5" xfId="52933"/>
    <cellStyle name="Calculation 4 4" xfId="1469"/>
    <cellStyle name="Calculation 4 4 2" xfId="6982"/>
    <cellStyle name="Calculation 4 4 2 10" xfId="40487"/>
    <cellStyle name="Calculation 4 4 2 2" xfId="10509"/>
    <cellStyle name="Calculation 4 4 2 2 2" xfId="18296"/>
    <cellStyle name="Calculation 4 4 2 2 2 2" xfId="43828"/>
    <cellStyle name="Calculation 4 4 2 2 2 3" xfId="47737"/>
    <cellStyle name="Calculation 4 4 2 2 2 4" xfId="35919"/>
    <cellStyle name="Calculation 4 4 2 2 3" xfId="19127"/>
    <cellStyle name="Calculation 4 4 2 2 3 2" xfId="44649"/>
    <cellStyle name="Calculation 4 4 2 2 3 3" xfId="48555"/>
    <cellStyle name="Calculation 4 4 2 2 3 4" xfId="36708"/>
    <cellStyle name="Calculation 4 4 2 2 4" xfId="20115"/>
    <cellStyle name="Calculation 4 4 2 2 4 2" xfId="45637"/>
    <cellStyle name="Calculation 4 4 2 2 4 3" xfId="49543"/>
    <cellStyle name="Calculation 4 4 2 2 4 4" xfId="37587"/>
    <cellStyle name="Calculation 4 4 2 2 5" xfId="20709"/>
    <cellStyle name="Calculation 4 4 2 2 5 2" xfId="46231"/>
    <cellStyle name="Calculation 4 4 2 2 5 3" xfId="50137"/>
    <cellStyle name="Calculation 4 4 2 2 5 4" xfId="38101"/>
    <cellStyle name="Calculation 4 4 2 2 6" xfId="21362"/>
    <cellStyle name="Calculation 4 4 2 2 6 2" xfId="46884"/>
    <cellStyle name="Calculation 4 4 2 2 6 3" xfId="50790"/>
    <cellStyle name="Calculation 4 4 2 2 7" xfId="40687"/>
    <cellStyle name="Calculation 4 4 2 2 8" xfId="42051"/>
    <cellStyle name="Calculation 4 4 2 3" xfId="10804"/>
    <cellStyle name="Calculation 4 4 2 3 2" xfId="18591"/>
    <cellStyle name="Calculation 4 4 2 3 2 2" xfId="44123"/>
    <cellStyle name="Calculation 4 4 2 3 2 3" xfId="48032"/>
    <cellStyle name="Calculation 4 4 2 3 2 4" xfId="36214"/>
    <cellStyle name="Calculation 4 4 2 3 3" xfId="19580"/>
    <cellStyle name="Calculation 4 4 2 3 3 2" xfId="45102"/>
    <cellStyle name="Calculation 4 4 2 3 3 3" xfId="49008"/>
    <cellStyle name="Calculation 4 4 2 3 3 4" xfId="37106"/>
    <cellStyle name="Calculation 4 4 2 3 4" xfId="19232"/>
    <cellStyle name="Calculation 4 4 2 3 4 2" xfId="44754"/>
    <cellStyle name="Calculation 4 4 2 3 4 3" xfId="48660"/>
    <cellStyle name="Calculation 4 4 2 3 4 4" xfId="36796"/>
    <cellStyle name="Calculation 4 4 2 3 5" xfId="21004"/>
    <cellStyle name="Calculation 4 4 2 3 5 2" xfId="46526"/>
    <cellStyle name="Calculation 4 4 2 3 5 3" xfId="50432"/>
    <cellStyle name="Calculation 4 4 2 3 5 4" xfId="38396"/>
    <cellStyle name="Calculation 4 4 2 3 6" xfId="21657"/>
    <cellStyle name="Calculation 4 4 2 3 6 2" xfId="47179"/>
    <cellStyle name="Calculation 4 4 2 3 6 3" xfId="51085"/>
    <cellStyle name="Calculation 4 4 2 3 7" xfId="40982"/>
    <cellStyle name="Calculation 4 4 2 3 8" xfId="41403"/>
    <cellStyle name="Calculation 4 4 2 4" xfId="14764"/>
    <cellStyle name="Calculation 4 4 2 4 2" xfId="42862"/>
    <cellStyle name="Calculation 4 4 2 4 3" xfId="39250"/>
    <cellStyle name="Calculation 4 4 2 4 4" xfId="32385"/>
    <cellStyle name="Calculation 4 4 2 5" xfId="12455"/>
    <cellStyle name="Calculation 4 4 2 5 2" xfId="41957"/>
    <cellStyle name="Calculation 4 4 2 5 3" xfId="42541"/>
    <cellStyle name="Calculation 4 4 2 5 4" xfId="30112"/>
    <cellStyle name="Calculation 4 4 2 6" xfId="19657"/>
    <cellStyle name="Calculation 4 4 2 6 2" xfId="45179"/>
    <cellStyle name="Calculation 4 4 2 6 3" xfId="49085"/>
    <cellStyle name="Calculation 4 4 2 6 4" xfId="37177"/>
    <cellStyle name="Calculation 4 4 2 7" xfId="12393"/>
    <cellStyle name="Calculation 4 4 2 7 2" xfId="41940"/>
    <cellStyle name="Calculation 4 4 2 7 3" xfId="40315"/>
    <cellStyle name="Calculation 4 4 2 7 4" xfId="30050"/>
    <cellStyle name="Calculation 4 4 2 8" xfId="19058"/>
    <cellStyle name="Calculation 4 4 2 8 2" xfId="44580"/>
    <cellStyle name="Calculation 4 4 2 8 3" xfId="48486"/>
    <cellStyle name="Calculation 4 4 2 9" xfId="39722"/>
    <cellStyle name="Calculation 4 4 3" xfId="52934"/>
    <cellStyle name="Calculation 4 5" xfId="1470"/>
    <cellStyle name="Calculation 4 5 2" xfId="6983"/>
    <cellStyle name="Calculation 4 5 2 10" xfId="39597"/>
    <cellStyle name="Calculation 4 5 2 2" xfId="10510"/>
    <cellStyle name="Calculation 4 5 2 2 2" xfId="18297"/>
    <cellStyle name="Calculation 4 5 2 2 2 2" xfId="43829"/>
    <cellStyle name="Calculation 4 5 2 2 2 3" xfId="47738"/>
    <cellStyle name="Calculation 4 5 2 2 2 4" xfId="35920"/>
    <cellStyle name="Calculation 4 5 2 2 3" xfId="19749"/>
    <cellStyle name="Calculation 4 5 2 2 3 2" xfId="45271"/>
    <cellStyle name="Calculation 4 5 2 2 3 3" xfId="49177"/>
    <cellStyle name="Calculation 4 5 2 2 3 4" xfId="37262"/>
    <cellStyle name="Calculation 4 5 2 2 4" xfId="12642"/>
    <cellStyle name="Calculation 4 5 2 2 4 2" xfId="42102"/>
    <cellStyle name="Calculation 4 5 2 2 4 3" xfId="39633"/>
    <cellStyle name="Calculation 4 5 2 2 4 4" xfId="30293"/>
    <cellStyle name="Calculation 4 5 2 2 5" xfId="20710"/>
    <cellStyle name="Calculation 4 5 2 2 5 2" xfId="46232"/>
    <cellStyle name="Calculation 4 5 2 2 5 3" xfId="50138"/>
    <cellStyle name="Calculation 4 5 2 2 5 4" xfId="38102"/>
    <cellStyle name="Calculation 4 5 2 2 6" xfId="21363"/>
    <cellStyle name="Calculation 4 5 2 2 6 2" xfId="46885"/>
    <cellStyle name="Calculation 4 5 2 2 6 3" xfId="50791"/>
    <cellStyle name="Calculation 4 5 2 2 7" xfId="40688"/>
    <cellStyle name="Calculation 4 5 2 2 8" xfId="43370"/>
    <cellStyle name="Calculation 4 5 2 3" xfId="10805"/>
    <cellStyle name="Calculation 4 5 2 3 2" xfId="18592"/>
    <cellStyle name="Calculation 4 5 2 3 2 2" xfId="44124"/>
    <cellStyle name="Calculation 4 5 2 3 2 3" xfId="48033"/>
    <cellStyle name="Calculation 4 5 2 3 2 4" xfId="36215"/>
    <cellStyle name="Calculation 4 5 2 3 3" xfId="20132"/>
    <cellStyle name="Calculation 4 5 2 3 3 2" xfId="45654"/>
    <cellStyle name="Calculation 4 5 2 3 3 3" xfId="49560"/>
    <cellStyle name="Calculation 4 5 2 3 3 4" xfId="37604"/>
    <cellStyle name="Calculation 4 5 2 3 4" xfId="11536"/>
    <cellStyle name="Calculation 4 5 2 3 4 2" xfId="41527"/>
    <cellStyle name="Calculation 4 5 2 3 4 3" xfId="40433"/>
    <cellStyle name="Calculation 4 5 2 3 4 4" xfId="29236"/>
    <cellStyle name="Calculation 4 5 2 3 5" xfId="21005"/>
    <cellStyle name="Calculation 4 5 2 3 5 2" xfId="46527"/>
    <cellStyle name="Calculation 4 5 2 3 5 3" xfId="50433"/>
    <cellStyle name="Calculation 4 5 2 3 5 4" xfId="38397"/>
    <cellStyle name="Calculation 4 5 2 3 6" xfId="21658"/>
    <cellStyle name="Calculation 4 5 2 3 6 2" xfId="47180"/>
    <cellStyle name="Calculation 4 5 2 3 6 3" xfId="51086"/>
    <cellStyle name="Calculation 4 5 2 3 7" xfId="40983"/>
    <cellStyle name="Calculation 4 5 2 3 8" xfId="43206"/>
    <cellStyle name="Calculation 4 5 2 4" xfId="14765"/>
    <cellStyle name="Calculation 4 5 2 4 2" xfId="42863"/>
    <cellStyle name="Calculation 4 5 2 4 3" xfId="41924"/>
    <cellStyle name="Calculation 4 5 2 4 4" xfId="32386"/>
    <cellStyle name="Calculation 4 5 2 5" xfId="11272"/>
    <cellStyle name="Calculation 4 5 2 5 2" xfId="41299"/>
    <cellStyle name="Calculation 4 5 2 5 3" xfId="39150"/>
    <cellStyle name="Calculation 4 5 2 5 4" xfId="28986"/>
    <cellStyle name="Calculation 4 5 2 6" xfId="11444"/>
    <cellStyle name="Calculation 4 5 2 6 2" xfId="41435"/>
    <cellStyle name="Calculation 4 5 2 6 3" xfId="43191"/>
    <cellStyle name="Calculation 4 5 2 6 4" xfId="29150"/>
    <cellStyle name="Calculation 4 5 2 7" xfId="12638"/>
    <cellStyle name="Calculation 4 5 2 7 2" xfId="42098"/>
    <cellStyle name="Calculation 4 5 2 7 3" xfId="40032"/>
    <cellStyle name="Calculation 4 5 2 7 4" xfId="30289"/>
    <cellStyle name="Calculation 4 5 2 8" xfId="12798"/>
    <cellStyle name="Calculation 4 5 2 8 2" xfId="42194"/>
    <cellStyle name="Calculation 4 5 2 8 3" xfId="43445"/>
    <cellStyle name="Calculation 4 5 2 9" xfId="39723"/>
    <cellStyle name="Calculation 4 6" xfId="4156"/>
    <cellStyle name="Calculation 4 6 2" xfId="6984"/>
    <cellStyle name="Calculation 4 6 2 10" xfId="42605"/>
    <cellStyle name="Calculation 4 6 2 2" xfId="10511"/>
    <cellStyle name="Calculation 4 6 2 2 2" xfId="18298"/>
    <cellStyle name="Calculation 4 6 2 2 2 2" xfId="43830"/>
    <cellStyle name="Calculation 4 6 2 2 2 3" xfId="47739"/>
    <cellStyle name="Calculation 4 6 2 2 2 4" xfId="35921"/>
    <cellStyle name="Calculation 4 6 2 2 3" xfId="12612"/>
    <cellStyle name="Calculation 4 6 2 2 3 2" xfId="42072"/>
    <cellStyle name="Calculation 4 6 2 2 3 3" xfId="43307"/>
    <cellStyle name="Calculation 4 6 2 2 3 4" xfId="30263"/>
    <cellStyle name="Calculation 4 6 2 2 4" xfId="19367"/>
    <cellStyle name="Calculation 4 6 2 2 4 2" xfId="44889"/>
    <cellStyle name="Calculation 4 6 2 2 4 3" xfId="48795"/>
    <cellStyle name="Calculation 4 6 2 2 4 4" xfId="36919"/>
    <cellStyle name="Calculation 4 6 2 2 5" xfId="20711"/>
    <cellStyle name="Calculation 4 6 2 2 5 2" xfId="46233"/>
    <cellStyle name="Calculation 4 6 2 2 5 3" xfId="50139"/>
    <cellStyle name="Calculation 4 6 2 2 5 4" xfId="38103"/>
    <cellStyle name="Calculation 4 6 2 2 6" xfId="21364"/>
    <cellStyle name="Calculation 4 6 2 2 6 2" xfId="46886"/>
    <cellStyle name="Calculation 4 6 2 2 6 3" xfId="50792"/>
    <cellStyle name="Calculation 4 6 2 2 7" xfId="40689"/>
    <cellStyle name="Calculation 4 6 2 2 8" xfId="40232"/>
    <cellStyle name="Calculation 4 6 2 3" xfId="10806"/>
    <cellStyle name="Calculation 4 6 2 3 2" xfId="18593"/>
    <cellStyle name="Calculation 4 6 2 3 2 2" xfId="44125"/>
    <cellStyle name="Calculation 4 6 2 3 2 3" xfId="48034"/>
    <cellStyle name="Calculation 4 6 2 3 2 4" xfId="36216"/>
    <cellStyle name="Calculation 4 6 2 3 3" xfId="19391"/>
    <cellStyle name="Calculation 4 6 2 3 3 2" xfId="44913"/>
    <cellStyle name="Calculation 4 6 2 3 3 3" xfId="48819"/>
    <cellStyle name="Calculation 4 6 2 3 3 4" xfId="36942"/>
    <cellStyle name="Calculation 4 6 2 3 4" xfId="11817"/>
    <cellStyle name="Calculation 4 6 2 3 4 2" xfId="41735"/>
    <cellStyle name="Calculation 4 6 2 3 4 3" xfId="43178"/>
    <cellStyle name="Calculation 4 6 2 3 4 4" xfId="29488"/>
    <cellStyle name="Calculation 4 6 2 3 5" xfId="21006"/>
    <cellStyle name="Calculation 4 6 2 3 5 2" xfId="46528"/>
    <cellStyle name="Calculation 4 6 2 3 5 3" xfId="50434"/>
    <cellStyle name="Calculation 4 6 2 3 5 4" xfId="38398"/>
    <cellStyle name="Calculation 4 6 2 3 6" xfId="21659"/>
    <cellStyle name="Calculation 4 6 2 3 6 2" xfId="47181"/>
    <cellStyle name="Calculation 4 6 2 3 6 3" xfId="51087"/>
    <cellStyle name="Calculation 4 6 2 3 7" xfId="40984"/>
    <cellStyle name="Calculation 4 6 2 3 8" xfId="40065"/>
    <cellStyle name="Calculation 4 6 2 4" xfId="14766"/>
    <cellStyle name="Calculation 4 6 2 4 2" xfId="42864"/>
    <cellStyle name="Calculation 4 6 2 4 3" xfId="43278"/>
    <cellStyle name="Calculation 4 6 2 4 4" xfId="32387"/>
    <cellStyle name="Calculation 4 6 2 5" xfId="13054"/>
    <cellStyle name="Calculation 4 6 2 5 2" xfId="42256"/>
    <cellStyle name="Calculation 4 6 2 5 3" xfId="43294"/>
    <cellStyle name="Calculation 4 6 2 5 4" xfId="30689"/>
    <cellStyle name="Calculation 4 6 2 6" xfId="19618"/>
    <cellStyle name="Calculation 4 6 2 6 2" xfId="45140"/>
    <cellStyle name="Calculation 4 6 2 6 3" xfId="49046"/>
    <cellStyle name="Calculation 4 6 2 6 4" xfId="37143"/>
    <cellStyle name="Calculation 4 6 2 7" xfId="19379"/>
    <cellStyle name="Calculation 4 6 2 7 2" xfId="44901"/>
    <cellStyle name="Calculation 4 6 2 7 3" xfId="48807"/>
    <cellStyle name="Calculation 4 6 2 7 4" xfId="36930"/>
    <cellStyle name="Calculation 4 6 2 8" xfId="12650"/>
    <cellStyle name="Calculation 4 6 2 8 2" xfId="42110"/>
    <cellStyle name="Calculation 4 6 2 8 3" xfId="39425"/>
    <cellStyle name="Calculation 4 6 2 9" xfId="39724"/>
    <cellStyle name="Calculation 4 7" xfId="4157"/>
    <cellStyle name="Calculation 4 7 2" xfId="6985"/>
    <cellStyle name="Calculation 4 7 2 10" xfId="43518"/>
    <cellStyle name="Calculation 4 7 2 2" xfId="10512"/>
    <cellStyle name="Calculation 4 7 2 2 2" xfId="18299"/>
    <cellStyle name="Calculation 4 7 2 2 2 2" xfId="43831"/>
    <cellStyle name="Calculation 4 7 2 2 2 3" xfId="47740"/>
    <cellStyle name="Calculation 4 7 2 2 2 4" xfId="35922"/>
    <cellStyle name="Calculation 4 7 2 2 3" xfId="12150"/>
    <cellStyle name="Calculation 4 7 2 2 3 2" xfId="41875"/>
    <cellStyle name="Calculation 4 7 2 2 3 3" xfId="43670"/>
    <cellStyle name="Calculation 4 7 2 2 3 4" xfId="29808"/>
    <cellStyle name="Calculation 4 7 2 2 4" xfId="12750"/>
    <cellStyle name="Calculation 4 7 2 2 4 2" xfId="42176"/>
    <cellStyle name="Calculation 4 7 2 2 4 3" xfId="43301"/>
    <cellStyle name="Calculation 4 7 2 2 4 4" xfId="30394"/>
    <cellStyle name="Calculation 4 7 2 2 5" xfId="20712"/>
    <cellStyle name="Calculation 4 7 2 2 5 2" xfId="46234"/>
    <cellStyle name="Calculation 4 7 2 2 5 3" xfId="50140"/>
    <cellStyle name="Calculation 4 7 2 2 5 4" xfId="38104"/>
    <cellStyle name="Calculation 4 7 2 2 6" xfId="21365"/>
    <cellStyle name="Calculation 4 7 2 2 6 2" xfId="46887"/>
    <cellStyle name="Calculation 4 7 2 2 6 3" xfId="50793"/>
    <cellStyle name="Calculation 4 7 2 2 7" xfId="40690"/>
    <cellStyle name="Calculation 4 7 2 2 8" xfId="39372"/>
    <cellStyle name="Calculation 4 7 2 3" xfId="10807"/>
    <cellStyle name="Calculation 4 7 2 3 2" xfId="18594"/>
    <cellStyle name="Calculation 4 7 2 3 2 2" xfId="44126"/>
    <cellStyle name="Calculation 4 7 2 3 2 3" xfId="48035"/>
    <cellStyle name="Calculation 4 7 2 3 2 4" xfId="36217"/>
    <cellStyle name="Calculation 4 7 2 3 3" xfId="19998"/>
    <cellStyle name="Calculation 4 7 2 3 3 2" xfId="45520"/>
    <cellStyle name="Calculation 4 7 2 3 3 3" xfId="49426"/>
    <cellStyle name="Calculation 4 7 2 3 3 4" xfId="37482"/>
    <cellStyle name="Calculation 4 7 2 3 4" xfId="11877"/>
    <cellStyle name="Calculation 4 7 2 3 4 2" xfId="41747"/>
    <cellStyle name="Calculation 4 7 2 3 4 3" xfId="43672"/>
    <cellStyle name="Calculation 4 7 2 3 4 4" xfId="29546"/>
    <cellStyle name="Calculation 4 7 2 3 5" xfId="21007"/>
    <cellStyle name="Calculation 4 7 2 3 5 2" xfId="46529"/>
    <cellStyle name="Calculation 4 7 2 3 5 3" xfId="50435"/>
    <cellStyle name="Calculation 4 7 2 3 5 4" xfId="38399"/>
    <cellStyle name="Calculation 4 7 2 3 6" xfId="21660"/>
    <cellStyle name="Calculation 4 7 2 3 6 2" xfId="47182"/>
    <cellStyle name="Calculation 4 7 2 3 6 3" xfId="51088"/>
    <cellStyle name="Calculation 4 7 2 3 7" xfId="40985"/>
    <cellStyle name="Calculation 4 7 2 3 8" xfId="42813"/>
    <cellStyle name="Calculation 4 7 2 4" xfId="14767"/>
    <cellStyle name="Calculation 4 7 2 4 2" xfId="42865"/>
    <cellStyle name="Calculation 4 7 2 4 3" xfId="40137"/>
    <cellStyle name="Calculation 4 7 2 4 4" xfId="32388"/>
    <cellStyle name="Calculation 4 7 2 5" xfId="13055"/>
    <cellStyle name="Calculation 4 7 2 5 2" xfId="42257"/>
    <cellStyle name="Calculation 4 7 2 5 3" xfId="40154"/>
    <cellStyle name="Calculation 4 7 2 5 4" xfId="30690"/>
    <cellStyle name="Calculation 4 7 2 6" xfId="12029"/>
    <cellStyle name="Calculation 4 7 2 6 2" xfId="41765"/>
    <cellStyle name="Calculation 4 7 2 6 3" xfId="42781"/>
    <cellStyle name="Calculation 4 7 2 6 4" xfId="29694"/>
    <cellStyle name="Calculation 4 7 2 7" xfId="19849"/>
    <cellStyle name="Calculation 4 7 2 7 2" xfId="45371"/>
    <cellStyle name="Calculation 4 7 2 7 3" xfId="49277"/>
    <cellStyle name="Calculation 4 7 2 7 4" xfId="37349"/>
    <cellStyle name="Calculation 4 7 2 8" xfId="18920"/>
    <cellStyle name="Calculation 4 7 2 8 2" xfId="44442"/>
    <cellStyle name="Calculation 4 7 2 8 3" xfId="48348"/>
    <cellStyle name="Calculation 4 7 2 9" xfId="39725"/>
    <cellStyle name="Calculation 4 8" xfId="4158"/>
    <cellStyle name="Calculation 4 8 2" xfId="10452"/>
    <cellStyle name="Calculation 4 8 2 2" xfId="18239"/>
    <cellStyle name="Calculation 4 8 2 2 2" xfId="43771"/>
    <cellStyle name="Calculation 4 8 2 2 3" xfId="47680"/>
    <cellStyle name="Calculation 4 8 2 2 4" xfId="35862"/>
    <cellStyle name="Calculation 4 8 2 3" xfId="19133"/>
    <cellStyle name="Calculation 4 8 2 3 2" xfId="44655"/>
    <cellStyle name="Calculation 4 8 2 3 3" xfId="48561"/>
    <cellStyle name="Calculation 4 8 2 3 4" xfId="36714"/>
    <cellStyle name="Calculation 4 8 2 4" xfId="19346"/>
    <cellStyle name="Calculation 4 8 2 4 2" xfId="44868"/>
    <cellStyle name="Calculation 4 8 2 4 3" xfId="48774"/>
    <cellStyle name="Calculation 4 8 2 4 4" xfId="36901"/>
    <cellStyle name="Calculation 4 8 2 5" xfId="20652"/>
    <cellStyle name="Calculation 4 8 2 5 2" xfId="46174"/>
    <cellStyle name="Calculation 4 8 2 5 3" xfId="50080"/>
    <cellStyle name="Calculation 4 8 2 5 4" xfId="38044"/>
    <cellStyle name="Calculation 4 8 2 6" xfId="21305"/>
    <cellStyle name="Calculation 4 8 2 6 2" xfId="46827"/>
    <cellStyle name="Calculation 4 8 2 6 3" xfId="50733"/>
    <cellStyle name="Calculation 4 8 2 7" xfId="40630"/>
    <cellStyle name="Calculation 4 8 2 8" xfId="40080"/>
    <cellStyle name="Calculation 4 8 3" xfId="8455"/>
    <cellStyle name="Calculation 4 8 3 2" xfId="16245"/>
    <cellStyle name="Calculation 4 8 3 2 2" xfId="43380"/>
    <cellStyle name="Calculation 4 8 3 2 3" xfId="42744"/>
    <cellStyle name="Calculation 4 8 3 2 4" xfId="33866"/>
    <cellStyle name="Calculation 4 8 3 3" xfId="11442"/>
    <cellStyle name="Calculation 4 8 3 3 2" xfId="41433"/>
    <cellStyle name="Calculation 4 8 3 3 3" xfId="39331"/>
    <cellStyle name="Calculation 4 8 3 3 4" xfId="29148"/>
    <cellStyle name="Calculation 4 8 3 4" xfId="19841"/>
    <cellStyle name="Calculation 4 8 3 4 2" xfId="45363"/>
    <cellStyle name="Calculation 4 8 3 4 3" xfId="49269"/>
    <cellStyle name="Calculation 4 8 3 4 4" xfId="37343"/>
    <cellStyle name="Calculation 4 8 3 5" xfId="18988"/>
    <cellStyle name="Calculation 4 8 3 5 2" xfId="44510"/>
    <cellStyle name="Calculation 4 8 3 5 3" xfId="48416"/>
    <cellStyle name="Calculation 4 8 3 5 4" xfId="36596"/>
    <cellStyle name="Calculation 4 8 3 6" xfId="11596"/>
    <cellStyle name="Calculation 4 8 3 6 2" xfId="41587"/>
    <cellStyle name="Calculation 4 8 3 6 3" xfId="40325"/>
    <cellStyle name="Calculation 4 8 3 7" xfId="40242"/>
    <cellStyle name="Calculation 4 8 3 8" xfId="39204"/>
    <cellStyle name="Calculation 4 9" xfId="6979"/>
    <cellStyle name="Calculation 4 9 10" xfId="39941"/>
    <cellStyle name="Calculation 4 9 2" xfId="10506"/>
    <cellStyle name="Calculation 4 9 2 2" xfId="18293"/>
    <cellStyle name="Calculation 4 9 2 2 2" xfId="43825"/>
    <cellStyle name="Calculation 4 9 2 2 3" xfId="47734"/>
    <cellStyle name="Calculation 4 9 2 2 4" xfId="35916"/>
    <cellStyle name="Calculation 4 9 2 3" xfId="20029"/>
    <cellStyle name="Calculation 4 9 2 3 2" xfId="45551"/>
    <cellStyle name="Calculation 4 9 2 3 3" xfId="49457"/>
    <cellStyle name="Calculation 4 9 2 3 4" xfId="37513"/>
    <cellStyle name="Calculation 4 9 2 4" xfId="19315"/>
    <cellStyle name="Calculation 4 9 2 4 2" xfId="44837"/>
    <cellStyle name="Calculation 4 9 2 4 3" xfId="48743"/>
    <cellStyle name="Calculation 4 9 2 4 4" xfId="36877"/>
    <cellStyle name="Calculation 4 9 2 5" xfId="20706"/>
    <cellStyle name="Calculation 4 9 2 5 2" xfId="46228"/>
    <cellStyle name="Calculation 4 9 2 5 3" xfId="50134"/>
    <cellStyle name="Calculation 4 9 2 5 4" xfId="38098"/>
    <cellStyle name="Calculation 4 9 2 6" xfId="21359"/>
    <cellStyle name="Calculation 4 9 2 6 2" xfId="46881"/>
    <cellStyle name="Calculation 4 9 2 6 3" xfId="50787"/>
    <cellStyle name="Calculation 4 9 2 7" xfId="40684"/>
    <cellStyle name="Calculation 4 9 2 8" xfId="43502"/>
    <cellStyle name="Calculation 4 9 3" xfId="10801"/>
    <cellStyle name="Calculation 4 9 3 2" xfId="18588"/>
    <cellStyle name="Calculation 4 9 3 2 2" xfId="44120"/>
    <cellStyle name="Calculation 4 9 3 2 3" xfId="48029"/>
    <cellStyle name="Calculation 4 9 3 2 4" xfId="36211"/>
    <cellStyle name="Calculation 4 9 3 3" xfId="19713"/>
    <cellStyle name="Calculation 4 9 3 3 2" xfId="45235"/>
    <cellStyle name="Calculation 4 9 3 3 3" xfId="49141"/>
    <cellStyle name="Calculation 4 9 3 3 4" xfId="37226"/>
    <cellStyle name="Calculation 4 9 3 4" xfId="11218"/>
    <cellStyle name="Calculation 4 9 3 4 2" xfId="41277"/>
    <cellStyle name="Calculation 4 9 3 4 3" xfId="40549"/>
    <cellStyle name="Calculation 4 9 3 4 4" xfId="28932"/>
    <cellStyle name="Calculation 4 9 3 5" xfId="21001"/>
    <cellStyle name="Calculation 4 9 3 5 2" xfId="46523"/>
    <cellStyle name="Calculation 4 9 3 5 3" xfId="50429"/>
    <cellStyle name="Calculation 4 9 3 5 4" xfId="38393"/>
    <cellStyle name="Calculation 4 9 3 6" xfId="21654"/>
    <cellStyle name="Calculation 4 9 3 6 2" xfId="47176"/>
    <cellStyle name="Calculation 4 9 3 6 3" xfId="51082"/>
    <cellStyle name="Calculation 4 9 3 7" xfId="40979"/>
    <cellStyle name="Calculation 4 9 3 8" xfId="39355"/>
    <cellStyle name="Calculation 4 9 4" xfId="14761"/>
    <cellStyle name="Calculation 4 9 4 2" xfId="42859"/>
    <cellStyle name="Calculation 4 9 4 3" xfId="41923"/>
    <cellStyle name="Calculation 4 9 4 4" xfId="32382"/>
    <cellStyle name="Calculation 4 9 5" xfId="13052"/>
    <cellStyle name="Calculation 4 9 5 2" xfId="42254"/>
    <cellStyle name="Calculation 4 9 5 3" xfId="39275"/>
    <cellStyle name="Calculation 4 9 5 4" xfId="30687"/>
    <cellStyle name="Calculation 4 9 6" xfId="19629"/>
    <cellStyle name="Calculation 4 9 6 2" xfId="45151"/>
    <cellStyle name="Calculation 4 9 6 3" xfId="49057"/>
    <cellStyle name="Calculation 4 9 6 4" xfId="37151"/>
    <cellStyle name="Calculation 4 9 7" xfId="20506"/>
    <cellStyle name="Calculation 4 9 7 2" xfId="46028"/>
    <cellStyle name="Calculation 4 9 7 3" xfId="49934"/>
    <cellStyle name="Calculation 4 9 7 4" xfId="37925"/>
    <cellStyle name="Calculation 4 9 8" xfId="11337"/>
    <cellStyle name="Calculation 4 9 8 2" xfId="41356"/>
    <cellStyle name="Calculation 4 9 8 3" xfId="39656"/>
    <cellStyle name="Calculation 4 9 9" xfId="39719"/>
    <cellStyle name="Calculation 5" xfId="1471"/>
    <cellStyle name="Calculation 5 2" xfId="4159"/>
    <cellStyle name="Calculation 5 3" xfId="4160"/>
    <cellStyle name="Calculation 5 3 2" xfId="10453"/>
    <cellStyle name="Calculation 5 3 2 2" xfId="18240"/>
    <cellStyle name="Calculation 5 3 2 2 2" xfId="43772"/>
    <cellStyle name="Calculation 5 3 2 2 3" xfId="47681"/>
    <cellStyle name="Calculation 5 3 2 2 4" xfId="35863"/>
    <cellStyle name="Calculation 5 3 2 3" xfId="19758"/>
    <cellStyle name="Calculation 5 3 2 3 2" xfId="45280"/>
    <cellStyle name="Calculation 5 3 2 3 3" xfId="49186"/>
    <cellStyle name="Calculation 5 3 2 3 4" xfId="37271"/>
    <cellStyle name="Calculation 5 3 2 4" xfId="12641"/>
    <cellStyle name="Calculation 5 3 2 4 2" xfId="42101"/>
    <cellStyle name="Calculation 5 3 2 4 3" xfId="40523"/>
    <cellStyle name="Calculation 5 3 2 4 4" xfId="30292"/>
    <cellStyle name="Calculation 5 3 2 5" xfId="20653"/>
    <cellStyle name="Calculation 5 3 2 5 2" xfId="46175"/>
    <cellStyle name="Calculation 5 3 2 5 3" xfId="50081"/>
    <cellStyle name="Calculation 5 3 2 5 4" xfId="38045"/>
    <cellStyle name="Calculation 5 3 2 6" xfId="21306"/>
    <cellStyle name="Calculation 5 3 2 6 2" xfId="46828"/>
    <cellStyle name="Calculation 5 3 2 6 3" xfId="50734"/>
    <cellStyle name="Calculation 5 3 2 7" xfId="40631"/>
    <cellStyle name="Calculation 5 3 2 8" xfId="42830"/>
    <cellStyle name="Calculation 5 3 3" xfId="8456"/>
    <cellStyle name="Calculation 5 3 3 2" xfId="16246"/>
    <cellStyle name="Calculation 5 3 3 2 2" xfId="43381"/>
    <cellStyle name="Calculation 5 3 3 2 3" xfId="43632"/>
    <cellStyle name="Calculation 5 3 3 2 4" xfId="33867"/>
    <cellStyle name="Calculation 5 3 3 3" xfId="11443"/>
    <cellStyle name="Calculation 5 3 3 3 2" xfId="41434"/>
    <cellStyle name="Calculation 5 3 3 3 3" xfId="41370"/>
    <cellStyle name="Calculation 5 3 3 3 4" xfId="29149"/>
    <cellStyle name="Calculation 5 3 3 4" xfId="19815"/>
    <cellStyle name="Calculation 5 3 3 4 2" xfId="45337"/>
    <cellStyle name="Calculation 5 3 3 4 3" xfId="49243"/>
    <cellStyle name="Calculation 5 3 3 4 4" xfId="37319"/>
    <cellStyle name="Calculation 5 3 3 5" xfId="20342"/>
    <cellStyle name="Calculation 5 3 3 5 2" xfId="45864"/>
    <cellStyle name="Calculation 5 3 3 5 3" xfId="49770"/>
    <cellStyle name="Calculation 5 3 3 5 4" xfId="37784"/>
    <cellStyle name="Calculation 5 3 3 6" xfId="19846"/>
    <cellStyle name="Calculation 5 3 3 6 2" xfId="45368"/>
    <cellStyle name="Calculation 5 3 3 6 3" xfId="49274"/>
    <cellStyle name="Calculation 5 3 3 7" xfId="40243"/>
    <cellStyle name="Calculation 5 3 3 8" xfId="39203"/>
    <cellStyle name="Calculation 5 3 4" xfId="22282"/>
    <cellStyle name="Calculation 5 3 4 2" xfId="47498"/>
    <cellStyle name="Calculation 5 3 4 3" xfId="51353"/>
    <cellStyle name="Calculation 5 3 4 4" xfId="38804"/>
    <cellStyle name="Calculation 5 3 5" xfId="23019"/>
    <cellStyle name="Calculation 5 3 5 2" xfId="47606"/>
    <cellStyle name="Calculation 5 3 5 3" xfId="51417"/>
    <cellStyle name="Calculation 5 3 6" xfId="52936"/>
    <cellStyle name="Calculation 5 4" xfId="52937"/>
    <cellStyle name="Calculation 5 5" xfId="52935"/>
    <cellStyle name="Calculation 6" xfId="1472"/>
    <cellStyle name="Calculation 6 2" xfId="22880"/>
    <cellStyle name="Calculation 6 3" xfId="22283"/>
    <cellStyle name="Calculation 6 3 2" xfId="23020"/>
    <cellStyle name="Calculation 6 3 2 2" xfId="47607"/>
    <cellStyle name="Calculation 6 3 2 3" xfId="51418"/>
    <cellStyle name="Calculation 6 3 3" xfId="47499"/>
    <cellStyle name="Calculation 6 3 4" xfId="51354"/>
    <cellStyle name="Calculation 6 3 5" xfId="52939"/>
    <cellStyle name="Calculation 6 4" xfId="52940"/>
    <cellStyle name="Calculation 6 5" xfId="52938"/>
    <cellStyle name="Calculation 7" xfId="1473"/>
    <cellStyle name="Calculation 7 2" xfId="22284"/>
    <cellStyle name="Calculation 8" xfId="1474"/>
    <cellStyle name="Calculation 8 2" xfId="22286"/>
    <cellStyle name="Calculation 8 3" xfId="22285"/>
    <cellStyle name="Calculation 9" xfId="1475"/>
    <cellStyle name="Calculation 9 2" xfId="22287"/>
    <cellStyle name="Check Cell" xfId="158" builtinId="23" customBuiltin="1"/>
    <cellStyle name="Check Cell 2" xfId="79"/>
    <cellStyle name="Check Cell 2 10" xfId="1477"/>
    <cellStyle name="Check Cell 2 11" xfId="1478"/>
    <cellStyle name="Check Cell 2 12" xfId="1479"/>
    <cellStyle name="Check Cell 2 13" xfId="1480"/>
    <cellStyle name="Check Cell 2 14" xfId="1481"/>
    <cellStyle name="Check Cell 2 15" xfId="4161"/>
    <cellStyle name="Check Cell 2 16" xfId="4162"/>
    <cellStyle name="Check Cell 2 17" xfId="4163"/>
    <cellStyle name="Check Cell 2 18" xfId="1476"/>
    <cellStyle name="Check Cell 2 2" xfId="1482"/>
    <cellStyle name="Check Cell 2 2 2" xfId="1483"/>
    <cellStyle name="Check Cell 2 2 3" xfId="1484"/>
    <cellStyle name="Check Cell 2 2 4" xfId="4164"/>
    <cellStyle name="Check Cell 2 2 5" xfId="4165"/>
    <cellStyle name="Check Cell 2 2_Sheet1" xfId="1485"/>
    <cellStyle name="Check Cell 2 3" xfId="1486"/>
    <cellStyle name="Check Cell 2 4" xfId="1487"/>
    <cellStyle name="Check Cell 2 5" xfId="1488"/>
    <cellStyle name="Check Cell 2 6" xfId="1489"/>
    <cellStyle name="Check Cell 2 7" xfId="1490"/>
    <cellStyle name="Check Cell 2 8" xfId="1491"/>
    <cellStyle name="Check Cell 2 9" xfId="1492"/>
    <cellStyle name="Check Cell 2_BallGrid" xfId="1493"/>
    <cellStyle name="Check Cell 3" xfId="80"/>
    <cellStyle name="Check Cell 3 2" xfId="1494"/>
    <cellStyle name="Check Cell 3 2 2" xfId="22289"/>
    <cellStyle name="Check Cell 3 3" xfId="1495"/>
    <cellStyle name="Check Cell 3 4" xfId="4166"/>
    <cellStyle name="Check Cell 4" xfId="81"/>
    <cellStyle name="Check Cell 4 2" xfId="1496"/>
    <cellStyle name="Check Cell 4 3" xfId="1497"/>
    <cellStyle name="Check Cell 4 4" xfId="4167"/>
    <cellStyle name="Check Cell 4 5" xfId="4168"/>
    <cellStyle name="Check Cell 5" xfId="1498"/>
    <cellStyle name="Check Cell 5 2" xfId="4169"/>
    <cellStyle name="Check Cell 5 3" xfId="4170"/>
    <cellStyle name="Check Cell 5 4" xfId="22290"/>
    <cellStyle name="Check Cell 6" xfId="22291"/>
    <cellStyle name="Check Cell 7" xfId="22292"/>
    <cellStyle name="Check Cell 8" xfId="22288"/>
    <cellStyle name="Explanatory Text" xfId="161" builtinId="53" customBuiltin="1"/>
    <cellStyle name="Explanatory Text 2" xfId="82"/>
    <cellStyle name="Explanatory Text 2 10" xfId="1500"/>
    <cellStyle name="Explanatory Text 2 11" xfId="1501"/>
    <cellStyle name="Explanatory Text 2 12" xfId="1502"/>
    <cellStyle name="Explanatory Text 2 13" xfId="1503"/>
    <cellStyle name="Explanatory Text 2 13 2" xfId="22294"/>
    <cellStyle name="Explanatory Text 2 14" xfId="1504"/>
    <cellStyle name="Explanatory Text 2 14 2" xfId="52941"/>
    <cellStyle name="Explanatory Text 2 15" xfId="4171"/>
    <cellStyle name="Explanatory Text 2 16" xfId="4172"/>
    <cellStyle name="Explanatory Text 2 17" xfId="4173"/>
    <cellStyle name="Explanatory Text 2 18" xfId="1499"/>
    <cellStyle name="Explanatory Text 2 2" xfId="1505"/>
    <cellStyle name="Explanatory Text 2 2 2" xfId="1506"/>
    <cellStyle name="Explanatory Text 2 2 3" xfId="1507"/>
    <cellStyle name="Explanatory Text 2 2 3 2" xfId="22883"/>
    <cellStyle name="Explanatory Text 2 2 4" xfId="4174"/>
    <cellStyle name="Explanatory Text 2 2 4 2" xfId="22295"/>
    <cellStyle name="Explanatory Text 2 2 5" xfId="4175"/>
    <cellStyle name="Explanatory Text 2 2_Sheet1" xfId="1508"/>
    <cellStyle name="Explanatory Text 2 3" xfId="1509"/>
    <cellStyle name="Explanatory Text 2 3 2" xfId="22884"/>
    <cellStyle name="Explanatory Text 2 3 3" xfId="22296"/>
    <cellStyle name="Explanatory Text 2 4" xfId="1510"/>
    <cellStyle name="Explanatory Text 2 5" xfId="1511"/>
    <cellStyle name="Explanatory Text 2 6" xfId="1512"/>
    <cellStyle name="Explanatory Text 2 7" xfId="1513"/>
    <cellStyle name="Explanatory Text 2 8" xfId="1514"/>
    <cellStyle name="Explanatory Text 2 9" xfId="1515"/>
    <cellStyle name="Explanatory Text 2_BallGrid" xfId="1516"/>
    <cellStyle name="Explanatory Text 3" xfId="83"/>
    <cellStyle name="Explanatory Text 3 2" xfId="1517"/>
    <cellStyle name="Explanatory Text 3 2 2" xfId="22297"/>
    <cellStyle name="Explanatory Text 3 3" xfId="1518"/>
    <cellStyle name="Explanatory Text 3 4" xfId="4176"/>
    <cellStyle name="Explanatory Text 4" xfId="84"/>
    <cellStyle name="Explanatory Text 4 2" xfId="1519"/>
    <cellStyle name="Explanatory Text 4 3" xfId="1520"/>
    <cellStyle name="Explanatory Text 4 4" xfId="4177"/>
    <cellStyle name="Explanatory Text 4 5" xfId="4178"/>
    <cellStyle name="Explanatory Text 5" xfId="1521"/>
    <cellStyle name="Explanatory Text 5 2" xfId="4179"/>
    <cellStyle name="Explanatory Text 5 3" xfId="4180"/>
    <cellStyle name="Explanatory Text 5 4" xfId="22298"/>
    <cellStyle name="Explanatory Text 6" xfId="22299"/>
    <cellStyle name="Explanatory Text 7" xfId="22300"/>
    <cellStyle name="Explanatory Text 8" xfId="22293"/>
    <cellStyle name="Good" xfId="154" builtinId="26" customBuiltin="1"/>
    <cellStyle name="Good 2" xfId="85"/>
    <cellStyle name="Good 2 10" xfId="1523"/>
    <cellStyle name="Good 2 11" xfId="1524"/>
    <cellStyle name="Good 2 12" xfId="1525"/>
    <cellStyle name="Good 2 13" xfId="1526"/>
    <cellStyle name="Good 2 14" xfId="1527"/>
    <cellStyle name="Good 2 15" xfId="4181"/>
    <cellStyle name="Good 2 16" xfId="4182"/>
    <cellStyle name="Good 2 17" xfId="4183"/>
    <cellStyle name="Good 2 18" xfId="1522"/>
    <cellStyle name="Good 2 2" xfId="1528"/>
    <cellStyle name="Good 2 2 2" xfId="1529"/>
    <cellStyle name="Good 2 2 3" xfId="1530"/>
    <cellStyle name="Good 2 2 4" xfId="4184"/>
    <cellStyle name="Good 2 2 5" xfId="4185"/>
    <cellStyle name="Good 2 2_Sheet1" xfId="1531"/>
    <cellStyle name="Good 2 3" xfId="1532"/>
    <cellStyle name="Good 2 4" xfId="1533"/>
    <cellStyle name="Good 2 5" xfId="1534"/>
    <cellStyle name="Good 2 6" xfId="1535"/>
    <cellStyle name="Good 2 7" xfId="1536"/>
    <cellStyle name="Good 2 8" xfId="1537"/>
    <cellStyle name="Good 2 9" xfId="1538"/>
    <cellStyle name="Good 2_BallGrid" xfId="1539"/>
    <cellStyle name="Good 3" xfId="86"/>
    <cellStyle name="Good 3 2" xfId="1540"/>
    <cellStyle name="Good 3 2 2" xfId="22302"/>
    <cellStyle name="Good 3 3" xfId="1541"/>
    <cellStyle name="Good 3 4" xfId="4186"/>
    <cellStyle name="Good 4" xfId="87"/>
    <cellStyle name="Good 4 2" xfId="1542"/>
    <cellStyle name="Good 4 3" xfId="1543"/>
    <cellStyle name="Good 4 4" xfId="4187"/>
    <cellStyle name="Good 4 5" xfId="4188"/>
    <cellStyle name="Good 5" xfId="1544"/>
    <cellStyle name="Good 5 2" xfId="4189"/>
    <cellStyle name="Good 5 3" xfId="4190"/>
    <cellStyle name="Good 5 4" xfId="22303"/>
    <cellStyle name="Good 6" xfId="22304"/>
    <cellStyle name="Good 7" xfId="22305"/>
    <cellStyle name="Good 8" xfId="22301"/>
    <cellStyle name="Grey" xfId="1545"/>
    <cellStyle name="Grey 2" xfId="1546"/>
    <cellStyle name="Grey 2 2" xfId="1547"/>
    <cellStyle name="Grey 2 3" xfId="1548"/>
    <cellStyle name="Grey 2_BallGrid" xfId="1549"/>
    <cellStyle name="Grey 3" xfId="1550"/>
    <cellStyle name="Grey 3 2" xfId="1551"/>
    <cellStyle name="Grey 3 3" xfId="1552"/>
    <cellStyle name="Grey 3_BallGrid" xfId="1553"/>
    <cellStyle name="Grey 4" xfId="1554"/>
    <cellStyle name="Grey 4 2" xfId="1555"/>
    <cellStyle name="Grey 4 3" xfId="1556"/>
    <cellStyle name="Grey 4_BallGrid" xfId="1557"/>
    <cellStyle name="Grey 5" xfId="1558"/>
    <cellStyle name="Grey 5 2" xfId="1559"/>
    <cellStyle name="Grey 5 3" xfId="1560"/>
    <cellStyle name="Grey 5_BallGrid" xfId="1561"/>
    <cellStyle name="Grey 6" xfId="1562"/>
    <cellStyle name="Grey 6 2" xfId="1563"/>
    <cellStyle name="Grey 7" xfId="1564"/>
    <cellStyle name="Grey_BallGrid" xfId="1565"/>
    <cellStyle name="Heading 1" xfId="150" builtinId="16" customBuiltin="1"/>
    <cellStyle name="Heading 1 10" xfId="1566"/>
    <cellStyle name="Heading 1 10 2" xfId="22309"/>
    <cellStyle name="Heading 1 10 3" xfId="22308"/>
    <cellStyle name="Heading 1 11" xfId="22310"/>
    <cellStyle name="Heading 1 11 2" xfId="22311"/>
    <cellStyle name="Heading 1 12" xfId="22312"/>
    <cellStyle name="Heading 1 12 2" xfId="22313"/>
    <cellStyle name="Heading 1 12 2 2" xfId="22314"/>
    <cellStyle name="Heading 1 12 2 2 2" xfId="22315"/>
    <cellStyle name="Heading 1 12 2 3" xfId="22316"/>
    <cellStyle name="Heading 1 12 3" xfId="22317"/>
    <cellStyle name="Heading 1 13" xfId="22318"/>
    <cellStyle name="Heading 1 14" xfId="22319"/>
    <cellStyle name="Heading 1 15" xfId="22655"/>
    <cellStyle name="Heading 1 16" xfId="22307"/>
    <cellStyle name="Heading 1 2" xfId="88"/>
    <cellStyle name="Heading 1 2 10" xfId="1567"/>
    <cellStyle name="Heading 1 2 2" xfId="1568"/>
    <cellStyle name="Heading 1 2 3" xfId="1569"/>
    <cellStyle name="Heading 1 2 3 2" xfId="22322"/>
    <cellStyle name="Heading 1 2 3 2 2" xfId="22323"/>
    <cellStyle name="Heading 1 2 3 3" xfId="22324"/>
    <cellStyle name="Heading 1 2 3 4" xfId="22886"/>
    <cellStyle name="Heading 1 2 3 5" xfId="22321"/>
    <cellStyle name="Heading 1 2 4" xfId="1570"/>
    <cellStyle name="Heading 1 2 4 2" xfId="22325"/>
    <cellStyle name="Heading 1 2 5" xfId="1571"/>
    <cellStyle name="Heading 1 2 5 2" xfId="22326"/>
    <cellStyle name="Heading 1 2 6" xfId="1572"/>
    <cellStyle name="Heading 1 2 6 2" xfId="22885"/>
    <cellStyle name="Heading 1 2 7" xfId="4191"/>
    <cellStyle name="Heading 1 2 7 2" xfId="22320"/>
    <cellStyle name="Heading 1 2 8" xfId="4192"/>
    <cellStyle name="Heading 1 2 9" xfId="4193"/>
    <cellStyle name="Heading 1 2_BallGrid" xfId="1573"/>
    <cellStyle name="Heading 1 3" xfId="89"/>
    <cellStyle name="Heading 1 3 2" xfId="1574"/>
    <cellStyle name="Heading 1 3 2 2" xfId="22328"/>
    <cellStyle name="Heading 1 3 2 3" xfId="22327"/>
    <cellStyle name="Heading 1 3 3" xfId="1575"/>
    <cellStyle name="Heading 1 3 3 2" xfId="22330"/>
    <cellStyle name="Heading 1 3 3 3" xfId="22329"/>
    <cellStyle name="Heading 1 3 4" xfId="4194"/>
    <cellStyle name="Heading 1 3 4 2" xfId="22332"/>
    <cellStyle name="Heading 1 3 4 3" xfId="22331"/>
    <cellStyle name="Heading 1 3 5" xfId="22333"/>
    <cellStyle name="Heading 1 3 5 2" xfId="22334"/>
    <cellStyle name="Heading 1 3 5 2 2" xfId="22335"/>
    <cellStyle name="Heading 1 3 5 2 3" xfId="22336"/>
    <cellStyle name="Heading 1 3 5 2 3 2" xfId="22337"/>
    <cellStyle name="Heading 1 3 5 3" xfId="22338"/>
    <cellStyle name="Heading 1 3 6" xfId="22339"/>
    <cellStyle name="Heading 1 3 7" xfId="22340"/>
    <cellStyle name="Heading 1 3 7 2" xfId="22341"/>
    <cellStyle name="Heading 1 3 7 2 2" xfId="22342"/>
    <cellStyle name="Heading 1 3 7 3" xfId="22343"/>
    <cellStyle name="Heading 1 3 7 3 2" xfId="22344"/>
    <cellStyle name="Heading 1 3 7 3 2 2" xfId="22345"/>
    <cellStyle name="Heading 1 3 7 3 3" xfId="22346"/>
    <cellStyle name="Heading 1 3 7 4" xfId="22347"/>
    <cellStyle name="Heading 1 4" xfId="90"/>
    <cellStyle name="Heading 1 4 2" xfId="1577"/>
    <cellStyle name="Heading 1 4 2 2" xfId="22887"/>
    <cellStyle name="Heading 1 4 3" xfId="1578"/>
    <cellStyle name="Heading 1 4 3 2" xfId="22348"/>
    <cellStyle name="Heading 1 4 4" xfId="1579"/>
    <cellStyle name="Heading 1 4 5" xfId="1580"/>
    <cellStyle name="Heading 1 4 6" xfId="4195"/>
    <cellStyle name="Heading 1 4 7" xfId="4196"/>
    <cellStyle name="Heading 1 4 8" xfId="4197"/>
    <cellStyle name="Heading 1 4 9" xfId="1576"/>
    <cellStyle name="Heading 1 5" xfId="1581"/>
    <cellStyle name="Heading 1 5 2" xfId="4198"/>
    <cellStyle name="Heading 1 5 3" xfId="4199"/>
    <cellStyle name="Heading 1 6" xfId="1582"/>
    <cellStyle name="Heading 1 6 2" xfId="22349"/>
    <cellStyle name="Heading 1 7" xfId="1583"/>
    <cellStyle name="Heading 1 7 2" xfId="22351"/>
    <cellStyle name="Heading 1 7 3" xfId="22350"/>
    <cellStyle name="Heading 1 8" xfId="1584"/>
    <cellStyle name="Heading 1 8 2" xfId="22353"/>
    <cellStyle name="Heading 1 8 2 2" xfId="22354"/>
    <cellStyle name="Heading 1 8 3" xfId="22352"/>
    <cellStyle name="Heading 1 9" xfId="1585"/>
    <cellStyle name="Heading 1 9 2" xfId="22356"/>
    <cellStyle name="Heading 1 9 3" xfId="22735"/>
    <cellStyle name="Heading 1 9 3 2" xfId="52942"/>
    <cellStyle name="Heading 1 9 4" xfId="22355"/>
    <cellStyle name="Heading 2" xfId="151" builtinId="17" customBuiltin="1"/>
    <cellStyle name="Heading 2 10" xfId="1586"/>
    <cellStyle name="Heading 2 10 2" xfId="22358"/>
    <cellStyle name="Heading 2 11" xfId="22359"/>
    <cellStyle name="Heading 2 12" xfId="22360"/>
    <cellStyle name="Heading 2 12 2" xfId="22361"/>
    <cellStyle name="Heading 2 13" xfId="22362"/>
    <cellStyle name="Heading 2 14" xfId="22363"/>
    <cellStyle name="Heading 2 15" xfId="22656"/>
    <cellStyle name="Heading 2 16" xfId="22357"/>
    <cellStyle name="Heading 2 2" xfId="91"/>
    <cellStyle name="Heading 2 2 10" xfId="1587"/>
    <cellStyle name="Heading 2 2 2" xfId="1588"/>
    <cellStyle name="Heading 2 2 3" xfId="1589"/>
    <cellStyle name="Heading 2 2 4" xfId="1590"/>
    <cellStyle name="Heading 2 2 5" xfId="1591"/>
    <cellStyle name="Heading 2 2 6" xfId="1592"/>
    <cellStyle name="Heading 2 2 7" xfId="4200"/>
    <cellStyle name="Heading 2 2 8" xfId="4201"/>
    <cellStyle name="Heading 2 2 9" xfId="4202"/>
    <cellStyle name="Heading 2 2_BallGrid" xfId="1593"/>
    <cellStyle name="Heading 2 3" xfId="92"/>
    <cellStyle name="Heading 2 3 2" xfId="1594"/>
    <cellStyle name="Heading 2 3 3" xfId="1595"/>
    <cellStyle name="Heading 2 3 4" xfId="4203"/>
    <cellStyle name="Heading 2 4" xfId="93"/>
    <cellStyle name="Heading 2 4 2" xfId="1597"/>
    <cellStyle name="Heading 2 4 2 2" xfId="22888"/>
    <cellStyle name="Heading 2 4 3" xfId="1598"/>
    <cellStyle name="Heading 2 4 3 2" xfId="22364"/>
    <cellStyle name="Heading 2 4 4" xfId="1599"/>
    <cellStyle name="Heading 2 4 5" xfId="1600"/>
    <cellStyle name="Heading 2 4 6" xfId="4204"/>
    <cellStyle name="Heading 2 4 7" xfId="4205"/>
    <cellStyle name="Heading 2 4 8" xfId="4206"/>
    <cellStyle name="Heading 2 4 9" xfId="1596"/>
    <cellStyle name="Heading 2 5" xfId="1601"/>
    <cellStyle name="Heading 2 5 2" xfId="4207"/>
    <cellStyle name="Heading 2 5 3" xfId="4208"/>
    <cellStyle name="Heading 2 6" xfId="1602"/>
    <cellStyle name="Heading 2 6 2" xfId="22365"/>
    <cellStyle name="Heading 2 7" xfId="1603"/>
    <cellStyle name="Heading 2 7 2" xfId="22366"/>
    <cellStyle name="Heading 2 8" xfId="1604"/>
    <cellStyle name="Heading 2 8 2" xfId="22368"/>
    <cellStyle name="Heading 2 8 3" xfId="22367"/>
    <cellStyle name="Heading 2 9" xfId="1605"/>
    <cellStyle name="Heading 2 9 2" xfId="22369"/>
    <cellStyle name="Heading 3" xfId="152" builtinId="18" customBuiltin="1"/>
    <cellStyle name="Heading 3 10" xfId="1606"/>
    <cellStyle name="Heading 3 10 2" xfId="1607"/>
    <cellStyle name="Heading 3 10 2 2" xfId="22371"/>
    <cellStyle name="Heading 3 10 3" xfId="22370"/>
    <cellStyle name="Heading 3 11" xfId="1608"/>
    <cellStyle name="Heading 3 11 2" xfId="22373"/>
    <cellStyle name="Heading 3 11 3" xfId="22372"/>
    <cellStyle name="Heading 3 12" xfId="1609"/>
    <cellStyle name="Heading 3 12 2" xfId="22375"/>
    <cellStyle name="Heading 3 12 2 2" xfId="22376"/>
    <cellStyle name="Heading 3 12 2 2 2" xfId="22377"/>
    <cellStyle name="Heading 3 12 2 3" xfId="22378"/>
    <cellStyle name="Heading 3 12 3" xfId="22379"/>
    <cellStyle name="Heading 3 12 4" xfId="22374"/>
    <cellStyle name="Heading 3 13" xfId="1610"/>
    <cellStyle name="Heading 3 13 2" xfId="22380"/>
    <cellStyle name="Heading 3 14" xfId="1611"/>
    <cellStyle name="Heading 3 15" xfId="1612"/>
    <cellStyle name="Heading 3 15 2" xfId="22657"/>
    <cellStyle name="Heading 3 16" xfId="1613"/>
    <cellStyle name="Heading 3 17" xfId="1614"/>
    <cellStyle name="Heading 3 18" xfId="1615"/>
    <cellStyle name="Heading 3 2" xfId="94"/>
    <cellStyle name="Heading 3 2 10" xfId="1616"/>
    <cellStyle name="Heading 3 2 2" xfId="95"/>
    <cellStyle name="Heading 3 2 3" xfId="1617"/>
    <cellStyle name="Heading 3 2 4" xfId="1618"/>
    <cellStyle name="Heading 3 2 5" xfId="1619"/>
    <cellStyle name="Heading 3 2 6" xfId="1620"/>
    <cellStyle name="Heading 3 2 7" xfId="4209"/>
    <cellStyle name="Heading 3 2 8" xfId="4210"/>
    <cellStyle name="Heading 3 2 9" xfId="4211"/>
    <cellStyle name="Heading 3 2_BallGrid" xfId="1621"/>
    <cellStyle name="Heading 3 3" xfId="96"/>
    <cellStyle name="Heading 3 3 2" xfId="97"/>
    <cellStyle name="Heading 3 3 3" xfId="1622"/>
    <cellStyle name="Heading 3 3 4" xfId="4212"/>
    <cellStyle name="Heading 3 4" xfId="98"/>
    <cellStyle name="Heading 3 4 2" xfId="99"/>
    <cellStyle name="Heading 3 4 3" xfId="1623"/>
    <cellStyle name="Heading 3 4 4" xfId="4213"/>
    <cellStyle name="Heading 3 4 5" xfId="4214"/>
    <cellStyle name="Heading 3 5" xfId="100"/>
    <cellStyle name="Heading 3 5 2" xfId="4215"/>
    <cellStyle name="Heading 3 5 3" xfId="4216"/>
    <cellStyle name="Heading 3 5 4" xfId="1624"/>
    <cellStyle name="Heading 3 6" xfId="1625"/>
    <cellStyle name="Heading 3 6 2" xfId="21944"/>
    <cellStyle name="Heading 3 7" xfId="1626"/>
    <cellStyle name="Heading 3 7 2" xfId="1627"/>
    <cellStyle name="Heading 3 7 2 2" xfId="22383"/>
    <cellStyle name="Heading 3 7 3" xfId="22382"/>
    <cellStyle name="Heading 3 8" xfId="1628"/>
    <cellStyle name="Heading 3 8 2" xfId="22385"/>
    <cellStyle name="Heading 3 8 2 2" xfId="22386"/>
    <cellStyle name="Heading 3 8 3" xfId="22384"/>
    <cellStyle name="Heading 3 9" xfId="1629"/>
    <cellStyle name="Heading 3 9 2" xfId="1630"/>
    <cellStyle name="Heading 3 9 2 2" xfId="22388"/>
    <cellStyle name="Heading 3 9 3" xfId="1631"/>
    <cellStyle name="Heading 3 9 3 2" xfId="22736"/>
    <cellStyle name="Heading 3 9 3 2 2" xfId="53336"/>
    <cellStyle name="Heading 3 9 3 3" xfId="52943"/>
    <cellStyle name="Heading 3 9 4" xfId="22387"/>
    <cellStyle name="Heading 4" xfId="153" builtinId="19" customBuiltin="1"/>
    <cellStyle name="Heading 4 10" xfId="1633"/>
    <cellStyle name="Heading 4 10 2" xfId="22391"/>
    <cellStyle name="Heading 4 10 3" xfId="22390"/>
    <cellStyle name="Heading 4 11" xfId="1634"/>
    <cellStyle name="Heading 4 11 2" xfId="22393"/>
    <cellStyle name="Heading 4 11 3" xfId="22392"/>
    <cellStyle name="Heading 4 12" xfId="1635"/>
    <cellStyle name="Heading 4 12 2" xfId="22395"/>
    <cellStyle name="Heading 4 12 2 2" xfId="22396"/>
    <cellStyle name="Heading 4 12 2 2 2" xfId="22397"/>
    <cellStyle name="Heading 4 12 2 3" xfId="22398"/>
    <cellStyle name="Heading 4 12 3" xfId="22399"/>
    <cellStyle name="Heading 4 12 4" xfId="22394"/>
    <cellStyle name="Heading 4 13" xfId="1636"/>
    <cellStyle name="Heading 4 13 2" xfId="22400"/>
    <cellStyle name="Heading 4 14" xfId="1637"/>
    <cellStyle name="Heading 4 14 2" xfId="22401"/>
    <cellStyle name="Heading 4 15" xfId="1638"/>
    <cellStyle name="Heading 4 15 2" xfId="22658"/>
    <cellStyle name="Heading 4 16" xfId="1639"/>
    <cellStyle name="Heading 4 16 2" xfId="22389"/>
    <cellStyle name="Heading 4 17" xfId="1640"/>
    <cellStyle name="Heading 4 18" xfId="1641"/>
    <cellStyle name="Heading 4 19" xfId="1632"/>
    <cellStyle name="Heading 4 2" xfId="101"/>
    <cellStyle name="Heading 4 2 10" xfId="1642"/>
    <cellStyle name="Heading 4 2 2" xfId="1643"/>
    <cellStyle name="Heading 4 2 3" xfId="1644"/>
    <cellStyle name="Heading 4 2 4" xfId="1645"/>
    <cellStyle name="Heading 4 2 5" xfId="1646"/>
    <cellStyle name="Heading 4 2 6" xfId="1647"/>
    <cellStyle name="Heading 4 2 7" xfId="4217"/>
    <cellStyle name="Heading 4 2 8" xfId="4218"/>
    <cellStyle name="Heading 4 2 9" xfId="4219"/>
    <cellStyle name="Heading 4 2_BallGrid" xfId="1648"/>
    <cellStyle name="Heading 4 3" xfId="102"/>
    <cellStyle name="Heading 4 3 2" xfId="1649"/>
    <cellStyle name="Heading 4 3 3" xfId="1650"/>
    <cellStyle name="Heading 4 3 4" xfId="4220"/>
    <cellStyle name="Heading 4 4" xfId="103"/>
    <cellStyle name="Heading 4 4 2" xfId="1652"/>
    <cellStyle name="Heading 4 4 2 2" xfId="22889"/>
    <cellStyle name="Heading 4 4 3" xfId="1653"/>
    <cellStyle name="Heading 4 4 3 2" xfId="22403"/>
    <cellStyle name="Heading 4 4 4" xfId="1654"/>
    <cellStyle name="Heading 4 4 5" xfId="1655"/>
    <cellStyle name="Heading 4 4 6" xfId="4221"/>
    <cellStyle name="Heading 4 4 7" xfId="4222"/>
    <cellStyle name="Heading 4 4 8" xfId="4223"/>
    <cellStyle name="Heading 4 4 9" xfId="1651"/>
    <cellStyle name="Heading 4 5" xfId="1656"/>
    <cellStyle name="Heading 4 5 2" xfId="4224"/>
    <cellStyle name="Heading 4 5 3" xfId="4225"/>
    <cellStyle name="Heading 4 5 4" xfId="21945"/>
    <cellStyle name="Heading 4 6" xfId="1657"/>
    <cellStyle name="Heading 4 6 2" xfId="1658"/>
    <cellStyle name="Heading 4 7" xfId="1659"/>
    <cellStyle name="Heading 4 7 2" xfId="22406"/>
    <cellStyle name="Heading 4 7 3" xfId="23013"/>
    <cellStyle name="Heading 4 7 4" xfId="22405"/>
    <cellStyle name="Heading 4 7 5" xfId="21995"/>
    <cellStyle name="Heading 4 8" xfId="1660"/>
    <cellStyle name="Heading 4 8 2" xfId="1661"/>
    <cellStyle name="Heading 4 8 2 2" xfId="22409"/>
    <cellStyle name="Heading 4 8 2 3" xfId="22408"/>
    <cellStyle name="Heading 4 8 3" xfId="1662"/>
    <cellStyle name="Heading 4 8 4" xfId="22407"/>
    <cellStyle name="Heading 4 9" xfId="1663"/>
    <cellStyle name="Heading 4 9 2" xfId="1664"/>
    <cellStyle name="Heading 4 9 2 2" xfId="22411"/>
    <cellStyle name="Heading 4 9 3" xfId="22737"/>
    <cellStyle name="Heading 4 9 3 2" xfId="52944"/>
    <cellStyle name="Heading 4 9 4" xfId="22410"/>
    <cellStyle name="Hyperlink 10" xfId="1665"/>
    <cellStyle name="Hyperlink 10 2" xfId="1666"/>
    <cellStyle name="Hyperlink 10 3" xfId="1667"/>
    <cellStyle name="Hyperlink 10_BallGrid" xfId="1668"/>
    <cellStyle name="Hyperlink 11" xfId="1669"/>
    <cellStyle name="Hyperlink 11 2" xfId="1670"/>
    <cellStyle name="Hyperlink 11 3" xfId="1671"/>
    <cellStyle name="Hyperlink 11_BallGrid" xfId="1672"/>
    <cellStyle name="Hyperlink 12" xfId="1673"/>
    <cellStyle name="Hyperlink 12 2" xfId="1674"/>
    <cellStyle name="Hyperlink 12 3" xfId="1675"/>
    <cellStyle name="Hyperlink 12_BallGrid" xfId="1676"/>
    <cellStyle name="Hyperlink 13" xfId="1677"/>
    <cellStyle name="Hyperlink 13 2" xfId="1678"/>
    <cellStyle name="Hyperlink 13 3" xfId="1679"/>
    <cellStyle name="Hyperlink 13_BallGrid" xfId="1680"/>
    <cellStyle name="Hyperlink 14" xfId="1681"/>
    <cellStyle name="Hyperlink 14 2" xfId="1682"/>
    <cellStyle name="Hyperlink 14 3" xfId="1683"/>
    <cellStyle name="Hyperlink 14_BallGrid" xfId="1684"/>
    <cellStyle name="Hyperlink 15" xfId="1685"/>
    <cellStyle name="Hyperlink 15 2" xfId="1686"/>
    <cellStyle name="Hyperlink 15 3" xfId="1687"/>
    <cellStyle name="Hyperlink 15_BallGrid" xfId="1688"/>
    <cellStyle name="Hyperlink 16" xfId="1689"/>
    <cellStyle name="Hyperlink 16 2" xfId="1690"/>
    <cellStyle name="Hyperlink 16 3" xfId="1691"/>
    <cellStyle name="Hyperlink 16_BallGrid" xfId="1692"/>
    <cellStyle name="Hyperlink 17" xfId="1693"/>
    <cellStyle name="Hyperlink 17 2" xfId="1694"/>
    <cellStyle name="Hyperlink 17 3" xfId="1695"/>
    <cellStyle name="Hyperlink 17_BallGrid" xfId="1696"/>
    <cellStyle name="Hyperlink 18" xfId="1697"/>
    <cellStyle name="Hyperlink 18 2" xfId="1698"/>
    <cellStyle name="Hyperlink 18 3" xfId="1699"/>
    <cellStyle name="Hyperlink 18_BallGrid" xfId="1700"/>
    <cellStyle name="Hyperlink 19" xfId="1701"/>
    <cellStyle name="Hyperlink 19 2" xfId="1702"/>
    <cellStyle name="Hyperlink 19 3" xfId="1703"/>
    <cellStyle name="Hyperlink 19_BallGrid" xfId="1704"/>
    <cellStyle name="Hyperlink 2" xfId="104"/>
    <cellStyle name="Hyperlink 2 2" xfId="1706"/>
    <cellStyle name="Hyperlink 2 3" xfId="1707"/>
    <cellStyle name="Hyperlink 2 4" xfId="1708"/>
    <cellStyle name="Hyperlink 2 5" xfId="1709"/>
    <cellStyle name="Hyperlink 2 6" xfId="4226"/>
    <cellStyle name="Hyperlink 2 7" xfId="4227"/>
    <cellStyle name="Hyperlink 2 8" xfId="1705"/>
    <cellStyle name="Hyperlink 2_BallGrid" xfId="1710"/>
    <cellStyle name="Hyperlink 20" xfId="1711"/>
    <cellStyle name="Hyperlink 20 2" xfId="1712"/>
    <cellStyle name="Hyperlink 20 3" xfId="1713"/>
    <cellStyle name="Hyperlink 20_BallGrid" xfId="1714"/>
    <cellStyle name="Hyperlink 21" xfId="1715"/>
    <cellStyle name="Hyperlink 21 2" xfId="1716"/>
    <cellStyle name="Hyperlink 21 3" xfId="1717"/>
    <cellStyle name="Hyperlink 21_BallGrid" xfId="1718"/>
    <cellStyle name="Hyperlink 22" xfId="1719"/>
    <cellStyle name="Hyperlink 22 2" xfId="1720"/>
    <cellStyle name="Hyperlink 22 3" xfId="1721"/>
    <cellStyle name="Hyperlink 22_BallGrid" xfId="1722"/>
    <cellStyle name="Hyperlink 23" xfId="1723"/>
    <cellStyle name="Hyperlink 23 2" xfId="1724"/>
    <cellStyle name="Hyperlink 23 3" xfId="1725"/>
    <cellStyle name="Hyperlink 23_BallGrid" xfId="1726"/>
    <cellStyle name="Hyperlink 24" xfId="1727"/>
    <cellStyle name="Hyperlink 24 2" xfId="1728"/>
    <cellStyle name="Hyperlink 24 3" xfId="1729"/>
    <cellStyle name="Hyperlink 24_BallGrid" xfId="1730"/>
    <cellStyle name="Hyperlink 25" xfId="1731"/>
    <cellStyle name="Hyperlink 25 2" xfId="1732"/>
    <cellStyle name="Hyperlink 25 3" xfId="1733"/>
    <cellStyle name="Hyperlink 25_BallGrid" xfId="1734"/>
    <cellStyle name="Hyperlink 26" xfId="1735"/>
    <cellStyle name="Hyperlink 26 2" xfId="1736"/>
    <cellStyle name="Hyperlink 26 3" xfId="1737"/>
    <cellStyle name="Hyperlink 26_BallGrid" xfId="1738"/>
    <cellStyle name="Hyperlink 27" xfId="1739"/>
    <cellStyle name="Hyperlink 27 2" xfId="1740"/>
    <cellStyle name="Hyperlink 27 3" xfId="1741"/>
    <cellStyle name="Hyperlink 27_BallGrid" xfId="1742"/>
    <cellStyle name="Hyperlink 28" xfId="1743"/>
    <cellStyle name="Hyperlink 28 2" xfId="1744"/>
    <cellStyle name="Hyperlink 28 3" xfId="1745"/>
    <cellStyle name="Hyperlink 28_BallGrid" xfId="1746"/>
    <cellStyle name="Hyperlink 29" xfId="52945"/>
    <cellStyle name="Hyperlink 3" xfId="105"/>
    <cellStyle name="Hyperlink 3 2" xfId="1748"/>
    <cellStyle name="Hyperlink 3 2 2" xfId="22891"/>
    <cellStyle name="Hyperlink 3 2 3" xfId="22690"/>
    <cellStyle name="Hyperlink 3 3" xfId="1749"/>
    <cellStyle name="Hyperlink 3 4" xfId="22412"/>
    <cellStyle name="Hyperlink 3 5" xfId="1747"/>
    <cellStyle name="Hyperlink 3_BallGrid" xfId="1750"/>
    <cellStyle name="Hyperlink 30" xfId="52946"/>
    <cellStyle name="Hyperlink 4" xfId="1751"/>
    <cellStyle name="Hyperlink 4 2" xfId="1752"/>
    <cellStyle name="Hyperlink 4 3" xfId="1753"/>
    <cellStyle name="Hyperlink 4_BallGrid" xfId="1754"/>
    <cellStyle name="Hyperlink 5" xfId="1755"/>
    <cellStyle name="Hyperlink 5 2" xfId="1756"/>
    <cellStyle name="Hyperlink 5 3" xfId="1757"/>
    <cellStyle name="Hyperlink 5_BallGrid" xfId="1758"/>
    <cellStyle name="Hyperlink 6" xfId="1759"/>
    <cellStyle name="Hyperlink 6 2" xfId="1760"/>
    <cellStyle name="Hyperlink 6 3" xfId="1761"/>
    <cellStyle name="Hyperlink 6_BallGrid" xfId="1762"/>
    <cellStyle name="Hyperlink 7" xfId="1763"/>
    <cellStyle name="Hyperlink 7 2" xfId="1764"/>
    <cellStyle name="Hyperlink 7 3" xfId="1765"/>
    <cellStyle name="Hyperlink 7_BallGrid" xfId="1766"/>
    <cellStyle name="Hyperlink 8" xfId="1767"/>
    <cellStyle name="Hyperlink 8 2" xfId="1768"/>
    <cellStyle name="Hyperlink 8 3" xfId="1769"/>
    <cellStyle name="Hyperlink 8_BallGrid" xfId="1770"/>
    <cellStyle name="Hyperlink 9" xfId="1771"/>
    <cellStyle name="Hyperlink 9 2" xfId="1772"/>
    <cellStyle name="Hyperlink 9 3" xfId="1773"/>
    <cellStyle name="Hyperlink 9_BallGrid" xfId="1774"/>
    <cellStyle name="Input" xfId="3" builtinId="20" customBuiltin="1"/>
    <cellStyle name="Input [yellow]" xfId="1775"/>
    <cellStyle name="Input [yellow] 10" xfId="7771"/>
    <cellStyle name="Input [yellow] 10 2" xfId="15562"/>
    <cellStyle name="Input [yellow] 10 2 2" xfId="43224"/>
    <cellStyle name="Input [yellow] 10 2 3" xfId="39395"/>
    <cellStyle name="Input [yellow] 10 2 4" xfId="33183"/>
    <cellStyle name="Input [yellow] 10 3" xfId="19470"/>
    <cellStyle name="Input [yellow] 10 3 2" xfId="44992"/>
    <cellStyle name="Input [yellow] 10 3 3" xfId="48898"/>
    <cellStyle name="Input [yellow] 10 3 4" xfId="37012"/>
    <cellStyle name="Input [yellow] 10 4" xfId="20257"/>
    <cellStyle name="Input [yellow] 10 4 2" xfId="45779"/>
    <cellStyle name="Input [yellow] 10 4 3" xfId="49685"/>
    <cellStyle name="Input [yellow] 10 4 4" xfId="37713"/>
    <cellStyle name="Input [yellow] 10 5" xfId="11582"/>
    <cellStyle name="Input [yellow] 10 5 2" xfId="41573"/>
    <cellStyle name="Input [yellow] 10 5 3" xfId="39140"/>
    <cellStyle name="Input [yellow] 10 5 4" xfId="29276"/>
    <cellStyle name="Input [yellow] 10 6" xfId="19619"/>
    <cellStyle name="Input [yellow] 10 6 2" xfId="45141"/>
    <cellStyle name="Input [yellow] 10 6 3" xfId="49047"/>
    <cellStyle name="Input [yellow] 10 7" xfId="40083"/>
    <cellStyle name="Input [yellow] 10 8" xfId="39585"/>
    <cellStyle name="Input [yellow] 11" xfId="52947"/>
    <cellStyle name="Input [yellow] 2" xfId="1776"/>
    <cellStyle name="Input [yellow] 2 2" xfId="1777"/>
    <cellStyle name="Input [yellow] 2 2 2" xfId="6988"/>
    <cellStyle name="Input [yellow] 2 2 2 10" xfId="39728"/>
    <cellStyle name="Input [yellow] 2 2 2 11" xfId="42174"/>
    <cellStyle name="Input [yellow] 2 2 2 2" xfId="10515"/>
    <cellStyle name="Input [yellow] 2 2 2 2 2" xfId="18302"/>
    <cellStyle name="Input [yellow] 2 2 2 2 2 2" xfId="43834"/>
    <cellStyle name="Input [yellow] 2 2 2 2 2 3" xfId="47743"/>
    <cellStyle name="Input [yellow] 2 2 2 2 2 4" xfId="35925"/>
    <cellStyle name="Input [yellow] 2 2 2 2 3" xfId="19421"/>
    <cellStyle name="Input [yellow] 2 2 2 2 3 2" xfId="44943"/>
    <cellStyle name="Input [yellow] 2 2 2 2 3 3" xfId="48849"/>
    <cellStyle name="Input [yellow] 2 2 2 2 3 4" xfId="36972"/>
    <cellStyle name="Input [yellow] 2 2 2 2 4" xfId="19558"/>
    <cellStyle name="Input [yellow] 2 2 2 2 4 2" xfId="45080"/>
    <cellStyle name="Input [yellow] 2 2 2 2 4 3" xfId="48986"/>
    <cellStyle name="Input [yellow] 2 2 2 2 4 4" xfId="37085"/>
    <cellStyle name="Input [yellow] 2 2 2 2 5" xfId="20715"/>
    <cellStyle name="Input [yellow] 2 2 2 2 5 2" xfId="46237"/>
    <cellStyle name="Input [yellow] 2 2 2 2 5 3" xfId="50143"/>
    <cellStyle name="Input [yellow] 2 2 2 2 5 4" xfId="38107"/>
    <cellStyle name="Input [yellow] 2 2 2 2 6" xfId="21368"/>
    <cellStyle name="Input [yellow] 2 2 2 2 6 2" xfId="46890"/>
    <cellStyle name="Input [yellow] 2 2 2 2 6 3" xfId="50796"/>
    <cellStyle name="Input [yellow] 2 2 2 2 7" xfId="40693"/>
    <cellStyle name="Input [yellow] 2 2 2 2 8" xfId="43218"/>
    <cellStyle name="Input [yellow] 2 2 2 3" xfId="10810"/>
    <cellStyle name="Input [yellow] 2 2 2 3 2" xfId="18597"/>
    <cellStyle name="Input [yellow] 2 2 2 3 2 2" xfId="44129"/>
    <cellStyle name="Input [yellow] 2 2 2 3 2 3" xfId="48038"/>
    <cellStyle name="Input [yellow] 2 2 2 3 2 4" xfId="36220"/>
    <cellStyle name="Input [yellow] 2 2 2 3 3" xfId="19096"/>
    <cellStyle name="Input [yellow] 2 2 2 3 3 2" xfId="44618"/>
    <cellStyle name="Input [yellow] 2 2 2 3 3 3" xfId="48524"/>
    <cellStyle name="Input [yellow] 2 2 2 3 3 4" xfId="36677"/>
    <cellStyle name="Input [yellow] 2 2 2 3 4" xfId="11663"/>
    <cellStyle name="Input [yellow] 2 2 2 3 4 2" xfId="41654"/>
    <cellStyle name="Input [yellow] 2 2 2 3 4 3" xfId="39644"/>
    <cellStyle name="Input [yellow] 2 2 2 3 4 4" xfId="29345"/>
    <cellStyle name="Input [yellow] 2 2 2 3 5" xfId="21010"/>
    <cellStyle name="Input [yellow] 2 2 2 3 5 2" xfId="46532"/>
    <cellStyle name="Input [yellow] 2 2 2 3 5 3" xfId="50438"/>
    <cellStyle name="Input [yellow] 2 2 2 3 5 4" xfId="38402"/>
    <cellStyle name="Input [yellow] 2 2 2 3 6" xfId="21663"/>
    <cellStyle name="Input [yellow] 2 2 2 3 6 2" xfId="47185"/>
    <cellStyle name="Input [yellow] 2 2 2 3 6 3" xfId="51091"/>
    <cellStyle name="Input [yellow] 2 2 2 3 7" xfId="40988"/>
    <cellStyle name="Input [yellow] 2 2 2 3 8" xfId="39672"/>
    <cellStyle name="Input [yellow] 2 2 2 4" xfId="10160"/>
    <cellStyle name="Input [yellow] 2 2 2 4 2" xfId="17947"/>
    <cellStyle name="Input [yellow] 2 2 2 4 2 2" xfId="43722"/>
    <cellStyle name="Input [yellow] 2 2 2 4 2 3" xfId="47645"/>
    <cellStyle name="Input [yellow] 2 2 2 4 2 4" xfId="35570"/>
    <cellStyle name="Input [yellow] 2 2 2 4 3" xfId="20042"/>
    <cellStyle name="Input [yellow] 2 2 2 4 3 2" xfId="45564"/>
    <cellStyle name="Input [yellow] 2 2 2 4 3 3" xfId="49470"/>
    <cellStyle name="Input [yellow] 2 2 2 4 3 4" xfId="37524"/>
    <cellStyle name="Input [yellow] 2 2 2 4 4" xfId="20053"/>
    <cellStyle name="Input [yellow] 2 2 2 4 4 2" xfId="45575"/>
    <cellStyle name="Input [yellow] 2 2 2 4 4 3" xfId="49481"/>
    <cellStyle name="Input [yellow] 2 2 2 4 4 4" xfId="37533"/>
    <cellStyle name="Input [yellow] 2 2 2 4 5" xfId="20617"/>
    <cellStyle name="Input [yellow] 2 2 2 4 5 2" xfId="46139"/>
    <cellStyle name="Input [yellow] 2 2 2 4 5 3" xfId="50045"/>
    <cellStyle name="Input [yellow] 2 2 2 4 5 4" xfId="38009"/>
    <cellStyle name="Input [yellow] 2 2 2 4 6" xfId="21270"/>
    <cellStyle name="Input [yellow] 2 2 2 4 6 2" xfId="46792"/>
    <cellStyle name="Input [yellow] 2 2 2 4 6 3" xfId="50698"/>
    <cellStyle name="Input [yellow] 2 2 2 4 7" xfId="40581"/>
    <cellStyle name="Input [yellow] 2 2 2 4 8" xfId="42727"/>
    <cellStyle name="Input [yellow] 2 2 2 5" xfId="14770"/>
    <cellStyle name="Input [yellow] 2 2 2 5 2" xfId="42868"/>
    <cellStyle name="Input [yellow] 2 2 2 5 3" xfId="41265"/>
    <cellStyle name="Input [yellow] 2 2 2 5 4" xfId="32391"/>
    <cellStyle name="Input [yellow] 2 2 2 6" xfId="13058"/>
    <cellStyle name="Input [yellow] 2 2 2 6 2" xfId="42260"/>
    <cellStyle name="Input [yellow] 2 2 2 6 3" xfId="40517"/>
    <cellStyle name="Input [yellow] 2 2 2 6 4" xfId="30693"/>
    <cellStyle name="Input [yellow] 2 2 2 7" xfId="19204"/>
    <cellStyle name="Input [yellow] 2 2 2 7 2" xfId="44726"/>
    <cellStyle name="Input [yellow] 2 2 2 7 3" xfId="48632"/>
    <cellStyle name="Input [yellow] 2 2 2 7 4" xfId="36775"/>
    <cellStyle name="Input [yellow] 2 2 2 8" xfId="19356"/>
    <cellStyle name="Input [yellow] 2 2 2 8 2" xfId="44878"/>
    <cellStyle name="Input [yellow] 2 2 2 8 3" xfId="48784"/>
    <cellStyle name="Input [yellow] 2 2 2 8 4" xfId="36910"/>
    <cellStyle name="Input [yellow] 2 2 2 9" xfId="20249"/>
    <cellStyle name="Input [yellow] 2 2 2 9 2" xfId="45771"/>
    <cellStyle name="Input [yellow] 2 2 2 9 3" xfId="49677"/>
    <cellStyle name="Input [yellow] 2 2 2 9 4" xfId="37705"/>
    <cellStyle name="Input [yellow] 2 2 3" xfId="10434"/>
    <cellStyle name="Input [yellow] 2 2 3 2" xfId="18221"/>
    <cellStyle name="Input [yellow] 2 2 3 2 2" xfId="43753"/>
    <cellStyle name="Input [yellow] 2 2 3 2 3" xfId="47662"/>
    <cellStyle name="Input [yellow] 2 2 3 2 4" xfId="35844"/>
    <cellStyle name="Input [yellow] 2 2 3 3" xfId="19909"/>
    <cellStyle name="Input [yellow] 2 2 3 3 2" xfId="45431"/>
    <cellStyle name="Input [yellow] 2 2 3 3 3" xfId="49337"/>
    <cellStyle name="Input [yellow] 2 2 3 3 4" xfId="37409"/>
    <cellStyle name="Input [yellow] 2 2 3 4" xfId="19331"/>
    <cellStyle name="Input [yellow] 2 2 3 4 2" xfId="44853"/>
    <cellStyle name="Input [yellow] 2 2 3 4 3" xfId="48759"/>
    <cellStyle name="Input [yellow] 2 2 3 4 4" xfId="36889"/>
    <cellStyle name="Input [yellow] 2 2 3 5" xfId="20634"/>
    <cellStyle name="Input [yellow] 2 2 3 5 2" xfId="46156"/>
    <cellStyle name="Input [yellow] 2 2 3 5 3" xfId="50062"/>
    <cellStyle name="Input [yellow] 2 2 3 5 4" xfId="38026"/>
    <cellStyle name="Input [yellow] 2 2 3 6" xfId="21287"/>
    <cellStyle name="Input [yellow] 2 2 3 6 2" xfId="46809"/>
    <cellStyle name="Input [yellow] 2 2 3 6 3" xfId="50715"/>
    <cellStyle name="Input [yellow] 2 2 3 7" xfId="40612"/>
    <cellStyle name="Input [yellow] 2 2 3 8" xfId="40081"/>
    <cellStyle name="Input [yellow] 2 2 4" xfId="7773"/>
    <cellStyle name="Input [yellow] 2 2 4 2" xfId="15564"/>
    <cellStyle name="Input [yellow] 2 2 4 2 2" xfId="43226"/>
    <cellStyle name="Input [yellow] 2 2 4 2 3" xfId="43260"/>
    <cellStyle name="Input [yellow] 2 2 4 2 4" xfId="33185"/>
    <cellStyle name="Input [yellow] 2 2 4 3" xfId="19333"/>
    <cellStyle name="Input [yellow] 2 2 4 3 2" xfId="44855"/>
    <cellStyle name="Input [yellow] 2 2 4 3 3" xfId="48761"/>
    <cellStyle name="Input [yellow] 2 2 4 3 4" xfId="36891"/>
    <cellStyle name="Input [yellow] 2 2 4 4" xfId="12652"/>
    <cellStyle name="Input [yellow] 2 2 4 4 2" xfId="42112"/>
    <cellStyle name="Input [yellow] 2 2 4 4 3" xfId="43305"/>
    <cellStyle name="Input [yellow] 2 2 4 4 4" xfId="30302"/>
    <cellStyle name="Input [yellow] 2 2 4 5" xfId="11640"/>
    <cellStyle name="Input [yellow] 2 2 4 5 2" xfId="41631"/>
    <cellStyle name="Input [yellow] 2 2 4 5 3" xfId="43676"/>
    <cellStyle name="Input [yellow] 2 2 4 5 4" xfId="29325"/>
    <cellStyle name="Input [yellow] 2 2 4 6" xfId="19037"/>
    <cellStyle name="Input [yellow] 2 2 4 6 2" xfId="44559"/>
    <cellStyle name="Input [yellow] 2 2 4 6 3" xfId="48465"/>
    <cellStyle name="Input [yellow] 2 2 4 7" xfId="40085"/>
    <cellStyle name="Input [yellow] 2 2 4 8" xfId="42593"/>
    <cellStyle name="Input [yellow] 2 2 5" xfId="52949"/>
    <cellStyle name="Input [yellow] 2 3" xfId="1778"/>
    <cellStyle name="Input [yellow] 2 3 2" xfId="6989"/>
    <cellStyle name="Input [yellow] 2 3 2 10" xfId="39729"/>
    <cellStyle name="Input [yellow] 2 3 2 11" xfId="43401"/>
    <cellStyle name="Input [yellow] 2 3 2 2" xfId="10516"/>
    <cellStyle name="Input [yellow] 2 3 2 2 2" xfId="18303"/>
    <cellStyle name="Input [yellow] 2 3 2 2 2 2" xfId="43835"/>
    <cellStyle name="Input [yellow] 2 3 2 2 2 3" xfId="47744"/>
    <cellStyle name="Input [yellow] 2 3 2 2 2 4" xfId="35926"/>
    <cellStyle name="Input [yellow] 2 3 2 2 3" xfId="20028"/>
    <cellStyle name="Input [yellow] 2 3 2 2 3 2" xfId="45550"/>
    <cellStyle name="Input [yellow] 2 3 2 2 3 3" xfId="49456"/>
    <cellStyle name="Input [yellow] 2 3 2 2 3 4" xfId="37512"/>
    <cellStyle name="Input [yellow] 2 3 2 2 4" xfId="12889"/>
    <cellStyle name="Input [yellow] 2 3 2 2 4 2" xfId="42225"/>
    <cellStyle name="Input [yellow] 2 3 2 2 4 3" xfId="43554"/>
    <cellStyle name="Input [yellow] 2 3 2 2 4 4" xfId="30525"/>
    <cellStyle name="Input [yellow] 2 3 2 2 5" xfId="20716"/>
    <cellStyle name="Input [yellow] 2 3 2 2 5 2" xfId="46238"/>
    <cellStyle name="Input [yellow] 2 3 2 2 5 3" xfId="50144"/>
    <cellStyle name="Input [yellow] 2 3 2 2 5 4" xfId="38108"/>
    <cellStyle name="Input [yellow] 2 3 2 2 6" xfId="21369"/>
    <cellStyle name="Input [yellow] 2 3 2 2 6 2" xfId="46891"/>
    <cellStyle name="Input [yellow] 2 3 2 2 6 3" xfId="50797"/>
    <cellStyle name="Input [yellow] 2 3 2 2 7" xfId="40694"/>
    <cellStyle name="Input [yellow] 2 3 2 2 8" xfId="40077"/>
    <cellStyle name="Input [yellow] 2 3 2 3" xfId="10811"/>
    <cellStyle name="Input [yellow] 2 3 2 3 2" xfId="18598"/>
    <cellStyle name="Input [yellow] 2 3 2 3 2 2" xfId="44130"/>
    <cellStyle name="Input [yellow] 2 3 2 3 2 3" xfId="48039"/>
    <cellStyle name="Input [yellow] 2 3 2 3 2 4" xfId="36221"/>
    <cellStyle name="Input [yellow] 2 3 2 3 3" xfId="19710"/>
    <cellStyle name="Input [yellow] 2 3 2 3 3 2" xfId="45232"/>
    <cellStyle name="Input [yellow] 2 3 2 3 3 3" xfId="49138"/>
    <cellStyle name="Input [yellow] 2 3 2 3 3 4" xfId="37223"/>
    <cellStyle name="Input [yellow] 2 3 2 3 4" xfId="19239"/>
    <cellStyle name="Input [yellow] 2 3 2 3 4 2" xfId="44761"/>
    <cellStyle name="Input [yellow] 2 3 2 3 4 3" xfId="48667"/>
    <cellStyle name="Input [yellow] 2 3 2 3 4 4" xfId="36803"/>
    <cellStyle name="Input [yellow] 2 3 2 3 5" xfId="21011"/>
    <cellStyle name="Input [yellow] 2 3 2 3 5 2" xfId="46533"/>
    <cellStyle name="Input [yellow] 2 3 2 3 5 3" xfId="50439"/>
    <cellStyle name="Input [yellow] 2 3 2 3 5 4" xfId="38403"/>
    <cellStyle name="Input [yellow] 2 3 2 3 6" xfId="21664"/>
    <cellStyle name="Input [yellow] 2 3 2 3 6 2" xfId="47186"/>
    <cellStyle name="Input [yellow] 2 3 2 3 6 3" xfId="51092"/>
    <cellStyle name="Input [yellow] 2 3 2 3 7" xfId="40989"/>
    <cellStyle name="Input [yellow] 2 3 2 3 8" xfId="42709"/>
    <cellStyle name="Input [yellow] 2 3 2 4" xfId="10161"/>
    <cellStyle name="Input [yellow] 2 3 2 4 2" xfId="17948"/>
    <cellStyle name="Input [yellow] 2 3 2 4 2 2" xfId="43723"/>
    <cellStyle name="Input [yellow] 2 3 2 4 2 3" xfId="47646"/>
    <cellStyle name="Input [yellow] 2 3 2 4 2 4" xfId="35571"/>
    <cellStyle name="Input [yellow] 2 3 2 4 3" xfId="19306"/>
    <cellStyle name="Input [yellow] 2 3 2 4 3 2" xfId="44828"/>
    <cellStyle name="Input [yellow] 2 3 2 4 3 3" xfId="48734"/>
    <cellStyle name="Input [yellow] 2 3 2 4 3 4" xfId="36870"/>
    <cellStyle name="Input [yellow] 2 3 2 4 4" xfId="11641"/>
    <cellStyle name="Input [yellow] 2 3 2 4 4 2" xfId="41632"/>
    <cellStyle name="Input [yellow] 2 3 2 4 4 3" xfId="40534"/>
    <cellStyle name="Input [yellow] 2 3 2 4 4 4" xfId="29326"/>
    <cellStyle name="Input [yellow] 2 3 2 4 5" xfId="20618"/>
    <cellStyle name="Input [yellow] 2 3 2 4 5 2" xfId="46140"/>
    <cellStyle name="Input [yellow] 2 3 2 4 5 3" xfId="50046"/>
    <cellStyle name="Input [yellow] 2 3 2 4 5 4" xfId="38010"/>
    <cellStyle name="Input [yellow] 2 3 2 4 6" xfId="21271"/>
    <cellStyle name="Input [yellow] 2 3 2 4 6 2" xfId="46793"/>
    <cellStyle name="Input [yellow] 2 3 2 4 6 3" xfId="50699"/>
    <cellStyle name="Input [yellow] 2 3 2 4 7" xfId="40582"/>
    <cellStyle name="Input [yellow] 2 3 2 4 8" xfId="43616"/>
    <cellStyle name="Input [yellow] 2 3 2 5" xfId="14771"/>
    <cellStyle name="Input [yellow] 2 3 2 5 2" xfId="42869"/>
    <cellStyle name="Input [yellow] 2 3 2 5 3" xfId="43158"/>
    <cellStyle name="Input [yellow] 2 3 2 5 4" xfId="32392"/>
    <cellStyle name="Input [yellow] 2 3 2 6" xfId="13059"/>
    <cellStyle name="Input [yellow] 2 3 2 6 2" xfId="42261"/>
    <cellStyle name="Input [yellow] 2 3 2 6 3" xfId="39627"/>
    <cellStyle name="Input [yellow] 2 3 2 6 4" xfId="30694"/>
    <cellStyle name="Input [yellow] 2 3 2 7" xfId="19520"/>
    <cellStyle name="Input [yellow] 2 3 2 7 2" xfId="45042"/>
    <cellStyle name="Input [yellow] 2 3 2 7 3" xfId="48948"/>
    <cellStyle name="Input [yellow] 2 3 2 7 4" xfId="37053"/>
    <cellStyle name="Input [yellow] 2 3 2 8" xfId="19819"/>
    <cellStyle name="Input [yellow] 2 3 2 8 2" xfId="45341"/>
    <cellStyle name="Input [yellow] 2 3 2 8 3" xfId="49247"/>
    <cellStyle name="Input [yellow] 2 3 2 8 4" xfId="37323"/>
    <cellStyle name="Input [yellow] 2 3 2 9" xfId="19364"/>
    <cellStyle name="Input [yellow] 2 3 2 9 2" xfId="44886"/>
    <cellStyle name="Input [yellow] 2 3 2 9 3" xfId="48792"/>
    <cellStyle name="Input [yellow] 2 3 2 9 4" xfId="36916"/>
    <cellStyle name="Input [yellow] 2 3 3" xfId="10435"/>
    <cellStyle name="Input [yellow] 2 3 3 2" xfId="18222"/>
    <cellStyle name="Input [yellow] 2 3 3 2 2" xfId="43754"/>
    <cellStyle name="Input [yellow] 2 3 3 2 3" xfId="47663"/>
    <cellStyle name="Input [yellow] 2 3 3 2 4" xfId="35845"/>
    <cellStyle name="Input [yellow] 2 3 3 3" xfId="19132"/>
    <cellStyle name="Input [yellow] 2 3 3 3 2" xfId="44654"/>
    <cellStyle name="Input [yellow] 2 3 3 3 3" xfId="48560"/>
    <cellStyle name="Input [yellow] 2 3 3 3 4" xfId="36713"/>
    <cellStyle name="Input [yellow] 2 3 3 4" xfId="19956"/>
    <cellStyle name="Input [yellow] 2 3 3 4 2" xfId="45478"/>
    <cellStyle name="Input [yellow] 2 3 3 4 3" xfId="49384"/>
    <cellStyle name="Input [yellow] 2 3 3 4 4" xfId="37447"/>
    <cellStyle name="Input [yellow] 2 3 3 5" xfId="20635"/>
    <cellStyle name="Input [yellow] 2 3 3 5 2" xfId="46157"/>
    <cellStyle name="Input [yellow] 2 3 3 5 3" xfId="50063"/>
    <cellStyle name="Input [yellow] 2 3 3 5 4" xfId="38027"/>
    <cellStyle name="Input [yellow] 2 3 3 6" xfId="21288"/>
    <cellStyle name="Input [yellow] 2 3 3 6 2" xfId="46810"/>
    <cellStyle name="Input [yellow] 2 3 3 6 3" xfId="50716"/>
    <cellStyle name="Input [yellow] 2 3 3 7" xfId="40613"/>
    <cellStyle name="Input [yellow] 2 3 3 8" xfId="42057"/>
    <cellStyle name="Input [yellow] 2 3 4" xfId="7774"/>
    <cellStyle name="Input [yellow] 2 3 4 2" xfId="15565"/>
    <cellStyle name="Input [yellow] 2 3 4 2 2" xfId="43227"/>
    <cellStyle name="Input [yellow] 2 3 4 2 3" xfId="40119"/>
    <cellStyle name="Input [yellow] 2 3 4 2 4" xfId="33186"/>
    <cellStyle name="Input [yellow] 2 3 4 3" xfId="19944"/>
    <cellStyle name="Input [yellow] 2 3 4 3 2" xfId="45466"/>
    <cellStyle name="Input [yellow] 2 3 4 3 3" xfId="49372"/>
    <cellStyle name="Input [yellow] 2 3 4 3 4" xfId="37435"/>
    <cellStyle name="Input [yellow] 2 3 4 4" xfId="20278"/>
    <cellStyle name="Input [yellow] 2 3 4 4 2" xfId="45800"/>
    <cellStyle name="Input [yellow] 2 3 4 4 3" xfId="49706"/>
    <cellStyle name="Input [yellow] 2 3 4 4 4" xfId="37731"/>
    <cellStyle name="Input [yellow] 2 3 4 5" xfId="18987"/>
    <cellStyle name="Input [yellow] 2 3 4 5 2" xfId="44509"/>
    <cellStyle name="Input [yellow] 2 3 4 5 3" xfId="48415"/>
    <cellStyle name="Input [yellow] 2 3 4 5 4" xfId="36595"/>
    <cellStyle name="Input [yellow] 2 3 4 6" xfId="19485"/>
    <cellStyle name="Input [yellow] 2 3 4 6 2" xfId="45007"/>
    <cellStyle name="Input [yellow] 2 3 4 6 3" xfId="48913"/>
    <cellStyle name="Input [yellow] 2 3 4 7" xfId="40086"/>
    <cellStyle name="Input [yellow] 2 3 4 8" xfId="43506"/>
    <cellStyle name="Input [yellow] 2 4" xfId="6987"/>
    <cellStyle name="Input [yellow] 2 4 10" xfId="39727"/>
    <cellStyle name="Input [yellow] 2 4 11" xfId="39493"/>
    <cellStyle name="Input [yellow] 2 4 2" xfId="10514"/>
    <cellStyle name="Input [yellow] 2 4 2 2" xfId="18301"/>
    <cellStyle name="Input [yellow] 2 4 2 2 2" xfId="43833"/>
    <cellStyle name="Input [yellow] 2 4 2 2 3" xfId="47742"/>
    <cellStyle name="Input [yellow] 2 4 2 2 4" xfId="35924"/>
    <cellStyle name="Input [yellow] 2 4 2 3" xfId="20162"/>
    <cellStyle name="Input [yellow] 2 4 2 3 2" xfId="45684"/>
    <cellStyle name="Input [yellow] 2 4 2 3 3" xfId="49590"/>
    <cellStyle name="Input [yellow] 2 4 2 3 4" xfId="37634"/>
    <cellStyle name="Input [yellow] 2 4 2 4" xfId="11612"/>
    <cellStyle name="Input [yellow] 2 4 2 4 2" xfId="41603"/>
    <cellStyle name="Input [yellow] 2 4 2 4 3" xfId="43571"/>
    <cellStyle name="Input [yellow] 2 4 2 4 4" xfId="29301"/>
    <cellStyle name="Input [yellow] 2 4 2 5" xfId="20714"/>
    <cellStyle name="Input [yellow] 2 4 2 5 2" xfId="46236"/>
    <cellStyle name="Input [yellow] 2 4 2 5 3" xfId="50142"/>
    <cellStyle name="Input [yellow] 2 4 2 5 4" xfId="38106"/>
    <cellStyle name="Input [yellow] 2 4 2 6" xfId="21367"/>
    <cellStyle name="Input [yellow] 2 4 2 6 2" xfId="46889"/>
    <cellStyle name="Input [yellow] 2 4 2 6 3" xfId="50795"/>
    <cellStyle name="Input [yellow] 2 4 2 7" xfId="40692"/>
    <cellStyle name="Input [yellow] 2 4 2 8" xfId="41415"/>
    <cellStyle name="Input [yellow] 2 4 3" xfId="10809"/>
    <cellStyle name="Input [yellow] 2 4 3 2" xfId="18596"/>
    <cellStyle name="Input [yellow] 2 4 3 2 2" xfId="44128"/>
    <cellStyle name="Input [yellow] 2 4 3 2 3" xfId="48037"/>
    <cellStyle name="Input [yellow] 2 4 3 2 4" xfId="36219"/>
    <cellStyle name="Input [yellow] 2 4 3 3" xfId="19873"/>
    <cellStyle name="Input [yellow] 2 4 3 3 2" xfId="45395"/>
    <cellStyle name="Input [yellow] 2 4 3 3 3" xfId="49301"/>
    <cellStyle name="Input [yellow] 2 4 3 3 4" xfId="37373"/>
    <cellStyle name="Input [yellow] 2 4 3 4" xfId="19769"/>
    <cellStyle name="Input [yellow] 2 4 3 4 2" xfId="45291"/>
    <cellStyle name="Input [yellow] 2 4 3 4 3" xfId="49197"/>
    <cellStyle name="Input [yellow] 2 4 3 4 4" xfId="37281"/>
    <cellStyle name="Input [yellow] 2 4 3 5" xfId="21009"/>
    <cellStyle name="Input [yellow] 2 4 3 5 2" xfId="46531"/>
    <cellStyle name="Input [yellow] 2 4 3 5 3" xfId="50437"/>
    <cellStyle name="Input [yellow] 2 4 3 5 4" xfId="38401"/>
    <cellStyle name="Input [yellow] 2 4 3 6" xfId="21662"/>
    <cellStyle name="Input [yellow] 2 4 3 6 2" xfId="47184"/>
    <cellStyle name="Input [yellow] 2 4 3 6 3" xfId="51090"/>
    <cellStyle name="Input [yellow] 2 4 3 7" xfId="40987"/>
    <cellStyle name="Input [yellow] 2 4 3 8" xfId="40561"/>
    <cellStyle name="Input [yellow] 2 4 4" xfId="10159"/>
    <cellStyle name="Input [yellow] 2 4 4 2" xfId="17946"/>
    <cellStyle name="Input [yellow] 2 4 4 2 2" xfId="43721"/>
    <cellStyle name="Input [yellow] 2 4 4 2 3" xfId="47644"/>
    <cellStyle name="Input [yellow] 2 4 4 2 4" xfId="35569"/>
    <cellStyle name="Input [yellow] 2 4 4 3" xfId="19433"/>
    <cellStyle name="Input [yellow] 2 4 4 3 2" xfId="44955"/>
    <cellStyle name="Input [yellow] 2 4 4 3 3" xfId="48861"/>
    <cellStyle name="Input [yellow] 2 4 4 3 4" xfId="36984"/>
    <cellStyle name="Input [yellow] 2 4 4 4" xfId="19527"/>
    <cellStyle name="Input [yellow] 2 4 4 4 2" xfId="45049"/>
    <cellStyle name="Input [yellow] 2 4 4 4 3" xfId="48955"/>
    <cellStyle name="Input [yellow] 2 4 4 4 4" xfId="37058"/>
    <cellStyle name="Input [yellow] 2 4 4 5" xfId="20616"/>
    <cellStyle name="Input [yellow] 2 4 4 5 2" xfId="46138"/>
    <cellStyle name="Input [yellow] 2 4 4 5 3" xfId="50044"/>
    <cellStyle name="Input [yellow] 2 4 4 5 4" xfId="38008"/>
    <cellStyle name="Input [yellow] 2 4 4 6" xfId="21269"/>
    <cellStyle name="Input [yellow] 2 4 4 6 2" xfId="46791"/>
    <cellStyle name="Input [yellow] 2 4 4 6 3" xfId="50697"/>
    <cellStyle name="Input [yellow] 2 4 4 7" xfId="40580"/>
    <cellStyle name="Input [yellow] 2 4 4 8" xfId="47493"/>
    <cellStyle name="Input [yellow] 2 4 5" xfId="14769"/>
    <cellStyle name="Input [yellow] 2 4 5 2" xfId="42867"/>
    <cellStyle name="Input [yellow] 2 4 5 3" xfId="39037"/>
    <cellStyle name="Input [yellow] 2 4 5 4" xfId="32390"/>
    <cellStyle name="Input [yellow] 2 4 6" xfId="13057"/>
    <cellStyle name="Input [yellow] 2 4 6 2" xfId="42259"/>
    <cellStyle name="Input [yellow] 2 4 6 3" xfId="43659"/>
    <cellStyle name="Input [yellow] 2 4 6 4" xfId="30692"/>
    <cellStyle name="Input [yellow] 2 4 7" xfId="19163"/>
    <cellStyle name="Input [yellow] 2 4 7 2" xfId="44685"/>
    <cellStyle name="Input [yellow] 2 4 7 3" xfId="48591"/>
    <cellStyle name="Input [yellow] 2 4 7 4" xfId="36740"/>
    <cellStyle name="Input [yellow] 2 4 8" xfId="18873"/>
    <cellStyle name="Input [yellow] 2 4 8 2" xfId="44395"/>
    <cellStyle name="Input [yellow] 2 4 8 3" xfId="48301"/>
    <cellStyle name="Input [yellow] 2 4 8 4" xfId="36495"/>
    <cellStyle name="Input [yellow] 2 4 9" xfId="20277"/>
    <cellStyle name="Input [yellow] 2 4 9 2" xfId="45799"/>
    <cellStyle name="Input [yellow] 2 4 9 3" xfId="49705"/>
    <cellStyle name="Input [yellow] 2 4 9 4" xfId="37730"/>
    <cellStyle name="Input [yellow] 2 5" xfId="10433"/>
    <cellStyle name="Input [yellow] 2 5 2" xfId="18220"/>
    <cellStyle name="Input [yellow] 2 5 2 2" xfId="43752"/>
    <cellStyle name="Input [yellow] 2 5 2 3" xfId="47661"/>
    <cellStyle name="Input [yellow] 2 5 2 4" xfId="35843"/>
    <cellStyle name="Input [yellow] 2 5 3" xfId="19300"/>
    <cellStyle name="Input [yellow] 2 5 3 2" xfId="44822"/>
    <cellStyle name="Input [yellow] 2 5 3 3" xfId="48728"/>
    <cellStyle name="Input [yellow] 2 5 3 4" xfId="36864"/>
    <cellStyle name="Input [yellow] 2 5 4" xfId="11566"/>
    <cellStyle name="Input [yellow] 2 5 4 2" xfId="41557"/>
    <cellStyle name="Input [yellow] 2 5 4 3" xfId="43680"/>
    <cellStyle name="Input [yellow] 2 5 4 4" xfId="29263"/>
    <cellStyle name="Input [yellow] 2 5 5" xfId="20633"/>
    <cellStyle name="Input [yellow] 2 5 5 2" xfId="46155"/>
    <cellStyle name="Input [yellow] 2 5 5 3" xfId="50061"/>
    <cellStyle name="Input [yellow] 2 5 5 4" xfId="38025"/>
    <cellStyle name="Input [yellow] 2 5 6" xfId="21286"/>
    <cellStyle name="Input [yellow] 2 5 6 2" xfId="46808"/>
    <cellStyle name="Input [yellow] 2 5 6 3" xfId="50714"/>
    <cellStyle name="Input [yellow] 2 5 7" xfId="40611"/>
    <cellStyle name="Input [yellow] 2 5 8" xfId="43222"/>
    <cellStyle name="Input [yellow] 2 6" xfId="7772"/>
    <cellStyle name="Input [yellow] 2 6 2" xfId="15563"/>
    <cellStyle name="Input [yellow] 2 6 2 2" xfId="43225"/>
    <cellStyle name="Input [yellow] 2 6 2 3" xfId="41905"/>
    <cellStyle name="Input [yellow] 2 6 2 4" xfId="33184"/>
    <cellStyle name="Input [yellow] 2 6 3" xfId="20071"/>
    <cellStyle name="Input [yellow] 2 6 3 2" xfId="45593"/>
    <cellStyle name="Input [yellow] 2 6 3 3" xfId="49499"/>
    <cellStyle name="Input [yellow] 2 6 3 4" xfId="37550"/>
    <cellStyle name="Input [yellow] 2 6 4" xfId="19458"/>
    <cellStyle name="Input [yellow] 2 6 4 2" xfId="44980"/>
    <cellStyle name="Input [yellow] 2 6 4 3" xfId="48886"/>
    <cellStyle name="Input [yellow] 2 6 4 4" xfId="37002"/>
    <cellStyle name="Input [yellow] 2 6 5" xfId="20333"/>
    <cellStyle name="Input [yellow] 2 6 5 2" xfId="45855"/>
    <cellStyle name="Input [yellow] 2 6 5 3" xfId="49761"/>
    <cellStyle name="Input [yellow] 2 6 5 4" xfId="37779"/>
    <cellStyle name="Input [yellow] 2 6 6" xfId="12669"/>
    <cellStyle name="Input [yellow] 2 6 6 2" xfId="42129"/>
    <cellStyle name="Input [yellow] 2 6 6 3" xfId="40308"/>
    <cellStyle name="Input [yellow] 2 6 7" xfId="40084"/>
    <cellStyle name="Input [yellow] 2 6 8" xfId="47596"/>
    <cellStyle name="Input [yellow] 2 7" xfId="52948"/>
    <cellStyle name="Input [yellow] 2_BallGrid" xfId="1779"/>
    <cellStyle name="Input [yellow] 3" xfId="1780"/>
    <cellStyle name="Input [yellow] 3 2" xfId="1781"/>
    <cellStyle name="Input [yellow] 3 2 2" xfId="6991"/>
    <cellStyle name="Input [yellow] 3 2 2 10" xfId="39731"/>
    <cellStyle name="Input [yellow] 3 2 2 11" xfId="39391"/>
    <cellStyle name="Input [yellow] 3 2 2 2" xfId="10518"/>
    <cellStyle name="Input [yellow] 3 2 2 2 2" xfId="18305"/>
    <cellStyle name="Input [yellow] 3 2 2 2 2 2" xfId="43837"/>
    <cellStyle name="Input [yellow] 3 2 2 2 2 3" xfId="47746"/>
    <cellStyle name="Input [yellow] 3 2 2 2 2 4" xfId="35928"/>
    <cellStyle name="Input [yellow] 3 2 2 2 3" xfId="19903"/>
    <cellStyle name="Input [yellow] 3 2 2 2 3 2" xfId="45425"/>
    <cellStyle name="Input [yellow] 3 2 2 2 3 3" xfId="49331"/>
    <cellStyle name="Input [yellow] 3 2 2 2 3 4" xfId="37403"/>
    <cellStyle name="Input [yellow] 3 2 2 2 4" xfId="19768"/>
    <cellStyle name="Input [yellow] 3 2 2 2 4 2" xfId="45290"/>
    <cellStyle name="Input [yellow] 3 2 2 2 4 3" xfId="49196"/>
    <cellStyle name="Input [yellow] 3 2 2 2 4 4" xfId="37280"/>
    <cellStyle name="Input [yellow] 3 2 2 2 5" xfId="20718"/>
    <cellStyle name="Input [yellow] 3 2 2 2 5 2" xfId="46240"/>
    <cellStyle name="Input [yellow] 3 2 2 2 5 3" xfId="50146"/>
    <cellStyle name="Input [yellow] 3 2 2 2 5 4" xfId="38110"/>
    <cellStyle name="Input [yellow] 3 2 2 2 6" xfId="21371"/>
    <cellStyle name="Input [yellow] 3 2 2 2 6 2" xfId="46893"/>
    <cellStyle name="Input [yellow] 3 2 2 2 6 3" xfId="50799"/>
    <cellStyle name="Input [yellow] 3 2 2 2 7" xfId="40696"/>
    <cellStyle name="Input [yellow] 3 2 2 2 8" xfId="43716"/>
    <cellStyle name="Input [yellow] 3 2 2 3" xfId="10813"/>
    <cellStyle name="Input [yellow] 3 2 2 3 2" xfId="18600"/>
    <cellStyle name="Input [yellow] 3 2 2 3 2 2" xfId="44132"/>
    <cellStyle name="Input [yellow] 3 2 2 3 2 3" xfId="48041"/>
    <cellStyle name="Input [yellow] 3 2 2 3 2 4" xfId="36223"/>
    <cellStyle name="Input [yellow] 3 2 2 3 3" xfId="19712"/>
    <cellStyle name="Input [yellow] 3 2 2 3 3 2" xfId="45234"/>
    <cellStyle name="Input [yellow] 3 2 2 3 3 3" xfId="49140"/>
    <cellStyle name="Input [yellow] 3 2 2 3 3 4" xfId="37225"/>
    <cellStyle name="Input [yellow] 3 2 2 3 4" xfId="20178"/>
    <cellStyle name="Input [yellow] 3 2 2 3 4 2" xfId="45700"/>
    <cellStyle name="Input [yellow] 3 2 2 3 4 3" xfId="49606"/>
    <cellStyle name="Input [yellow] 3 2 2 3 4 4" xfId="37647"/>
    <cellStyle name="Input [yellow] 3 2 2 3 5" xfId="21013"/>
    <cellStyle name="Input [yellow] 3 2 2 3 5 2" xfId="46535"/>
    <cellStyle name="Input [yellow] 3 2 2 3 5 3" xfId="50441"/>
    <cellStyle name="Input [yellow] 3 2 2 3 5 4" xfId="38405"/>
    <cellStyle name="Input [yellow] 3 2 2 3 6" xfId="21666"/>
    <cellStyle name="Input [yellow] 3 2 2 3 6 2" xfId="47188"/>
    <cellStyle name="Input [yellow] 3 2 2 3 6 3" xfId="51094"/>
    <cellStyle name="Input [yellow] 3 2 2 3 7" xfId="40991"/>
    <cellStyle name="Input [yellow] 3 2 2 3 8" xfId="40456"/>
    <cellStyle name="Input [yellow] 3 2 2 4" xfId="10163"/>
    <cellStyle name="Input [yellow] 3 2 2 4 2" xfId="17950"/>
    <cellStyle name="Input [yellow] 3 2 2 4 2 2" xfId="43725"/>
    <cellStyle name="Input [yellow] 3 2 2 4 2 3" xfId="47648"/>
    <cellStyle name="Input [yellow] 3 2 2 4 2 4" xfId="35573"/>
    <cellStyle name="Input [yellow] 3 2 2 4 3" xfId="19139"/>
    <cellStyle name="Input [yellow] 3 2 2 4 3 2" xfId="44661"/>
    <cellStyle name="Input [yellow] 3 2 2 4 3 3" xfId="48567"/>
    <cellStyle name="Input [yellow] 3 2 2 4 3 4" xfId="36719"/>
    <cellStyle name="Input [yellow] 3 2 2 4 4" xfId="18907"/>
    <cellStyle name="Input [yellow] 3 2 2 4 4 2" xfId="44429"/>
    <cellStyle name="Input [yellow] 3 2 2 4 4 3" xfId="48335"/>
    <cellStyle name="Input [yellow] 3 2 2 4 4 4" xfId="36523"/>
    <cellStyle name="Input [yellow] 3 2 2 4 5" xfId="20620"/>
    <cellStyle name="Input [yellow] 3 2 2 4 5 2" xfId="46142"/>
    <cellStyle name="Input [yellow] 3 2 2 4 5 3" xfId="50048"/>
    <cellStyle name="Input [yellow] 3 2 2 4 5 4" xfId="38012"/>
    <cellStyle name="Input [yellow] 3 2 2 4 6" xfId="21273"/>
    <cellStyle name="Input [yellow] 3 2 2 4 6 2" xfId="46795"/>
    <cellStyle name="Input [yellow] 3 2 2 4 6 3" xfId="50701"/>
    <cellStyle name="Input [yellow] 3 2 2 4 7" xfId="40584"/>
    <cellStyle name="Input [yellow] 3 2 2 4 8" xfId="39584"/>
    <cellStyle name="Input [yellow] 3 2 2 5" xfId="14773"/>
    <cellStyle name="Input [yellow] 3 2 2 5 2" xfId="42871"/>
    <cellStyle name="Input [yellow] 3 2 2 5 3" xfId="42759"/>
    <cellStyle name="Input [yellow] 3 2 2 5 4" xfId="32394"/>
    <cellStyle name="Input [yellow] 3 2 2 6" xfId="13061"/>
    <cellStyle name="Input [yellow] 3 2 2 6 2" xfId="42263"/>
    <cellStyle name="Input [yellow] 3 2 2 6 3" xfId="43552"/>
    <cellStyle name="Input [yellow] 3 2 2 6 4" xfId="30696"/>
    <cellStyle name="Input [yellow] 3 2 2 7" xfId="19477"/>
    <cellStyle name="Input [yellow] 3 2 2 7 2" xfId="44999"/>
    <cellStyle name="Input [yellow] 3 2 2 7 3" xfId="48905"/>
    <cellStyle name="Input [yellow] 3 2 2 7 4" xfId="37019"/>
    <cellStyle name="Input [yellow] 3 2 2 8" xfId="19798"/>
    <cellStyle name="Input [yellow] 3 2 2 8 2" xfId="45320"/>
    <cellStyle name="Input [yellow] 3 2 2 8 3" xfId="49226"/>
    <cellStyle name="Input [yellow] 3 2 2 8 4" xfId="37305"/>
    <cellStyle name="Input [yellow] 3 2 2 9" xfId="12820"/>
    <cellStyle name="Input [yellow] 3 2 2 9 2" xfId="42204"/>
    <cellStyle name="Input [yellow] 3 2 2 9 3" xfId="39421"/>
    <cellStyle name="Input [yellow] 3 2 2 9 4" xfId="30461"/>
    <cellStyle name="Input [yellow] 3 2 3" xfId="10437"/>
    <cellStyle name="Input [yellow] 3 2 3 2" xfId="18224"/>
    <cellStyle name="Input [yellow] 3 2 3 2 2" xfId="43756"/>
    <cellStyle name="Input [yellow] 3 2 3 2 3" xfId="47665"/>
    <cellStyle name="Input [yellow] 3 2 3 2 4" xfId="35847"/>
    <cellStyle name="Input [yellow] 3 2 3 3" xfId="11477"/>
    <cellStyle name="Input [yellow] 3 2 3 3 2" xfId="41468"/>
    <cellStyle name="Input [yellow] 3 2 3 3 3" xfId="39549"/>
    <cellStyle name="Input [yellow] 3 2 3 3 4" xfId="29178"/>
    <cellStyle name="Input [yellow] 3 2 3 4" xfId="19678"/>
    <cellStyle name="Input [yellow] 3 2 3 4 2" xfId="45200"/>
    <cellStyle name="Input [yellow] 3 2 3 4 3" xfId="49106"/>
    <cellStyle name="Input [yellow] 3 2 3 4 4" xfId="37195"/>
    <cellStyle name="Input [yellow] 3 2 3 5" xfId="20637"/>
    <cellStyle name="Input [yellow] 3 2 3 5 2" xfId="46159"/>
    <cellStyle name="Input [yellow] 3 2 3 5 3" xfId="50065"/>
    <cellStyle name="Input [yellow] 3 2 3 5 4" xfId="38029"/>
    <cellStyle name="Input [yellow] 3 2 3 6" xfId="21290"/>
    <cellStyle name="Input [yellow] 3 2 3 6 2" xfId="46812"/>
    <cellStyle name="Input [yellow] 3 2 3 6 3" xfId="50718"/>
    <cellStyle name="Input [yellow] 3 2 3 7" xfId="40615"/>
    <cellStyle name="Input [yellow] 3 2 3 8" xfId="40238"/>
    <cellStyle name="Input [yellow] 3 2 4" xfId="7776"/>
    <cellStyle name="Input [yellow] 3 2 4 2" xfId="15567"/>
    <cellStyle name="Input [yellow] 3 2 4 2 2" xfId="43229"/>
    <cellStyle name="Input [yellow] 3 2 4 2 3" xfId="41906"/>
    <cellStyle name="Input [yellow] 3 2 4 2 4" xfId="33188"/>
    <cellStyle name="Input [yellow] 3 2 4 3" xfId="19796"/>
    <cellStyle name="Input [yellow] 3 2 4 3 2" xfId="45318"/>
    <cellStyle name="Input [yellow] 3 2 4 3 3" xfId="49224"/>
    <cellStyle name="Input [yellow] 3 2 4 3 4" xfId="37303"/>
    <cellStyle name="Input [yellow] 3 2 4 4" xfId="20273"/>
    <cellStyle name="Input [yellow] 3 2 4 4 2" xfId="45795"/>
    <cellStyle name="Input [yellow] 3 2 4 4 3" xfId="49701"/>
    <cellStyle name="Input [yellow] 3 2 4 4 4" xfId="37727"/>
    <cellStyle name="Input [yellow] 3 2 4 5" xfId="18884"/>
    <cellStyle name="Input [yellow] 3 2 4 5 2" xfId="44406"/>
    <cellStyle name="Input [yellow] 3 2 4 5 3" xfId="48312"/>
    <cellStyle name="Input [yellow] 3 2 4 5 4" xfId="36506"/>
    <cellStyle name="Input [yellow] 3 2 4 6" xfId="19766"/>
    <cellStyle name="Input [yellow] 3 2 4 6 2" xfId="45288"/>
    <cellStyle name="Input [yellow] 3 2 4 6 3" xfId="49194"/>
    <cellStyle name="Input [yellow] 3 2 4 7" xfId="40088"/>
    <cellStyle name="Input [yellow] 3 2 4 8" xfId="39481"/>
    <cellStyle name="Input [yellow] 3 2 5" xfId="52951"/>
    <cellStyle name="Input [yellow] 3 3" xfId="1782"/>
    <cellStyle name="Input [yellow] 3 3 2" xfId="6992"/>
    <cellStyle name="Input [yellow] 3 3 2 10" xfId="39732"/>
    <cellStyle name="Input [yellow] 3 3 2 11" xfId="39226"/>
    <cellStyle name="Input [yellow] 3 3 2 2" xfId="10519"/>
    <cellStyle name="Input [yellow] 3 3 2 2 2" xfId="18306"/>
    <cellStyle name="Input [yellow] 3 3 2 2 2 2" xfId="43838"/>
    <cellStyle name="Input [yellow] 3 3 2 2 2 3" xfId="47747"/>
    <cellStyle name="Input [yellow] 3 3 2 2 2 4" xfId="35929"/>
    <cellStyle name="Input [yellow] 3 3 2 2 3" xfId="19126"/>
    <cellStyle name="Input [yellow] 3 3 2 2 3 2" xfId="44648"/>
    <cellStyle name="Input [yellow] 3 3 2 2 3 3" xfId="48554"/>
    <cellStyle name="Input [yellow] 3 3 2 2 3 4" xfId="36707"/>
    <cellStyle name="Input [yellow] 3 3 2 2 4" xfId="19373"/>
    <cellStyle name="Input [yellow] 3 3 2 2 4 2" xfId="44895"/>
    <cellStyle name="Input [yellow] 3 3 2 2 4 3" xfId="48801"/>
    <cellStyle name="Input [yellow] 3 3 2 2 4 4" xfId="36925"/>
    <cellStyle name="Input [yellow] 3 3 2 2 5" xfId="20719"/>
    <cellStyle name="Input [yellow] 3 3 2 2 5 2" xfId="46241"/>
    <cellStyle name="Input [yellow] 3 3 2 2 5 3" xfId="50147"/>
    <cellStyle name="Input [yellow] 3 3 2 2 5 4" xfId="38111"/>
    <cellStyle name="Input [yellow] 3 3 2 2 6" xfId="21372"/>
    <cellStyle name="Input [yellow] 3 3 2 2 6 2" xfId="46894"/>
    <cellStyle name="Input [yellow] 3 3 2 2 6 3" xfId="50800"/>
    <cellStyle name="Input [yellow] 3 3 2 2 7" xfId="40697"/>
    <cellStyle name="Input [yellow] 3 3 2 2 8" xfId="40575"/>
    <cellStyle name="Input [yellow] 3 3 2 3" xfId="10814"/>
    <cellStyle name="Input [yellow] 3 3 2 3 2" xfId="18601"/>
    <cellStyle name="Input [yellow] 3 3 2 3 2 2" xfId="44133"/>
    <cellStyle name="Input [yellow] 3 3 2 3 2 3" xfId="48042"/>
    <cellStyle name="Input [yellow] 3 3 2 3 2 4" xfId="36224"/>
    <cellStyle name="Input [yellow] 3 3 2 3 3" xfId="20134"/>
    <cellStyle name="Input [yellow] 3 3 2 3 3 2" xfId="45656"/>
    <cellStyle name="Input [yellow] 3 3 2 3 3 3" xfId="49562"/>
    <cellStyle name="Input [yellow] 3 3 2 3 3 4" xfId="37606"/>
    <cellStyle name="Input [yellow] 3 3 2 3 4" xfId="12637"/>
    <cellStyle name="Input [yellow] 3 3 2 3 4 2" xfId="42097"/>
    <cellStyle name="Input [yellow] 3 3 2 3 4 3" xfId="43172"/>
    <cellStyle name="Input [yellow] 3 3 2 3 4 4" xfId="30288"/>
    <cellStyle name="Input [yellow] 3 3 2 3 5" xfId="21014"/>
    <cellStyle name="Input [yellow] 3 3 2 3 5 2" xfId="46536"/>
    <cellStyle name="Input [yellow] 3 3 2 3 5 3" xfId="50442"/>
    <cellStyle name="Input [yellow] 3 3 2 3 5 4" xfId="38406"/>
    <cellStyle name="Input [yellow] 3 3 2 3 6" xfId="21667"/>
    <cellStyle name="Input [yellow] 3 3 2 3 6 2" xfId="47189"/>
    <cellStyle name="Input [yellow] 3 3 2 3 6 3" xfId="51095"/>
    <cellStyle name="Input [yellow] 3 3 2 3 7" xfId="40992"/>
    <cellStyle name="Input [yellow] 3 3 2 3 8" xfId="39566"/>
    <cellStyle name="Input [yellow] 3 3 2 4" xfId="10164"/>
    <cellStyle name="Input [yellow] 3 3 2 4 2" xfId="17951"/>
    <cellStyle name="Input [yellow] 3 3 2 4 2 2" xfId="43726"/>
    <cellStyle name="Input [yellow] 3 3 2 4 2 3" xfId="47649"/>
    <cellStyle name="Input [yellow] 3 3 2 4 2 4" xfId="35574"/>
    <cellStyle name="Input [yellow] 3 3 2 4 3" xfId="19765"/>
    <cellStyle name="Input [yellow] 3 3 2 4 3 2" xfId="45287"/>
    <cellStyle name="Input [yellow] 3 3 2 4 3 3" xfId="49193"/>
    <cellStyle name="Input [yellow] 3 3 2 4 3 4" xfId="37278"/>
    <cellStyle name="Input [yellow] 3 3 2 4 4" xfId="11071"/>
    <cellStyle name="Input [yellow] 3 3 2 4 4 2" xfId="41249"/>
    <cellStyle name="Input [yellow] 3 3 2 4 4 3" xfId="42015"/>
    <cellStyle name="Input [yellow] 3 3 2 4 4 4" xfId="28787"/>
    <cellStyle name="Input [yellow] 3 3 2 4 5" xfId="20621"/>
    <cellStyle name="Input [yellow] 3 3 2 4 5 2" xfId="46143"/>
    <cellStyle name="Input [yellow] 3 3 2 4 5 3" xfId="50049"/>
    <cellStyle name="Input [yellow] 3 3 2 4 5 4" xfId="38013"/>
    <cellStyle name="Input [yellow] 3 3 2 4 6" xfId="21274"/>
    <cellStyle name="Input [yellow] 3 3 2 4 6 2" xfId="46796"/>
    <cellStyle name="Input [yellow] 3 3 2 4 6 3" xfId="50702"/>
    <cellStyle name="Input [yellow] 3 3 2 4 7" xfId="40585"/>
    <cellStyle name="Input [yellow] 3 3 2 4 8" xfId="47492"/>
    <cellStyle name="Input [yellow] 3 3 2 5" xfId="14774"/>
    <cellStyle name="Input [yellow] 3 3 2 5 2" xfId="42872"/>
    <cellStyle name="Input [yellow] 3 3 2 5 3" xfId="43646"/>
    <cellStyle name="Input [yellow] 3 3 2 5 4" xfId="32395"/>
    <cellStyle name="Input [yellow] 3 3 2 6" xfId="13062"/>
    <cellStyle name="Input [yellow] 3 3 2 6 2" xfId="42264"/>
    <cellStyle name="Input [yellow] 3 3 2 6 3" xfId="40413"/>
    <cellStyle name="Input [yellow] 3 3 2 6 4" xfId="30697"/>
    <cellStyle name="Input [yellow] 3 3 2 7" xfId="20191"/>
    <cellStyle name="Input [yellow] 3 3 2 7 2" xfId="45713"/>
    <cellStyle name="Input [yellow] 3 3 2 7 3" xfId="49619"/>
    <cellStyle name="Input [yellow] 3 3 2 7 4" xfId="37659"/>
    <cellStyle name="Input [yellow] 3 3 2 8" xfId="20497"/>
    <cellStyle name="Input [yellow] 3 3 2 8 2" xfId="46019"/>
    <cellStyle name="Input [yellow] 3 3 2 8 3" xfId="49925"/>
    <cellStyle name="Input [yellow] 3 3 2 8 4" xfId="37919"/>
    <cellStyle name="Input [yellow] 3 3 2 9" xfId="20058"/>
    <cellStyle name="Input [yellow] 3 3 2 9 2" xfId="45580"/>
    <cellStyle name="Input [yellow] 3 3 2 9 3" xfId="49486"/>
    <cellStyle name="Input [yellow] 3 3 2 9 4" xfId="37538"/>
    <cellStyle name="Input [yellow] 3 3 3" xfId="10438"/>
    <cellStyle name="Input [yellow] 3 3 3 2" xfId="18225"/>
    <cellStyle name="Input [yellow] 3 3 3 2 2" xfId="43757"/>
    <cellStyle name="Input [yellow] 3 3 3 2 3" xfId="47666"/>
    <cellStyle name="Input [yellow] 3 3 3 2 4" xfId="35848"/>
    <cellStyle name="Input [yellow] 3 3 3 3" xfId="19759"/>
    <cellStyle name="Input [yellow] 3 3 3 3 2" xfId="45281"/>
    <cellStyle name="Input [yellow] 3 3 3 3 3" xfId="49187"/>
    <cellStyle name="Input [yellow] 3 3 3 3 4" xfId="37272"/>
    <cellStyle name="Input [yellow] 3 3 3 4" xfId="19055"/>
    <cellStyle name="Input [yellow] 3 3 3 4 2" xfId="44577"/>
    <cellStyle name="Input [yellow] 3 3 3 4 3" xfId="48483"/>
    <cellStyle name="Input [yellow] 3 3 3 4 4" xfId="36640"/>
    <cellStyle name="Input [yellow] 3 3 3 5" xfId="20638"/>
    <cellStyle name="Input [yellow] 3 3 3 5 2" xfId="46160"/>
    <cellStyle name="Input [yellow] 3 3 3 5 3" xfId="50066"/>
    <cellStyle name="Input [yellow] 3 3 3 5 4" xfId="38030"/>
    <cellStyle name="Input [yellow] 3 3 3 6" xfId="21291"/>
    <cellStyle name="Input [yellow] 3 3 3 6 2" xfId="46813"/>
    <cellStyle name="Input [yellow] 3 3 3 6 3" xfId="50719"/>
    <cellStyle name="Input [yellow] 3 3 3 7" xfId="40616"/>
    <cellStyle name="Input [yellow] 3 3 3 8" xfId="39378"/>
    <cellStyle name="Input [yellow] 3 3 4" xfId="7777"/>
    <cellStyle name="Input [yellow] 3 3 4 2" xfId="15568"/>
    <cellStyle name="Input [yellow] 3 3 4 2 2" xfId="43230"/>
    <cellStyle name="Input [yellow] 3 3 4 2 3" xfId="43261"/>
    <cellStyle name="Input [yellow] 3 3 4 2 4" xfId="33189"/>
    <cellStyle name="Input [yellow] 3 3 4 3" xfId="11421"/>
    <cellStyle name="Input [yellow] 3 3 4 3 2" xfId="41426"/>
    <cellStyle name="Input [yellow] 3 3 4 3 3" xfId="47485"/>
    <cellStyle name="Input [yellow] 3 3 4 3 4" xfId="29128"/>
    <cellStyle name="Input [yellow] 3 3 4 4" xfId="11588"/>
    <cellStyle name="Input [yellow] 3 3 4 4 2" xfId="41579"/>
    <cellStyle name="Input [yellow] 3 3 4 4 3" xfId="40536"/>
    <cellStyle name="Input [yellow] 3 3 4 4 4" xfId="29281"/>
    <cellStyle name="Input [yellow] 3 3 4 5" xfId="11589"/>
    <cellStyle name="Input [yellow] 3 3 4 5 2" xfId="41580"/>
    <cellStyle name="Input [yellow] 3 3 4 5 3" xfId="39647"/>
    <cellStyle name="Input [yellow] 3 3 4 5 4" xfId="29282"/>
    <cellStyle name="Input [yellow] 3 3 4 6" xfId="19212"/>
    <cellStyle name="Input [yellow] 3 3 4 6 2" xfId="44734"/>
    <cellStyle name="Input [yellow] 3 3 4 6 3" xfId="48640"/>
    <cellStyle name="Input [yellow] 3 3 4 7" xfId="40089"/>
    <cellStyle name="Input [yellow] 3 3 4 8" xfId="47521"/>
    <cellStyle name="Input [yellow] 3 4" xfId="6990"/>
    <cellStyle name="Input [yellow] 3 4 10" xfId="39730"/>
    <cellStyle name="Input [yellow] 3 4 11" xfId="40263"/>
    <cellStyle name="Input [yellow] 3 4 2" xfId="10517"/>
    <cellStyle name="Input [yellow] 3 4 2 2" xfId="18304"/>
    <cellStyle name="Input [yellow] 3 4 2 2 2" xfId="43836"/>
    <cellStyle name="Input [yellow] 3 4 2 2 3" xfId="47745"/>
    <cellStyle name="Input [yellow] 3 4 2 2 4" xfId="35927"/>
    <cellStyle name="Input [yellow] 3 4 2 3" xfId="19294"/>
    <cellStyle name="Input [yellow] 3 4 2 3 2" xfId="44816"/>
    <cellStyle name="Input [yellow] 3 4 2 3 3" xfId="48722"/>
    <cellStyle name="Input [yellow] 3 4 2 3 4" xfId="36858"/>
    <cellStyle name="Input [yellow] 3 4 2 4" xfId="20251"/>
    <cellStyle name="Input [yellow] 3 4 2 4 2" xfId="45773"/>
    <cellStyle name="Input [yellow] 3 4 2 4 3" xfId="49679"/>
    <cellStyle name="Input [yellow] 3 4 2 4 4" xfId="37707"/>
    <cellStyle name="Input [yellow] 3 4 2 5" xfId="20717"/>
    <cellStyle name="Input [yellow] 3 4 2 5 2" xfId="46239"/>
    <cellStyle name="Input [yellow] 3 4 2 5 3" xfId="50145"/>
    <cellStyle name="Input [yellow] 3 4 2 5 4" xfId="38109"/>
    <cellStyle name="Input [yellow] 3 4 2 6" xfId="21370"/>
    <cellStyle name="Input [yellow] 3 4 2 6 2" xfId="46892"/>
    <cellStyle name="Input [yellow] 3 4 2 6 3" xfId="50798"/>
    <cellStyle name="Input [yellow] 3 4 2 7" xfId="40695"/>
    <cellStyle name="Input [yellow] 3 4 2 8" xfId="42827"/>
    <cellStyle name="Input [yellow] 3 4 3" xfId="10812"/>
    <cellStyle name="Input [yellow] 3 4 3 2" xfId="18599"/>
    <cellStyle name="Input [yellow] 3 4 3 2 2" xfId="44131"/>
    <cellStyle name="Input [yellow] 3 4 3 2 3" xfId="48040"/>
    <cellStyle name="Input [yellow] 3 4 3 2 4" xfId="36222"/>
    <cellStyle name="Input [yellow] 3 4 3 3" xfId="12627"/>
    <cellStyle name="Input [yellow] 3 4 3 3 2" xfId="42087"/>
    <cellStyle name="Input [yellow] 3 4 3 3 3" xfId="42537"/>
    <cellStyle name="Input [yellow] 3 4 3 3 4" xfId="30278"/>
    <cellStyle name="Input [yellow] 3 4 3 4" xfId="18889"/>
    <cellStyle name="Input [yellow] 3 4 3 4 2" xfId="44411"/>
    <cellStyle name="Input [yellow] 3 4 3 4 3" xfId="48317"/>
    <cellStyle name="Input [yellow] 3 4 3 4 4" xfId="36508"/>
    <cellStyle name="Input [yellow] 3 4 3 5" xfId="21012"/>
    <cellStyle name="Input [yellow] 3 4 3 5 2" xfId="46534"/>
    <cellStyle name="Input [yellow] 3 4 3 5 3" xfId="50440"/>
    <cellStyle name="Input [yellow] 3 4 3 5 4" xfId="38404"/>
    <cellStyle name="Input [yellow] 3 4 3 6" xfId="21665"/>
    <cellStyle name="Input [yellow] 3 4 3 6 2" xfId="47187"/>
    <cellStyle name="Input [yellow] 3 4 3 6 3" xfId="51093"/>
    <cellStyle name="Input [yellow] 3 4 3 7" xfId="40990"/>
    <cellStyle name="Input [yellow] 3 4 3 8" xfId="43598"/>
    <cellStyle name="Input [yellow] 3 4 4" xfId="10162"/>
    <cellStyle name="Input [yellow] 3 4 4 2" xfId="17949"/>
    <cellStyle name="Input [yellow] 3 4 4 2 2" xfId="43724"/>
    <cellStyle name="Input [yellow] 3 4 4 2 3" xfId="47647"/>
    <cellStyle name="Input [yellow] 3 4 4 2 4" xfId="35572"/>
    <cellStyle name="Input [yellow] 3 4 4 3" xfId="19918"/>
    <cellStyle name="Input [yellow] 3 4 4 3 2" xfId="45440"/>
    <cellStyle name="Input [yellow] 3 4 4 3 3" xfId="49346"/>
    <cellStyle name="Input [yellow] 3 4 4 3 4" xfId="37416"/>
    <cellStyle name="Input [yellow] 3 4 4 4" xfId="20228"/>
    <cellStyle name="Input [yellow] 3 4 4 4 2" xfId="45750"/>
    <cellStyle name="Input [yellow] 3 4 4 4 3" xfId="49656"/>
    <cellStyle name="Input [yellow] 3 4 4 4 4" xfId="37687"/>
    <cellStyle name="Input [yellow] 3 4 4 5" xfId="20619"/>
    <cellStyle name="Input [yellow] 3 4 4 5 2" xfId="46141"/>
    <cellStyle name="Input [yellow] 3 4 4 5 3" xfId="50047"/>
    <cellStyle name="Input [yellow] 3 4 4 5 4" xfId="38011"/>
    <cellStyle name="Input [yellow] 3 4 4 6" xfId="21272"/>
    <cellStyle name="Input [yellow] 3 4 4 6 2" xfId="46794"/>
    <cellStyle name="Input [yellow] 3 4 4 6 3" xfId="50700"/>
    <cellStyle name="Input [yellow] 3 4 4 7" xfId="40583"/>
    <cellStyle name="Input [yellow] 3 4 4 8" xfId="40474"/>
    <cellStyle name="Input [yellow] 3 4 5" xfId="14772"/>
    <cellStyle name="Input [yellow] 3 4 5 2" xfId="42870"/>
    <cellStyle name="Input [yellow] 3 4 5 3" xfId="40017"/>
    <cellStyle name="Input [yellow] 3 4 5 4" xfId="32393"/>
    <cellStyle name="Input [yellow] 3 4 6" xfId="13060"/>
    <cellStyle name="Input [yellow] 3 4 6 2" xfId="42262"/>
    <cellStyle name="Input [yellow] 3 4 6 3" xfId="42664"/>
    <cellStyle name="Input [yellow] 3 4 6 4" xfId="30695"/>
    <cellStyle name="Input [yellow] 3 4 7" xfId="12723"/>
    <cellStyle name="Input [yellow] 3 4 7 2" xfId="42159"/>
    <cellStyle name="Input [yellow] 3 4 7 3" xfId="39526"/>
    <cellStyle name="Input [yellow] 3 4 7 4" xfId="30367"/>
    <cellStyle name="Input [yellow] 3 4 8" xfId="20453"/>
    <cellStyle name="Input [yellow] 3 4 8 2" xfId="45975"/>
    <cellStyle name="Input [yellow] 3 4 8 3" xfId="49881"/>
    <cellStyle name="Input [yellow] 3 4 8 4" xfId="37892"/>
    <cellStyle name="Input [yellow] 3 4 9" xfId="19666"/>
    <cellStyle name="Input [yellow] 3 4 9 2" xfId="45188"/>
    <cellStyle name="Input [yellow] 3 4 9 3" xfId="49094"/>
    <cellStyle name="Input [yellow] 3 4 9 4" xfId="37184"/>
    <cellStyle name="Input [yellow] 3 5" xfId="10436"/>
    <cellStyle name="Input [yellow] 3 5 2" xfId="18223"/>
    <cellStyle name="Input [yellow] 3 5 2 2" xfId="43755"/>
    <cellStyle name="Input [yellow] 3 5 2 3" xfId="47664"/>
    <cellStyle name="Input [yellow] 3 5 2 4" xfId="35846"/>
    <cellStyle name="Input [yellow] 3 5 3" xfId="19757"/>
    <cellStyle name="Input [yellow] 3 5 3 2" xfId="45279"/>
    <cellStyle name="Input [yellow] 3 5 3 3" xfId="49185"/>
    <cellStyle name="Input [yellow] 3 5 3 4" xfId="37270"/>
    <cellStyle name="Input [yellow] 3 5 4" xfId="20088"/>
    <cellStyle name="Input [yellow] 3 5 4 2" xfId="45610"/>
    <cellStyle name="Input [yellow] 3 5 4 3" xfId="49516"/>
    <cellStyle name="Input [yellow] 3 5 4 4" xfId="37563"/>
    <cellStyle name="Input [yellow] 3 5 5" xfId="20636"/>
    <cellStyle name="Input [yellow] 3 5 5 2" xfId="46158"/>
    <cellStyle name="Input [yellow] 3 5 5 3" xfId="50064"/>
    <cellStyle name="Input [yellow] 3 5 5 4" xfId="38028"/>
    <cellStyle name="Input [yellow] 3 5 6" xfId="21289"/>
    <cellStyle name="Input [yellow] 3 5 6 2" xfId="46811"/>
    <cellStyle name="Input [yellow] 3 5 6 3" xfId="50717"/>
    <cellStyle name="Input [yellow] 3 5 7" xfId="40614"/>
    <cellStyle name="Input [yellow] 3 5 8" xfId="43376"/>
    <cellStyle name="Input [yellow] 3 6" xfId="7775"/>
    <cellStyle name="Input [yellow] 3 6 2" xfId="15566"/>
    <cellStyle name="Input [yellow] 3 6 2 2" xfId="43228"/>
    <cellStyle name="Input [yellow] 3 6 2 3" xfId="39233"/>
    <cellStyle name="Input [yellow] 3 6 2 4" xfId="33187"/>
    <cellStyle name="Input [yellow] 3 6 3" xfId="19175"/>
    <cellStyle name="Input [yellow] 3 6 3 2" xfId="44697"/>
    <cellStyle name="Input [yellow] 3 6 3 3" xfId="48603"/>
    <cellStyle name="Input [yellow] 3 6 3 4" xfId="36748"/>
    <cellStyle name="Input [yellow] 3 6 4" xfId="19857"/>
    <cellStyle name="Input [yellow] 3 6 4 2" xfId="45379"/>
    <cellStyle name="Input [yellow] 3 6 4 3" xfId="49285"/>
    <cellStyle name="Input [yellow] 3 6 4 4" xfId="37357"/>
    <cellStyle name="Input [yellow] 3 6 5" xfId="19021"/>
    <cellStyle name="Input [yellow] 3 6 5 2" xfId="44543"/>
    <cellStyle name="Input [yellow] 3 6 5 3" xfId="48449"/>
    <cellStyle name="Input [yellow] 3 6 5 4" xfId="36613"/>
    <cellStyle name="Input [yellow] 3 6 6" xfId="20466"/>
    <cellStyle name="Input [yellow] 3 6 6 2" xfId="45988"/>
    <cellStyle name="Input [yellow] 3 6 6 3" xfId="49894"/>
    <cellStyle name="Input [yellow] 3 6 7" xfId="40087"/>
    <cellStyle name="Input [yellow] 3 6 8" xfId="40369"/>
    <cellStyle name="Input [yellow] 3 7" xfId="52950"/>
    <cellStyle name="Input [yellow] 3_BallGrid" xfId="1783"/>
    <cellStyle name="Input [yellow] 4" xfId="1784"/>
    <cellStyle name="Input [yellow] 4 2" xfId="1785"/>
    <cellStyle name="Input [yellow] 4 2 2" xfId="6994"/>
    <cellStyle name="Input [yellow] 4 2 2 10" xfId="39734"/>
    <cellStyle name="Input [yellow] 4 2 2 11" xfId="41702"/>
    <cellStyle name="Input [yellow] 4 2 2 2" xfId="10521"/>
    <cellStyle name="Input [yellow] 4 2 2 2 2" xfId="18308"/>
    <cellStyle name="Input [yellow] 4 2 2 2 2 2" xfId="43840"/>
    <cellStyle name="Input [yellow] 4 2 2 2 2 3" xfId="47749"/>
    <cellStyle name="Input [yellow] 4 2 2 2 2 4" xfId="35931"/>
    <cellStyle name="Input [yellow] 4 2 2 2 3" xfId="12614"/>
    <cellStyle name="Input [yellow] 4 2 2 2 3 2" xfId="42074"/>
    <cellStyle name="Input [yellow] 4 2 2 2 3 3" xfId="39288"/>
    <cellStyle name="Input [yellow] 4 2 2 2 3 4" xfId="30265"/>
    <cellStyle name="Input [yellow] 4 2 2 2 4" xfId="19973"/>
    <cellStyle name="Input [yellow] 4 2 2 2 4 2" xfId="45495"/>
    <cellStyle name="Input [yellow] 4 2 2 2 4 3" xfId="49401"/>
    <cellStyle name="Input [yellow] 4 2 2 2 4 4" xfId="37458"/>
    <cellStyle name="Input [yellow] 4 2 2 2 5" xfId="20721"/>
    <cellStyle name="Input [yellow] 4 2 2 2 5 2" xfId="46243"/>
    <cellStyle name="Input [yellow] 4 2 2 2 5 3" xfId="50149"/>
    <cellStyle name="Input [yellow] 4 2 2 2 5 4" xfId="38113"/>
    <cellStyle name="Input [yellow] 4 2 2 2 6" xfId="21374"/>
    <cellStyle name="Input [yellow] 4 2 2 2 6 2" xfId="46896"/>
    <cellStyle name="Input [yellow] 4 2 2 2 6 3" xfId="50802"/>
    <cellStyle name="Input [yellow] 4 2 2 2 7" xfId="40699"/>
    <cellStyle name="Input [yellow] 4 2 2 2 8" xfId="42723"/>
    <cellStyle name="Input [yellow] 4 2 2 3" xfId="10816"/>
    <cellStyle name="Input [yellow] 4 2 2 3 2" xfId="18603"/>
    <cellStyle name="Input [yellow] 4 2 2 3 2 2" xfId="44135"/>
    <cellStyle name="Input [yellow] 4 2 2 3 2 3" xfId="48044"/>
    <cellStyle name="Input [yellow] 4 2 2 3 2 4" xfId="36226"/>
    <cellStyle name="Input [yellow] 4 2 2 3 3" xfId="20000"/>
    <cellStyle name="Input [yellow] 4 2 2 3 3 2" xfId="45522"/>
    <cellStyle name="Input [yellow] 4 2 2 3 3 3" xfId="49428"/>
    <cellStyle name="Input [yellow] 4 2 2 3 3 4" xfId="37484"/>
    <cellStyle name="Input [yellow] 4 2 2 3 4" xfId="18869"/>
    <cellStyle name="Input [yellow] 4 2 2 3 4 2" xfId="44391"/>
    <cellStyle name="Input [yellow] 4 2 2 3 4 3" xfId="48297"/>
    <cellStyle name="Input [yellow] 4 2 2 3 4 4" xfId="36492"/>
    <cellStyle name="Input [yellow] 4 2 2 3 5" xfId="21016"/>
    <cellStyle name="Input [yellow] 4 2 2 3 5 2" xfId="46538"/>
    <cellStyle name="Input [yellow] 4 2 2 3 5 3" xfId="50444"/>
    <cellStyle name="Input [yellow] 4 2 2 3 5 4" xfId="38408"/>
    <cellStyle name="Input [yellow] 4 2 2 3 6" xfId="21669"/>
    <cellStyle name="Input [yellow] 4 2 2 3 6 2" xfId="47191"/>
    <cellStyle name="Input [yellow] 4 2 2 3 6 3" xfId="51097"/>
    <cellStyle name="Input [yellow] 4 2 2 3 7" xfId="40994"/>
    <cellStyle name="Input [yellow] 4 2 2 3 8" xfId="43487"/>
    <cellStyle name="Input [yellow] 4 2 2 4" xfId="10166"/>
    <cellStyle name="Input [yellow] 4 2 2 4 2" xfId="17953"/>
    <cellStyle name="Input [yellow] 4 2 2 4 2 2" xfId="43728"/>
    <cellStyle name="Input [yellow] 4 2 2 4 2 3" xfId="47651"/>
    <cellStyle name="Input [yellow] 4 2 2 4 2 4" xfId="35576"/>
    <cellStyle name="Input [yellow] 4 2 2 4 3" xfId="13302"/>
    <cellStyle name="Input [yellow] 4 2 2 4 3 2" xfId="42453"/>
    <cellStyle name="Input [yellow] 4 2 2 4 3 3" xfId="39410"/>
    <cellStyle name="Input [yellow] 4 2 2 4 3 4" xfId="30929"/>
    <cellStyle name="Input [yellow] 4 2 2 4 4" xfId="19355"/>
    <cellStyle name="Input [yellow] 4 2 2 4 4 2" xfId="44877"/>
    <cellStyle name="Input [yellow] 4 2 2 4 4 3" xfId="48783"/>
    <cellStyle name="Input [yellow] 4 2 2 4 4 4" xfId="36909"/>
    <cellStyle name="Input [yellow] 4 2 2 4 5" xfId="20623"/>
    <cellStyle name="Input [yellow] 4 2 2 4 5 2" xfId="46145"/>
    <cellStyle name="Input [yellow] 4 2 2 4 5 3" xfId="50051"/>
    <cellStyle name="Input [yellow] 4 2 2 4 5 4" xfId="38015"/>
    <cellStyle name="Input [yellow] 4 2 2 4 6" xfId="21276"/>
    <cellStyle name="Input [yellow] 4 2 2 4 6 2" xfId="46798"/>
    <cellStyle name="Input [yellow] 4 2 2 4 6 3" xfId="50704"/>
    <cellStyle name="Input [yellow] 4 2 2 4 7" xfId="40587"/>
    <cellStyle name="Input [yellow] 4 2 2 4 8" xfId="47567"/>
    <cellStyle name="Input [yellow] 4 2 2 5" xfId="14776"/>
    <cellStyle name="Input [yellow] 4 2 2 5 2" xfId="42874"/>
    <cellStyle name="Input [yellow] 4 2 2 5 3" xfId="39613"/>
    <cellStyle name="Input [yellow] 4 2 2 5 4" xfId="32397"/>
    <cellStyle name="Input [yellow] 4 2 2 6" xfId="13064"/>
    <cellStyle name="Input [yellow] 4 2 2 6 2" xfId="42266"/>
    <cellStyle name="Input [yellow] 4 2 2 6 3" xfId="42530"/>
    <cellStyle name="Input [yellow] 4 2 2 6 4" xfId="30699"/>
    <cellStyle name="Input [yellow] 4 2 2 7" xfId="20183"/>
    <cellStyle name="Input [yellow] 4 2 2 7 2" xfId="45705"/>
    <cellStyle name="Input [yellow] 4 2 2 7 3" xfId="49611"/>
    <cellStyle name="Input [yellow] 4 2 2 7 4" xfId="37652"/>
    <cellStyle name="Input [yellow] 4 2 2 8" xfId="12660"/>
    <cellStyle name="Input [yellow] 4 2 2 8 2" xfId="42120"/>
    <cellStyle name="Input [yellow] 4 2 2 8 3" xfId="43661"/>
    <cellStyle name="Input [yellow] 4 2 2 8 4" xfId="30310"/>
    <cellStyle name="Input [yellow] 4 2 2 9" xfId="19196"/>
    <cellStyle name="Input [yellow] 4 2 2 9 2" xfId="44718"/>
    <cellStyle name="Input [yellow] 4 2 2 9 3" xfId="48624"/>
    <cellStyle name="Input [yellow] 4 2 2 9 4" xfId="36767"/>
    <cellStyle name="Input [yellow] 4 2 3" xfId="10440"/>
    <cellStyle name="Input [yellow] 4 2 3 2" xfId="18227"/>
    <cellStyle name="Input [yellow] 4 2 3 2 2" xfId="43759"/>
    <cellStyle name="Input [yellow] 4 2 3 2 3" xfId="47668"/>
    <cellStyle name="Input [yellow] 4 2 3 2 4" xfId="35850"/>
    <cellStyle name="Input [yellow] 4 2 3 3" xfId="19429"/>
    <cellStyle name="Input [yellow] 4 2 3 3 2" xfId="44951"/>
    <cellStyle name="Input [yellow] 4 2 3 3 3" xfId="48857"/>
    <cellStyle name="Input [yellow] 4 2 3 3 4" xfId="36980"/>
    <cellStyle name="Input [yellow] 4 2 3 4" xfId="20374"/>
    <cellStyle name="Input [yellow] 4 2 3 4 2" xfId="45896"/>
    <cellStyle name="Input [yellow] 4 2 3 4 3" xfId="49802"/>
    <cellStyle name="Input [yellow] 4 2 3 4 4" xfId="37814"/>
    <cellStyle name="Input [yellow] 4 2 3 5" xfId="20640"/>
    <cellStyle name="Input [yellow] 4 2 3 5 2" xfId="46162"/>
    <cellStyle name="Input [yellow] 4 2 3 5 3" xfId="50068"/>
    <cellStyle name="Input [yellow] 4 2 3 5 4" xfId="38032"/>
    <cellStyle name="Input [yellow] 4 2 3 6" xfId="21293"/>
    <cellStyle name="Input [yellow] 4 2 3 6 2" xfId="46815"/>
    <cellStyle name="Input [yellow] 4 2 3 6 3" xfId="50721"/>
    <cellStyle name="Input [yellow] 4 2 3 7" xfId="40618"/>
    <cellStyle name="Input [yellow] 4 2 3 8" xfId="39177"/>
    <cellStyle name="Input [yellow] 4 2 4" xfId="7779"/>
    <cellStyle name="Input [yellow] 4 2 4 2" xfId="15570"/>
    <cellStyle name="Input [yellow] 4 2 4 2 2" xfId="43232"/>
    <cellStyle name="Input [yellow] 4 2 4 2 3" xfId="39234"/>
    <cellStyle name="Input [yellow] 4 2 4 2 4" xfId="33191"/>
    <cellStyle name="Input [yellow] 4 2 4 3" xfId="11420"/>
    <cellStyle name="Input [yellow] 4 2 4 3 2" xfId="41425"/>
    <cellStyle name="Input [yellow] 4 2 4 3 3" xfId="47550"/>
    <cellStyle name="Input [yellow] 4 2 4 3 4" xfId="29127"/>
    <cellStyle name="Input [yellow] 4 2 4 4" xfId="18977"/>
    <cellStyle name="Input [yellow] 4 2 4 4 2" xfId="44499"/>
    <cellStyle name="Input [yellow] 4 2 4 4 3" xfId="48405"/>
    <cellStyle name="Input [yellow] 4 2 4 4 4" xfId="36585"/>
    <cellStyle name="Input [yellow] 4 2 4 5" xfId="20101"/>
    <cellStyle name="Input [yellow] 4 2 4 5 2" xfId="45623"/>
    <cellStyle name="Input [yellow] 4 2 4 5 3" xfId="49529"/>
    <cellStyle name="Input [yellow] 4 2 4 5 4" xfId="37575"/>
    <cellStyle name="Input [yellow] 4 2 4 6" xfId="18975"/>
    <cellStyle name="Input [yellow] 4 2 4 6 2" xfId="44497"/>
    <cellStyle name="Input [yellow] 4 2 4 6 3" xfId="48403"/>
    <cellStyle name="Input [yellow] 4 2 4 7" xfId="40091"/>
    <cellStyle name="Input [yellow] 4 2 4 8" xfId="43390"/>
    <cellStyle name="Input [yellow] 4 2 5" xfId="52953"/>
    <cellStyle name="Input [yellow] 4 3" xfId="1786"/>
    <cellStyle name="Input [yellow] 4 3 2" xfId="6995"/>
    <cellStyle name="Input [yellow] 4 3 2 10" xfId="39735"/>
    <cellStyle name="Input [yellow] 4 3 2 11" xfId="43252"/>
    <cellStyle name="Input [yellow] 4 3 2 2" xfId="10522"/>
    <cellStyle name="Input [yellow] 4 3 2 2 2" xfId="18309"/>
    <cellStyle name="Input [yellow] 4 3 2 2 2 2" xfId="43841"/>
    <cellStyle name="Input [yellow] 4 3 2 2 2 3" xfId="47750"/>
    <cellStyle name="Input [yellow] 4 3 2 2 2 4" xfId="35932"/>
    <cellStyle name="Input [yellow] 4 3 2 2 3" xfId="13313"/>
    <cellStyle name="Input [yellow] 4 3 2 2 3 2" xfId="42464"/>
    <cellStyle name="Input [yellow] 4 3 2 2 3 3" xfId="39620"/>
    <cellStyle name="Input [yellow] 4 3 2 2 3 4" xfId="30939"/>
    <cellStyle name="Input [yellow] 4 3 2 2 4" xfId="18953"/>
    <cellStyle name="Input [yellow] 4 3 2 2 4 2" xfId="44475"/>
    <cellStyle name="Input [yellow] 4 3 2 2 4 3" xfId="48381"/>
    <cellStyle name="Input [yellow] 4 3 2 2 4 4" xfId="36565"/>
    <cellStyle name="Input [yellow] 4 3 2 2 5" xfId="20722"/>
    <cellStyle name="Input [yellow] 4 3 2 2 5 2" xfId="46244"/>
    <cellStyle name="Input [yellow] 4 3 2 2 5 3" xfId="50150"/>
    <cellStyle name="Input [yellow] 4 3 2 2 5 4" xfId="38114"/>
    <cellStyle name="Input [yellow] 4 3 2 2 6" xfId="21375"/>
    <cellStyle name="Input [yellow] 4 3 2 2 6 2" xfId="46897"/>
    <cellStyle name="Input [yellow] 4 3 2 2 6 3" xfId="50803"/>
    <cellStyle name="Input [yellow] 4 3 2 2 7" xfId="40700"/>
    <cellStyle name="Input [yellow] 4 3 2 2 8" xfId="43612"/>
    <cellStyle name="Input [yellow] 4 3 2 3" xfId="10817"/>
    <cellStyle name="Input [yellow] 4 3 2 3 2" xfId="18604"/>
    <cellStyle name="Input [yellow] 4 3 2 3 2 2" xfId="44136"/>
    <cellStyle name="Input [yellow] 4 3 2 3 2 3" xfId="48045"/>
    <cellStyle name="Input [yellow] 4 3 2 3 2 4" xfId="36227"/>
    <cellStyle name="Input [yellow] 4 3 2 3 3" xfId="19266"/>
    <cellStyle name="Input [yellow] 4 3 2 3 3 2" xfId="44788"/>
    <cellStyle name="Input [yellow] 4 3 2 3 3 3" xfId="48694"/>
    <cellStyle name="Input [yellow] 4 3 2 3 3 4" xfId="36830"/>
    <cellStyle name="Input [yellow] 4 3 2 3 4" xfId="20119"/>
    <cellStyle name="Input [yellow] 4 3 2 3 4 2" xfId="45641"/>
    <cellStyle name="Input [yellow] 4 3 2 3 4 3" xfId="49547"/>
    <cellStyle name="Input [yellow] 4 3 2 3 4 4" xfId="37591"/>
    <cellStyle name="Input [yellow] 4 3 2 3 5" xfId="21017"/>
    <cellStyle name="Input [yellow] 4 3 2 3 5 2" xfId="46539"/>
    <cellStyle name="Input [yellow] 4 3 2 3 5 3" xfId="50445"/>
    <cellStyle name="Input [yellow] 4 3 2 3 5 4" xfId="38409"/>
    <cellStyle name="Input [yellow] 4 3 2 3 6" xfId="21670"/>
    <cellStyle name="Input [yellow] 4 3 2 3 6 2" xfId="47192"/>
    <cellStyle name="Input [yellow] 4 3 2 3 6 3" xfId="51098"/>
    <cellStyle name="Input [yellow] 4 3 2 3 7" xfId="40995"/>
    <cellStyle name="Input [yellow] 4 3 2 3 8" xfId="40350"/>
    <cellStyle name="Input [yellow] 4 3 2 4" xfId="10167"/>
    <cellStyle name="Input [yellow] 4 3 2 4 2" xfId="17954"/>
    <cellStyle name="Input [yellow] 4 3 2 4 2 2" xfId="43729"/>
    <cellStyle name="Input [yellow] 4 3 2 4 2 3" xfId="47652"/>
    <cellStyle name="Input [yellow] 4 3 2 4 2 4" xfId="35577"/>
    <cellStyle name="Input [yellow] 4 3 2 4 3" xfId="19615"/>
    <cellStyle name="Input [yellow] 4 3 2 4 3 2" xfId="45137"/>
    <cellStyle name="Input [yellow] 4 3 2 4 3 3" xfId="49043"/>
    <cellStyle name="Input [yellow] 4 3 2 4 3 4" xfId="37140"/>
    <cellStyle name="Input [yellow] 4 3 2 4 4" xfId="19235"/>
    <cellStyle name="Input [yellow] 4 3 2 4 4 2" xfId="44757"/>
    <cellStyle name="Input [yellow] 4 3 2 4 4 3" xfId="48663"/>
    <cellStyle name="Input [yellow] 4 3 2 4 4 4" xfId="36799"/>
    <cellStyle name="Input [yellow] 4 3 2 4 5" xfId="20624"/>
    <cellStyle name="Input [yellow] 4 3 2 4 5 2" xfId="46146"/>
    <cellStyle name="Input [yellow] 4 3 2 4 5 3" xfId="50052"/>
    <cellStyle name="Input [yellow] 4 3 2 4 5 4" xfId="38016"/>
    <cellStyle name="Input [yellow] 4 3 2 4 6" xfId="21277"/>
    <cellStyle name="Input [yellow] 4 3 2 4 6 2" xfId="46799"/>
    <cellStyle name="Input [yellow] 4 3 2 4 6 3" xfId="50705"/>
    <cellStyle name="Input [yellow] 4 3 2 4 7" xfId="40588"/>
    <cellStyle name="Input [yellow] 4 3 2 4 8" xfId="43505"/>
    <cellStyle name="Input [yellow] 4 3 2 5" xfId="14777"/>
    <cellStyle name="Input [yellow] 4 3 2 5 2" xfId="42875"/>
    <cellStyle name="Input [yellow] 4 3 2 5 3" xfId="42649"/>
    <cellStyle name="Input [yellow] 4 3 2 5 4" xfId="32398"/>
    <cellStyle name="Input [yellow] 4 3 2 6" xfId="13065"/>
    <cellStyle name="Input [yellow] 4 3 2 6 2" xfId="42267"/>
    <cellStyle name="Input [yellow] 4 3 2 6 3" xfId="43441"/>
    <cellStyle name="Input [yellow] 4 3 2 6 4" xfId="30700"/>
    <cellStyle name="Input [yellow] 4 3 2 7" xfId="13236"/>
    <cellStyle name="Input [yellow] 4 3 2 7 2" xfId="42398"/>
    <cellStyle name="Input [yellow] 4 3 2 7 3" xfId="43547"/>
    <cellStyle name="Input [yellow] 4 3 2 7 4" xfId="30867"/>
    <cellStyle name="Input [yellow] 4 3 2 8" xfId="20360"/>
    <cellStyle name="Input [yellow] 4 3 2 8 2" xfId="45882"/>
    <cellStyle name="Input [yellow] 4 3 2 8 3" xfId="49788"/>
    <cellStyle name="Input [yellow] 4 3 2 8 4" xfId="37802"/>
    <cellStyle name="Input [yellow] 4 3 2 9" xfId="19850"/>
    <cellStyle name="Input [yellow] 4 3 2 9 2" xfId="45372"/>
    <cellStyle name="Input [yellow] 4 3 2 9 3" xfId="49278"/>
    <cellStyle name="Input [yellow] 4 3 2 9 4" xfId="37350"/>
    <cellStyle name="Input [yellow] 4 3 3" xfId="10441"/>
    <cellStyle name="Input [yellow] 4 3 3 2" xfId="18228"/>
    <cellStyle name="Input [yellow] 4 3 3 2 2" xfId="43760"/>
    <cellStyle name="Input [yellow] 4 3 3 2 3" xfId="47669"/>
    <cellStyle name="Input [yellow] 4 3 3 2 4" xfId="35851"/>
    <cellStyle name="Input [yellow] 4 3 3 3" xfId="20036"/>
    <cellStyle name="Input [yellow] 4 3 3 3 2" xfId="45558"/>
    <cellStyle name="Input [yellow] 4 3 3 3 3" xfId="49464"/>
    <cellStyle name="Input [yellow] 4 3 3 3 4" xfId="37520"/>
    <cellStyle name="Input [yellow] 4 3 3 4" xfId="20180"/>
    <cellStyle name="Input [yellow] 4 3 3 4 2" xfId="45702"/>
    <cellStyle name="Input [yellow] 4 3 3 4 3" xfId="49608"/>
    <cellStyle name="Input [yellow] 4 3 3 4 4" xfId="37649"/>
    <cellStyle name="Input [yellow] 4 3 3 5" xfId="20641"/>
    <cellStyle name="Input [yellow] 4 3 3 5 2" xfId="46163"/>
    <cellStyle name="Input [yellow] 4 3 3 5 3" xfId="50069"/>
    <cellStyle name="Input [yellow] 4 3 3 5 4" xfId="38033"/>
    <cellStyle name="Input [yellow] 4 3 3 6" xfId="21294"/>
    <cellStyle name="Input [yellow] 4 3 3 6 2" xfId="46816"/>
    <cellStyle name="Input [yellow] 4 3 3 6 3" xfId="50722"/>
    <cellStyle name="Input [yellow] 4 3 3 7" xfId="40619"/>
    <cellStyle name="Input [yellow] 4 3 3 8" xfId="40002"/>
    <cellStyle name="Input [yellow] 4 3 4" xfId="7780"/>
    <cellStyle name="Input [yellow] 4 3 4 2" xfId="15571"/>
    <cellStyle name="Input [yellow] 4 3 4 2 2" xfId="43233"/>
    <cellStyle name="Input [yellow] 4 3 4 2 3" xfId="39026"/>
    <cellStyle name="Input [yellow] 4 3 4 2 4" xfId="33192"/>
    <cellStyle name="Input [yellow] 4 3 4 3" xfId="13255"/>
    <cellStyle name="Input [yellow] 4 3 4 3 2" xfId="42406"/>
    <cellStyle name="Input [yellow] 4 3 4 3 3" xfId="42658"/>
    <cellStyle name="Input [yellow] 4 3 4 3 4" xfId="30886"/>
    <cellStyle name="Input [yellow] 4 3 4 4" xfId="19834"/>
    <cellStyle name="Input [yellow] 4 3 4 4 2" xfId="45356"/>
    <cellStyle name="Input [yellow] 4 3 4 4 3" xfId="49262"/>
    <cellStyle name="Input [yellow] 4 3 4 4 4" xfId="37336"/>
    <cellStyle name="Input [yellow] 4 3 4 5" xfId="11666"/>
    <cellStyle name="Input [yellow] 4 3 4 5 2" xfId="41657"/>
    <cellStyle name="Input [yellow] 4 3 4 5 3" xfId="40429"/>
    <cellStyle name="Input [yellow] 4 3 4 5 4" xfId="29346"/>
    <cellStyle name="Input [yellow] 4 3 4 6" xfId="18997"/>
    <cellStyle name="Input [yellow] 4 3 4 6 2" xfId="44519"/>
    <cellStyle name="Input [yellow] 4 3 4 6 3" xfId="48425"/>
    <cellStyle name="Input [yellow] 4 3 4 7" xfId="40092"/>
    <cellStyle name="Input [yellow] 4 3 4 8" xfId="40252"/>
    <cellStyle name="Input [yellow] 4 4" xfId="6993"/>
    <cellStyle name="Input [yellow] 4 4 10" xfId="39733"/>
    <cellStyle name="Input [yellow] 4 4 11" xfId="47577"/>
    <cellStyle name="Input [yellow] 4 4 2" xfId="10520"/>
    <cellStyle name="Input [yellow] 4 4 2 2" xfId="18307"/>
    <cellStyle name="Input [yellow] 4 4 2 2 2" xfId="43839"/>
    <cellStyle name="Input [yellow] 4 4 2 2 3" xfId="47748"/>
    <cellStyle name="Input [yellow] 4 4 2 2 4" xfId="35930"/>
    <cellStyle name="Input [yellow] 4 4 2 3" xfId="19748"/>
    <cellStyle name="Input [yellow] 4 4 2 3 2" xfId="45270"/>
    <cellStyle name="Input [yellow] 4 4 2 3 3" xfId="49176"/>
    <cellStyle name="Input [yellow] 4 4 2 3 4" xfId="37261"/>
    <cellStyle name="Input [yellow] 4 4 2 4" xfId="12643"/>
    <cellStyle name="Input [yellow] 4 4 2 4 2" xfId="42103"/>
    <cellStyle name="Input [yellow] 4 4 2 4 3" xfId="42669"/>
    <cellStyle name="Input [yellow] 4 4 2 4 4" xfId="30294"/>
    <cellStyle name="Input [yellow] 4 4 2 5" xfId="20720"/>
    <cellStyle name="Input [yellow] 4 4 2 5 2" xfId="46242"/>
    <cellStyle name="Input [yellow] 4 4 2 5 3" xfId="50148"/>
    <cellStyle name="Input [yellow] 4 4 2 5 4" xfId="38112"/>
    <cellStyle name="Input [yellow] 4 4 2 6" xfId="21373"/>
    <cellStyle name="Input [yellow] 4 4 2 6 2" xfId="46895"/>
    <cellStyle name="Input [yellow] 4 4 2 6 3" xfId="50801"/>
    <cellStyle name="Input [yellow] 4 4 2 7" xfId="40698"/>
    <cellStyle name="Input [yellow] 4 4 2 8" xfId="39686"/>
    <cellStyle name="Input [yellow] 4 4 3" xfId="10815"/>
    <cellStyle name="Input [yellow] 4 4 3 2" xfId="18602"/>
    <cellStyle name="Input [yellow] 4 4 3 2 2" xfId="44134"/>
    <cellStyle name="Input [yellow] 4 4 3 2 3" xfId="48043"/>
    <cellStyle name="Input [yellow] 4 4 3 2 4" xfId="36225"/>
    <cellStyle name="Input [yellow] 4 4 3 3" xfId="19393"/>
    <cellStyle name="Input [yellow] 4 4 3 3 2" xfId="44915"/>
    <cellStyle name="Input [yellow] 4 4 3 3 3" xfId="48821"/>
    <cellStyle name="Input [yellow] 4 4 3 3 4" xfId="36944"/>
    <cellStyle name="Input [yellow] 4 4 3 4" xfId="18871"/>
    <cellStyle name="Input [yellow] 4 4 3 4 2" xfId="44393"/>
    <cellStyle name="Input [yellow] 4 4 3 4 3" xfId="48299"/>
    <cellStyle name="Input [yellow] 4 4 3 4 4" xfId="36494"/>
    <cellStyle name="Input [yellow] 4 4 3 5" xfId="21015"/>
    <cellStyle name="Input [yellow] 4 4 3 5 2" xfId="46537"/>
    <cellStyle name="Input [yellow] 4 4 3 5 3" xfId="50443"/>
    <cellStyle name="Input [yellow] 4 4 3 5 4" xfId="38407"/>
    <cellStyle name="Input [yellow] 4 4 3 6" xfId="21668"/>
    <cellStyle name="Input [yellow] 4 4 3 6 2" xfId="47190"/>
    <cellStyle name="Input [yellow] 4 4 3 6 3" xfId="51096"/>
    <cellStyle name="Input [yellow] 4 4 3 7" xfId="40993"/>
    <cellStyle name="Input [yellow] 4 4 3 8" xfId="42574"/>
    <cellStyle name="Input [yellow] 4 4 4" xfId="10165"/>
    <cellStyle name="Input [yellow] 4 4 4 2" xfId="17952"/>
    <cellStyle name="Input [yellow] 4 4 4 2 2" xfId="43727"/>
    <cellStyle name="Input [yellow] 4 4 4 2 3" xfId="47650"/>
    <cellStyle name="Input [yellow] 4 4 4 2 4" xfId="35575"/>
    <cellStyle name="Input [yellow] 4 4 4 3" xfId="11466"/>
    <cellStyle name="Input [yellow] 4 4 4 3 2" xfId="41457"/>
    <cellStyle name="Input [yellow] 4 4 4 3 3" xfId="39145"/>
    <cellStyle name="Input [yellow] 4 4 4 3 4" xfId="29168"/>
    <cellStyle name="Input [yellow] 4 4 4 4" xfId="19839"/>
    <cellStyle name="Input [yellow] 4 4 4 4 2" xfId="45361"/>
    <cellStyle name="Input [yellow] 4 4 4 4 3" xfId="49267"/>
    <cellStyle name="Input [yellow] 4 4 4 4 4" xfId="37341"/>
    <cellStyle name="Input [yellow] 4 4 4 5" xfId="20622"/>
    <cellStyle name="Input [yellow] 4 4 4 5 2" xfId="46144"/>
    <cellStyle name="Input [yellow] 4 4 4 5 3" xfId="50050"/>
    <cellStyle name="Input [yellow] 4 4 4 5 4" xfId="38014"/>
    <cellStyle name="Input [yellow] 4 4 4 6" xfId="21275"/>
    <cellStyle name="Input [yellow] 4 4 4 6 2" xfId="46797"/>
    <cellStyle name="Input [yellow] 4 4 4 6 3" xfId="50703"/>
    <cellStyle name="Input [yellow] 4 4 4 7" xfId="40586"/>
    <cellStyle name="Input [yellow] 4 4 4 8" xfId="42592"/>
    <cellStyle name="Input [yellow] 4 4 5" xfId="14775"/>
    <cellStyle name="Input [yellow] 4 4 5 2" xfId="42873"/>
    <cellStyle name="Input [yellow] 4 4 5 3" xfId="40505"/>
    <cellStyle name="Input [yellow] 4 4 5 4" xfId="32396"/>
    <cellStyle name="Input [yellow] 4 4 6" xfId="13063"/>
    <cellStyle name="Input [yellow] 4 4 6 2" xfId="42265"/>
    <cellStyle name="Input [yellow] 4 4 6 3" xfId="39520"/>
    <cellStyle name="Input [yellow] 4 4 6 4" xfId="30698"/>
    <cellStyle name="Input [yellow] 4 4 7" xfId="19562"/>
    <cellStyle name="Input [yellow] 4 4 7 2" xfId="45084"/>
    <cellStyle name="Input [yellow] 4 4 7 3" xfId="48990"/>
    <cellStyle name="Input [yellow] 4 4 7 4" xfId="37088"/>
    <cellStyle name="Input [yellow] 4 4 8" xfId="19773"/>
    <cellStyle name="Input [yellow] 4 4 8 2" xfId="45295"/>
    <cellStyle name="Input [yellow] 4 4 8 3" xfId="49201"/>
    <cellStyle name="Input [yellow] 4 4 8 4" xfId="37284"/>
    <cellStyle name="Input [yellow] 4 4 9" xfId="20051"/>
    <cellStyle name="Input [yellow] 4 4 9 2" xfId="45573"/>
    <cellStyle name="Input [yellow] 4 4 9 3" xfId="49479"/>
    <cellStyle name="Input [yellow] 4 4 9 4" xfId="37532"/>
    <cellStyle name="Input [yellow] 4 5" xfId="10439"/>
    <cellStyle name="Input [yellow] 4 5 2" xfId="18226"/>
    <cellStyle name="Input [yellow] 4 5 2 2" xfId="43758"/>
    <cellStyle name="Input [yellow] 4 5 2 3" xfId="47667"/>
    <cellStyle name="Input [yellow] 4 5 2 4" xfId="35849"/>
    <cellStyle name="Input [yellow] 4 5 3" xfId="20170"/>
    <cellStyle name="Input [yellow] 4 5 3 2" xfId="45692"/>
    <cellStyle name="Input [yellow] 4 5 3 3" xfId="49598"/>
    <cellStyle name="Input [yellow] 4 5 3 4" xfId="37641"/>
    <cellStyle name="Input [yellow] 4 5 4" xfId="19177"/>
    <cellStyle name="Input [yellow] 4 5 4 2" xfId="44699"/>
    <cellStyle name="Input [yellow] 4 5 4 3" xfId="48605"/>
    <cellStyle name="Input [yellow] 4 5 4 4" xfId="36750"/>
    <cellStyle name="Input [yellow] 4 5 5" xfId="20639"/>
    <cellStyle name="Input [yellow] 4 5 5 2" xfId="46161"/>
    <cellStyle name="Input [yellow] 4 5 5 3" xfId="50067"/>
    <cellStyle name="Input [yellow] 4 5 5 4" xfId="38031"/>
    <cellStyle name="Input [yellow] 4 5 6" xfId="21292"/>
    <cellStyle name="Input [yellow] 4 5 6 2" xfId="46814"/>
    <cellStyle name="Input [yellow] 4 5 6 3" xfId="50720"/>
    <cellStyle name="Input [yellow] 4 5 7" xfId="40617"/>
    <cellStyle name="Input [yellow] 4 5 8" xfId="39178"/>
    <cellStyle name="Input [yellow] 4 6" xfId="7778"/>
    <cellStyle name="Input [yellow] 4 6 2" xfId="15569"/>
    <cellStyle name="Input [yellow] 4 6 2 2" xfId="43231"/>
    <cellStyle name="Input [yellow] 4 6 2 3" xfId="40120"/>
    <cellStyle name="Input [yellow] 4 6 2 4" xfId="33190"/>
    <cellStyle name="Input [yellow] 4 6 3" xfId="19797"/>
    <cellStyle name="Input [yellow] 4 6 3 2" xfId="45319"/>
    <cellStyle name="Input [yellow] 4 6 3 3" xfId="49225"/>
    <cellStyle name="Input [yellow] 4 6 3 4" xfId="37304"/>
    <cellStyle name="Input [yellow] 4 6 4" xfId="19168"/>
    <cellStyle name="Input [yellow] 4 6 4 2" xfId="44690"/>
    <cellStyle name="Input [yellow] 4 6 4 3" xfId="48596"/>
    <cellStyle name="Input [yellow] 4 6 4 4" xfId="36742"/>
    <cellStyle name="Input [yellow] 4 6 5" xfId="20511"/>
    <cellStyle name="Input [yellow] 4 6 5 2" xfId="46033"/>
    <cellStyle name="Input [yellow] 4 6 5 3" xfId="49939"/>
    <cellStyle name="Input [yellow] 4 6 5 4" xfId="37930"/>
    <cellStyle name="Input [yellow] 4 6 6" xfId="19312"/>
    <cellStyle name="Input [yellow] 4 6 6 2" xfId="44834"/>
    <cellStyle name="Input [yellow] 4 6 6 3" xfId="48740"/>
    <cellStyle name="Input [yellow] 4 6 7" xfId="40090"/>
    <cellStyle name="Input [yellow] 4 6 8" xfId="42156"/>
    <cellStyle name="Input [yellow] 4 7" xfId="52952"/>
    <cellStyle name="Input [yellow] 4_BallGrid" xfId="1787"/>
    <cellStyle name="Input [yellow] 5" xfId="1788"/>
    <cellStyle name="Input [yellow] 5 2" xfId="1789"/>
    <cellStyle name="Input [yellow] 5 2 2" xfId="6997"/>
    <cellStyle name="Input [yellow] 5 2 2 10" xfId="39737"/>
    <cellStyle name="Input [yellow] 5 2 2 11" xfId="43080"/>
    <cellStyle name="Input [yellow] 5 2 2 2" xfId="10524"/>
    <cellStyle name="Input [yellow] 5 2 2 2 2" xfId="18311"/>
    <cellStyle name="Input [yellow] 5 2 2 2 2 2" xfId="43843"/>
    <cellStyle name="Input [yellow] 5 2 2 2 2 3" xfId="47752"/>
    <cellStyle name="Input [yellow] 5 2 2 2 2 4" xfId="35934"/>
    <cellStyle name="Input [yellow] 5 2 2 2 3" xfId="20159"/>
    <cellStyle name="Input [yellow] 5 2 2 2 3 2" xfId="45681"/>
    <cellStyle name="Input [yellow] 5 2 2 2 3 3" xfId="49587"/>
    <cellStyle name="Input [yellow] 5 2 2 2 3 4" xfId="37631"/>
    <cellStyle name="Input [yellow] 5 2 2 2 4" xfId="12635"/>
    <cellStyle name="Input [yellow] 5 2 2 2 4 2" xfId="42095"/>
    <cellStyle name="Input [yellow] 5 2 2 2 4 3" xfId="39083"/>
    <cellStyle name="Input [yellow] 5 2 2 2 4 4" xfId="30286"/>
    <cellStyle name="Input [yellow] 5 2 2 2 5" xfId="20724"/>
    <cellStyle name="Input [yellow] 5 2 2 2 5 2" xfId="46246"/>
    <cellStyle name="Input [yellow] 5 2 2 2 5 3" xfId="50152"/>
    <cellStyle name="Input [yellow] 5 2 2 2 5 4" xfId="38116"/>
    <cellStyle name="Input [yellow] 5 2 2 2 6" xfId="21377"/>
    <cellStyle name="Input [yellow] 5 2 2 2 6 2" xfId="46899"/>
    <cellStyle name="Input [yellow] 5 2 2 2 6 3" xfId="50805"/>
    <cellStyle name="Input [yellow] 5 2 2 2 7" xfId="40702"/>
    <cellStyle name="Input [yellow] 5 2 2 2 8" xfId="39580"/>
    <cellStyle name="Input [yellow] 5 2 2 3" xfId="10819"/>
    <cellStyle name="Input [yellow] 5 2 2 3 2" xfId="18606"/>
    <cellStyle name="Input [yellow] 5 2 2 3 2 2" xfId="44138"/>
    <cellStyle name="Input [yellow] 5 2 2 3 2 3" xfId="48047"/>
    <cellStyle name="Input [yellow] 5 2 2 3 2 4" xfId="36229"/>
    <cellStyle name="Input [yellow] 5 2 2 3 3" xfId="19098"/>
    <cellStyle name="Input [yellow] 5 2 2 3 3 2" xfId="44620"/>
    <cellStyle name="Input [yellow] 5 2 2 3 3 3" xfId="48526"/>
    <cellStyle name="Input [yellow] 5 2 2 3 3 4" xfId="36679"/>
    <cellStyle name="Input [yellow] 5 2 2 3 4" xfId="19853"/>
    <cellStyle name="Input [yellow] 5 2 2 3 4 2" xfId="45375"/>
    <cellStyle name="Input [yellow] 5 2 2 3 4 3" xfId="49281"/>
    <cellStyle name="Input [yellow] 5 2 2 3 4 4" xfId="37353"/>
    <cellStyle name="Input [yellow] 5 2 2 3 5" xfId="21019"/>
    <cellStyle name="Input [yellow] 5 2 2 3 5 2" xfId="46541"/>
    <cellStyle name="Input [yellow] 5 2 2 3 5 3" xfId="50447"/>
    <cellStyle name="Input [yellow] 5 2 2 3 5 4" xfId="38411"/>
    <cellStyle name="Input [yellow] 5 2 2 3 6" xfId="21672"/>
    <cellStyle name="Input [yellow] 5 2 2 3 6 2" xfId="47194"/>
    <cellStyle name="Input [yellow] 5 2 2 3 6 3" xfId="51100"/>
    <cellStyle name="Input [yellow] 5 2 2 3 7" xfId="40997"/>
    <cellStyle name="Input [yellow] 5 2 2 3 8" xfId="42033"/>
    <cellStyle name="Input [yellow] 5 2 2 4" xfId="10169"/>
    <cellStyle name="Input [yellow] 5 2 2 4 2" xfId="17956"/>
    <cellStyle name="Input [yellow] 5 2 2 4 2 2" xfId="43731"/>
    <cellStyle name="Input [yellow] 5 2 2 4 2 3" xfId="47654"/>
    <cellStyle name="Input [yellow] 5 2 2 4 2 4" xfId="35579"/>
    <cellStyle name="Input [yellow] 5 2 2 4 3" xfId="19432"/>
    <cellStyle name="Input [yellow] 5 2 2 4 3 2" xfId="44954"/>
    <cellStyle name="Input [yellow] 5 2 2 4 3 3" xfId="48860"/>
    <cellStyle name="Input [yellow] 5 2 2 4 3 4" xfId="36983"/>
    <cellStyle name="Input [yellow] 5 2 2 4 4" xfId="12117"/>
    <cellStyle name="Input [yellow] 5 2 2 4 4 2" xfId="41842"/>
    <cellStyle name="Input [yellow] 5 2 2 4 4 3" xfId="47470"/>
    <cellStyle name="Input [yellow] 5 2 2 4 4 4" xfId="29776"/>
    <cellStyle name="Input [yellow] 5 2 2 4 5" xfId="20626"/>
    <cellStyle name="Input [yellow] 5 2 2 4 5 2" xfId="46148"/>
    <cellStyle name="Input [yellow] 5 2 2 4 5 3" xfId="50054"/>
    <cellStyle name="Input [yellow] 5 2 2 4 5 4" xfId="38018"/>
    <cellStyle name="Input [yellow] 5 2 2 4 6" xfId="21279"/>
    <cellStyle name="Input [yellow] 5 2 2 4 6 2" xfId="46801"/>
    <cellStyle name="Input [yellow] 5 2 2 4 6 3" xfId="50707"/>
    <cellStyle name="Input [yellow] 5 2 2 4 7" xfId="40590"/>
    <cellStyle name="Input [yellow] 5 2 2 4 8" xfId="39480"/>
    <cellStyle name="Input [yellow] 5 2 2 5" xfId="14779"/>
    <cellStyle name="Input [yellow] 5 2 2 5 2" xfId="42877"/>
    <cellStyle name="Input [yellow] 5 2 2 5 3" xfId="40398"/>
    <cellStyle name="Input [yellow] 5 2 2 5 4" xfId="32400"/>
    <cellStyle name="Input [yellow] 5 2 2 6" xfId="13067"/>
    <cellStyle name="Input [yellow] 5 2 2 6 2" xfId="42269"/>
    <cellStyle name="Input [yellow] 5 2 2 6 3" xfId="39420"/>
    <cellStyle name="Input [yellow] 5 2 2 6 4" xfId="30702"/>
    <cellStyle name="Input [yellow] 5 2 2 7" xfId="19787"/>
    <cellStyle name="Input [yellow] 5 2 2 7 2" xfId="45309"/>
    <cellStyle name="Input [yellow] 5 2 2 7 3" xfId="49215"/>
    <cellStyle name="Input [yellow] 5 2 2 7 4" xfId="37296"/>
    <cellStyle name="Input [yellow] 5 2 2 8" xfId="19350"/>
    <cellStyle name="Input [yellow] 5 2 2 8 2" xfId="44872"/>
    <cellStyle name="Input [yellow] 5 2 2 8 3" xfId="48778"/>
    <cellStyle name="Input [yellow] 5 2 2 8 4" xfId="36904"/>
    <cellStyle name="Input [yellow] 5 2 2 9" xfId="12672"/>
    <cellStyle name="Input [yellow] 5 2 2 9 2" xfId="42132"/>
    <cellStyle name="Input [yellow] 5 2 2 9 3" xfId="43303"/>
    <cellStyle name="Input [yellow] 5 2 2 9 4" xfId="30320"/>
    <cellStyle name="Input [yellow] 5 2 3" xfId="10443"/>
    <cellStyle name="Input [yellow] 5 2 3 2" xfId="18230"/>
    <cellStyle name="Input [yellow] 5 2 3 2 2" xfId="43762"/>
    <cellStyle name="Input [yellow] 5 2 3 2 3" xfId="47671"/>
    <cellStyle name="Input [yellow] 5 2 3 2 4" xfId="35853"/>
    <cellStyle name="Input [yellow] 5 2 3 3" xfId="19911"/>
    <cellStyle name="Input [yellow] 5 2 3 3 2" xfId="45433"/>
    <cellStyle name="Input [yellow] 5 2 3 3 3" xfId="49339"/>
    <cellStyle name="Input [yellow] 5 2 3 3 4" xfId="37411"/>
    <cellStyle name="Input [yellow] 5 2 3 4" xfId="19938"/>
    <cellStyle name="Input [yellow] 5 2 3 4 2" xfId="45460"/>
    <cellStyle name="Input [yellow] 5 2 3 4 3" xfId="49366"/>
    <cellStyle name="Input [yellow] 5 2 3 4 4" xfId="37430"/>
    <cellStyle name="Input [yellow] 5 2 3 5" xfId="20643"/>
    <cellStyle name="Input [yellow] 5 2 3 5 2" xfId="46165"/>
    <cellStyle name="Input [yellow] 5 2 3 5 3" xfId="50071"/>
    <cellStyle name="Input [yellow] 5 2 3 5 4" xfId="38035"/>
    <cellStyle name="Input [yellow] 5 2 3 6" xfId="21296"/>
    <cellStyle name="Input [yellow] 5 2 3 6 2" xfId="46818"/>
    <cellStyle name="Input [yellow] 5 2 3 6 3" xfId="50724"/>
    <cellStyle name="Input [yellow] 5 2 3 7" xfId="40621"/>
    <cellStyle name="Input [yellow] 5 2 3 8" xfId="43375"/>
    <cellStyle name="Input [yellow] 5 2 4" xfId="7782"/>
    <cellStyle name="Input [yellow] 5 2 4 2" xfId="15573"/>
    <cellStyle name="Input [yellow] 5 2 4 2 2" xfId="43235"/>
    <cellStyle name="Input [yellow] 5 2 4 2 3" xfId="43147"/>
    <cellStyle name="Input [yellow] 5 2 4 2 4" xfId="33194"/>
    <cellStyle name="Input [yellow] 5 2 4 3" xfId="20202"/>
    <cellStyle name="Input [yellow] 5 2 4 3 2" xfId="45724"/>
    <cellStyle name="Input [yellow] 5 2 4 3 3" xfId="49630"/>
    <cellStyle name="Input [yellow] 5 2 4 3 4" xfId="37665"/>
    <cellStyle name="Input [yellow] 5 2 4 4" xfId="20457"/>
    <cellStyle name="Input [yellow] 5 2 4 4 2" xfId="45979"/>
    <cellStyle name="Input [yellow] 5 2 4 4 3" xfId="49885"/>
    <cellStyle name="Input [yellow] 5 2 4 4 4" xfId="37896"/>
    <cellStyle name="Input [yellow] 5 2 4 5" xfId="12659"/>
    <cellStyle name="Input [yellow] 5 2 4 5 2" xfId="42119"/>
    <cellStyle name="Input [yellow] 5 2 4 5 3" xfId="42774"/>
    <cellStyle name="Input [yellow] 5 2 4 5 4" xfId="30309"/>
    <cellStyle name="Input [yellow] 5 2 4 6" xfId="11541"/>
    <cellStyle name="Input [yellow] 5 2 4 6 2" xfId="41532"/>
    <cellStyle name="Input [yellow] 5 2 4 6 3" xfId="39438"/>
    <cellStyle name="Input [yellow] 5 2 4 7" xfId="40094"/>
    <cellStyle name="Input [yellow] 5 2 4 8" xfId="39208"/>
    <cellStyle name="Input [yellow] 5 2 5" xfId="52955"/>
    <cellStyle name="Input [yellow] 5 3" xfId="1790"/>
    <cellStyle name="Input [yellow] 5 3 2" xfId="6998"/>
    <cellStyle name="Input [yellow] 5 3 2 10" xfId="39738"/>
    <cellStyle name="Input [yellow] 5 3 2 11" xfId="43747"/>
    <cellStyle name="Input [yellow] 5 3 2 2" xfId="10525"/>
    <cellStyle name="Input [yellow] 5 3 2 2 2" xfId="18312"/>
    <cellStyle name="Input [yellow] 5 3 2 2 2 2" xfId="43844"/>
    <cellStyle name="Input [yellow] 5 3 2 2 2 3" xfId="47753"/>
    <cellStyle name="Input [yellow] 5 3 2 2 2 4" xfId="35935"/>
    <cellStyle name="Input [yellow] 5 3 2 2 3" xfId="19418"/>
    <cellStyle name="Input [yellow] 5 3 2 2 3 2" xfId="44940"/>
    <cellStyle name="Input [yellow] 5 3 2 2 3 3" xfId="48846"/>
    <cellStyle name="Input [yellow] 5 3 2 2 3 4" xfId="36969"/>
    <cellStyle name="Input [yellow] 5 3 2 2 4" xfId="20313"/>
    <cellStyle name="Input [yellow] 5 3 2 2 4 2" xfId="45835"/>
    <cellStyle name="Input [yellow] 5 3 2 2 4 3" xfId="49741"/>
    <cellStyle name="Input [yellow] 5 3 2 2 4 4" xfId="37763"/>
    <cellStyle name="Input [yellow] 5 3 2 2 5" xfId="20725"/>
    <cellStyle name="Input [yellow] 5 3 2 2 5 2" xfId="46247"/>
    <cellStyle name="Input [yellow] 5 3 2 2 5 3" xfId="50153"/>
    <cellStyle name="Input [yellow] 5 3 2 2 5 4" xfId="38117"/>
    <cellStyle name="Input [yellow] 5 3 2 2 6" xfId="21378"/>
    <cellStyle name="Input [yellow] 5 3 2 2 6 2" xfId="46900"/>
    <cellStyle name="Input [yellow] 5 3 2 2 6 3" xfId="50806"/>
    <cellStyle name="Input [yellow] 5 3 2 2 7" xfId="40703"/>
    <cellStyle name="Input [yellow] 5 3 2 2 8" xfId="42588"/>
    <cellStyle name="Input [yellow] 5 3 2 3" xfId="10820"/>
    <cellStyle name="Input [yellow] 5 3 2 3 2" xfId="18607"/>
    <cellStyle name="Input [yellow] 5 3 2 3 2 2" xfId="44139"/>
    <cellStyle name="Input [yellow] 5 3 2 3 2 3" xfId="48048"/>
    <cellStyle name="Input [yellow] 5 3 2 3 2 4" xfId="36230"/>
    <cellStyle name="Input [yellow] 5 3 2 3 3" xfId="11506"/>
    <cellStyle name="Input [yellow] 5 3 2 3 3 2" xfId="41497"/>
    <cellStyle name="Input [yellow] 5 3 2 3 3 3" xfId="39143"/>
    <cellStyle name="Input [yellow] 5 3 2 3 3 4" xfId="29207"/>
    <cellStyle name="Input [yellow] 5 3 2 3 4" xfId="11676"/>
    <cellStyle name="Input [yellow] 5 3 2 3 4 2" xfId="41667"/>
    <cellStyle name="Input [yellow] 5 3 2 3 4 3" xfId="39134"/>
    <cellStyle name="Input [yellow] 5 3 2 3 4 4" xfId="29355"/>
    <cellStyle name="Input [yellow] 5 3 2 3 5" xfId="21020"/>
    <cellStyle name="Input [yellow] 5 3 2 3 5 2" xfId="46542"/>
    <cellStyle name="Input [yellow] 5 3 2 3 5 3" xfId="50448"/>
    <cellStyle name="Input [yellow] 5 3 2 3 5 4" xfId="38412"/>
    <cellStyle name="Input [yellow] 5 3 2 3 6" xfId="21673"/>
    <cellStyle name="Input [yellow] 5 3 2 3 6 2" xfId="47195"/>
    <cellStyle name="Input [yellow] 5 3 2 3 6 3" xfId="51101"/>
    <cellStyle name="Input [yellow] 5 3 2 3 7" xfId="40998"/>
    <cellStyle name="Input [yellow] 5 3 2 3 8" xfId="43352"/>
    <cellStyle name="Input [yellow] 5 3 2 4" xfId="10170"/>
    <cellStyle name="Input [yellow] 5 3 2 4 2" xfId="17957"/>
    <cellStyle name="Input [yellow] 5 3 2 4 2 2" xfId="43732"/>
    <cellStyle name="Input [yellow] 5 3 2 4 2 3" xfId="47655"/>
    <cellStyle name="Input [yellow] 5 3 2 4 2 4" xfId="35580"/>
    <cellStyle name="Input [yellow] 5 3 2 4 3" xfId="20041"/>
    <cellStyle name="Input [yellow] 5 3 2 4 3 2" xfId="45563"/>
    <cellStyle name="Input [yellow] 5 3 2 4 3 3" xfId="49469"/>
    <cellStyle name="Input [yellow] 5 3 2 4 3 4" xfId="37523"/>
    <cellStyle name="Input [yellow] 5 3 2 4 4" xfId="11876"/>
    <cellStyle name="Input [yellow] 5 3 2 4 4 2" xfId="41746"/>
    <cellStyle name="Input [yellow] 5 3 2 4 4 3" xfId="42783"/>
    <cellStyle name="Input [yellow] 5 3 2 4 4 4" xfId="29545"/>
    <cellStyle name="Input [yellow] 5 3 2 4 5" xfId="20627"/>
    <cellStyle name="Input [yellow] 5 3 2 4 5 2" xfId="46149"/>
    <cellStyle name="Input [yellow] 5 3 2 4 5 3" xfId="50055"/>
    <cellStyle name="Input [yellow] 5 3 2 4 5 4" xfId="38019"/>
    <cellStyle name="Input [yellow] 5 3 2 4 6" xfId="21280"/>
    <cellStyle name="Input [yellow] 5 3 2 4 6 2" xfId="46802"/>
    <cellStyle name="Input [yellow] 5 3 2 4 6 3" xfId="50708"/>
    <cellStyle name="Input [yellow] 5 3 2 4 7" xfId="40591"/>
    <cellStyle name="Input [yellow] 5 3 2 4 8" xfId="47491"/>
    <cellStyle name="Input [yellow] 5 3 2 5" xfId="14780"/>
    <cellStyle name="Input [yellow] 5 3 2 5 2" xfId="42878"/>
    <cellStyle name="Input [yellow] 5 3 2 5 3" xfId="39507"/>
    <cellStyle name="Input [yellow] 5 3 2 5 4" xfId="32401"/>
    <cellStyle name="Input [yellow] 5 3 2 6" xfId="13068"/>
    <cellStyle name="Input [yellow] 5 3 2 6 2" xfId="42270"/>
    <cellStyle name="Input [yellow] 5 3 2 6 3" xfId="39277"/>
    <cellStyle name="Input [yellow] 5 3 2 6 4" xfId="30703"/>
    <cellStyle name="Input [yellow] 5 3 2 7" xfId="20364"/>
    <cellStyle name="Input [yellow] 5 3 2 7 2" xfId="45886"/>
    <cellStyle name="Input [yellow] 5 3 2 7 3" xfId="49792"/>
    <cellStyle name="Input [yellow] 5 3 2 7 4" xfId="37806"/>
    <cellStyle name="Input [yellow] 5 3 2 8" xfId="20280"/>
    <cellStyle name="Input [yellow] 5 3 2 8 2" xfId="45802"/>
    <cellStyle name="Input [yellow] 5 3 2 8 3" xfId="49708"/>
    <cellStyle name="Input [yellow] 5 3 2 8 4" xfId="37733"/>
    <cellStyle name="Input [yellow] 5 3 2 9" xfId="18989"/>
    <cellStyle name="Input [yellow] 5 3 2 9 2" xfId="44511"/>
    <cellStyle name="Input [yellow] 5 3 2 9 3" xfId="48417"/>
    <cellStyle name="Input [yellow] 5 3 2 9 4" xfId="36597"/>
    <cellStyle name="Input [yellow] 5 3 3" xfId="10444"/>
    <cellStyle name="Input [yellow] 5 3 3 2" xfId="18231"/>
    <cellStyle name="Input [yellow] 5 3 3 2 2" xfId="43763"/>
    <cellStyle name="Input [yellow] 5 3 3 2 3" xfId="47672"/>
    <cellStyle name="Input [yellow] 5 3 3 2 4" xfId="35854"/>
    <cellStyle name="Input [yellow] 5 3 3 3" xfId="19134"/>
    <cellStyle name="Input [yellow] 5 3 3 3 2" xfId="44656"/>
    <cellStyle name="Input [yellow] 5 3 3 3 3" xfId="48562"/>
    <cellStyle name="Input [yellow] 5 3 3 3 4" xfId="36715"/>
    <cellStyle name="Input [yellow] 5 3 3 4" xfId="19020"/>
    <cellStyle name="Input [yellow] 5 3 3 4 2" xfId="44542"/>
    <cellStyle name="Input [yellow] 5 3 3 4 3" xfId="48448"/>
    <cellStyle name="Input [yellow] 5 3 3 4 4" xfId="36612"/>
    <cellStyle name="Input [yellow] 5 3 3 5" xfId="20644"/>
    <cellStyle name="Input [yellow] 5 3 3 5 2" xfId="46166"/>
    <cellStyle name="Input [yellow] 5 3 3 5 3" xfId="50072"/>
    <cellStyle name="Input [yellow] 5 3 3 5 4" xfId="38036"/>
    <cellStyle name="Input [yellow] 5 3 3 6" xfId="21297"/>
    <cellStyle name="Input [yellow] 5 3 3 6 2" xfId="46819"/>
    <cellStyle name="Input [yellow] 5 3 3 6 3" xfId="50725"/>
    <cellStyle name="Input [yellow] 5 3 3 7" xfId="40622"/>
    <cellStyle name="Input [yellow] 5 3 3 8" xfId="40237"/>
    <cellStyle name="Input [yellow] 5 3 4" xfId="7783"/>
    <cellStyle name="Input [yellow] 5 3 4 2" xfId="15574"/>
    <cellStyle name="Input [yellow] 5 3 4 2 2" xfId="43236"/>
    <cellStyle name="Input [yellow] 5 3 4 2 3" xfId="40005"/>
    <cellStyle name="Input [yellow] 5 3 4 2 4" xfId="33195"/>
    <cellStyle name="Input [yellow] 5 3 4 3" xfId="19469"/>
    <cellStyle name="Input [yellow] 5 3 4 3 2" xfId="44991"/>
    <cellStyle name="Input [yellow] 5 3 4 3 3" xfId="48897"/>
    <cellStyle name="Input [yellow] 5 3 4 3 4" xfId="37011"/>
    <cellStyle name="Input [yellow] 5 3 4 4" xfId="13287"/>
    <cellStyle name="Input [yellow] 5 3 4 4 2" xfId="42438"/>
    <cellStyle name="Input [yellow] 5 3 4 4 3" xfId="39043"/>
    <cellStyle name="Input [yellow] 5 3 4 4 4" xfId="30917"/>
    <cellStyle name="Input [yellow] 5 3 4 5" xfId="20337"/>
    <cellStyle name="Input [yellow] 5 3 4 5 2" xfId="45859"/>
    <cellStyle name="Input [yellow] 5 3 4 5 3" xfId="49765"/>
    <cellStyle name="Input [yellow] 5 3 4 5 4" xfId="37781"/>
    <cellStyle name="Input [yellow] 5 3 4 6" xfId="20330"/>
    <cellStyle name="Input [yellow] 5 3 4 6 2" xfId="45852"/>
    <cellStyle name="Input [yellow] 5 3 4 6 3" xfId="49758"/>
    <cellStyle name="Input [yellow] 5 3 4 7" xfId="40095"/>
    <cellStyle name="Input [yellow] 5 3 4 8" xfId="47447"/>
    <cellStyle name="Input [yellow] 5 4" xfId="6996"/>
    <cellStyle name="Input [yellow] 5 4 10" xfId="39736"/>
    <cellStyle name="Input [yellow] 5 4 11" xfId="40111"/>
    <cellStyle name="Input [yellow] 5 4 2" xfId="10523"/>
    <cellStyle name="Input [yellow] 5 4 2 2" xfId="18310"/>
    <cellStyle name="Input [yellow] 5 4 2 2 2" xfId="43842"/>
    <cellStyle name="Input [yellow] 5 4 2 2 3" xfId="47751"/>
    <cellStyle name="Input [yellow] 5 4 2 2 4" xfId="35933"/>
    <cellStyle name="Input [yellow] 5 4 2 3" xfId="19604"/>
    <cellStyle name="Input [yellow] 5 4 2 3 2" xfId="45126"/>
    <cellStyle name="Input [yellow] 5 4 2 3 3" xfId="49032"/>
    <cellStyle name="Input [yellow] 5 4 2 3 4" xfId="37130"/>
    <cellStyle name="Input [yellow] 5 4 2 4" xfId="19314"/>
    <cellStyle name="Input [yellow] 5 4 2 4 2" xfId="44836"/>
    <cellStyle name="Input [yellow] 5 4 2 4 3" xfId="48742"/>
    <cellStyle name="Input [yellow] 5 4 2 4 4" xfId="36876"/>
    <cellStyle name="Input [yellow] 5 4 2 5" xfId="20723"/>
    <cellStyle name="Input [yellow] 5 4 2 5 2" xfId="46245"/>
    <cellStyle name="Input [yellow] 5 4 2 5 3" xfId="50151"/>
    <cellStyle name="Input [yellow] 5 4 2 5 4" xfId="38115"/>
    <cellStyle name="Input [yellow] 5 4 2 6" xfId="21376"/>
    <cellStyle name="Input [yellow] 5 4 2 6 2" xfId="46898"/>
    <cellStyle name="Input [yellow] 5 4 2 6 3" xfId="50804"/>
    <cellStyle name="Input [yellow] 5 4 2 7" xfId="40701"/>
    <cellStyle name="Input [yellow] 5 4 2 8" xfId="40470"/>
    <cellStyle name="Input [yellow] 5 4 3" xfId="10818"/>
    <cellStyle name="Input [yellow] 5 4 3 2" xfId="18605"/>
    <cellStyle name="Input [yellow] 5 4 3 2 2" xfId="44137"/>
    <cellStyle name="Input [yellow] 5 4 3 2 3" xfId="48046"/>
    <cellStyle name="Input [yellow] 5 4 3 2 4" xfId="36228"/>
    <cellStyle name="Input [yellow] 5 4 3 3" xfId="19875"/>
    <cellStyle name="Input [yellow] 5 4 3 3 2" xfId="45397"/>
    <cellStyle name="Input [yellow] 5 4 3 3 3" xfId="49303"/>
    <cellStyle name="Input [yellow] 5 4 3 3 4" xfId="37375"/>
    <cellStyle name="Input [yellow] 5 4 3 4" xfId="12132"/>
    <cellStyle name="Input [yellow] 5 4 3 4 2" xfId="41857"/>
    <cellStyle name="Input [yellow] 5 4 3 4 3" xfId="43563"/>
    <cellStyle name="Input [yellow] 5 4 3 4 4" xfId="29790"/>
    <cellStyle name="Input [yellow] 5 4 3 5" xfId="21018"/>
    <cellStyle name="Input [yellow] 5 4 3 5 2" xfId="46540"/>
    <cellStyle name="Input [yellow] 5 4 3 5 3" xfId="50446"/>
    <cellStyle name="Input [yellow] 5 4 3 5 4" xfId="38410"/>
    <cellStyle name="Input [yellow] 5 4 3 6" xfId="21671"/>
    <cellStyle name="Input [yellow] 5 4 3 6 2" xfId="47193"/>
    <cellStyle name="Input [yellow] 5 4 3 6 3" xfId="51099"/>
    <cellStyle name="Input [yellow] 5 4 3 7" xfId="40996"/>
    <cellStyle name="Input [yellow] 5 4 3 8" xfId="39462"/>
    <cellStyle name="Input [yellow] 5 4 4" xfId="10168"/>
    <cellStyle name="Input [yellow] 5 4 4 2" xfId="17955"/>
    <cellStyle name="Input [yellow] 5 4 4 2 2" xfId="43730"/>
    <cellStyle name="Input [yellow] 5 4 4 2 3" xfId="47653"/>
    <cellStyle name="Input [yellow] 5 4 4 2 4" xfId="35578"/>
    <cellStyle name="Input [yellow] 5 4 4 3" xfId="20175"/>
    <cellStyle name="Input [yellow] 5 4 4 3 2" xfId="45697"/>
    <cellStyle name="Input [yellow] 5 4 4 3 3" xfId="49603"/>
    <cellStyle name="Input [yellow] 5 4 4 3 4" xfId="37645"/>
    <cellStyle name="Input [yellow] 5 4 4 4" xfId="20204"/>
    <cellStyle name="Input [yellow] 5 4 4 4 2" xfId="45726"/>
    <cellStyle name="Input [yellow] 5 4 4 4 3" xfId="49632"/>
    <cellStyle name="Input [yellow] 5 4 4 4 4" xfId="37667"/>
    <cellStyle name="Input [yellow] 5 4 4 5" xfId="20625"/>
    <cellStyle name="Input [yellow] 5 4 4 5 2" xfId="46147"/>
    <cellStyle name="Input [yellow] 5 4 4 5 3" xfId="50053"/>
    <cellStyle name="Input [yellow] 5 4 4 5 4" xfId="38017"/>
    <cellStyle name="Input [yellow] 5 4 4 6" xfId="21278"/>
    <cellStyle name="Input [yellow] 5 4 4 6 2" xfId="46800"/>
    <cellStyle name="Input [yellow] 5 4 4 6 3" xfId="50706"/>
    <cellStyle name="Input [yellow] 5 4 4 7" xfId="40589"/>
    <cellStyle name="Input [yellow] 5 4 4 8" xfId="40368"/>
    <cellStyle name="Input [yellow] 5 4 5" xfId="14778"/>
    <cellStyle name="Input [yellow] 5 4 5 2" xfId="42876"/>
    <cellStyle name="Input [yellow] 5 4 5 3" xfId="43537"/>
    <cellStyle name="Input [yellow] 5 4 5 4" xfId="32399"/>
    <cellStyle name="Input [yellow] 5 4 6" xfId="13066"/>
    <cellStyle name="Input [yellow] 5 4 6 2" xfId="42268"/>
    <cellStyle name="Input [yellow] 5 4 6 3" xfId="40303"/>
    <cellStyle name="Input [yellow] 5 4 6 4" xfId="30701"/>
    <cellStyle name="Input [yellow] 5 4 7" xfId="19304"/>
    <cellStyle name="Input [yellow] 5 4 7 2" xfId="44826"/>
    <cellStyle name="Input [yellow] 5 4 7 3" xfId="48732"/>
    <cellStyle name="Input [yellow] 5 4 7 4" xfId="36868"/>
    <cellStyle name="Input [yellow] 5 4 8" xfId="20091"/>
    <cellStyle name="Input [yellow] 5 4 8 2" xfId="45613"/>
    <cellStyle name="Input [yellow] 5 4 8 3" xfId="49519"/>
    <cellStyle name="Input [yellow] 5 4 8 4" xfId="37566"/>
    <cellStyle name="Input [yellow] 5 4 9" xfId="20610"/>
    <cellStyle name="Input [yellow] 5 4 9 2" xfId="46132"/>
    <cellStyle name="Input [yellow] 5 4 9 3" xfId="50038"/>
    <cellStyle name="Input [yellow] 5 4 9 4" xfId="38005"/>
    <cellStyle name="Input [yellow] 5 5" xfId="10442"/>
    <cellStyle name="Input [yellow] 5 5 2" xfId="18229"/>
    <cellStyle name="Input [yellow] 5 5 2 2" xfId="43761"/>
    <cellStyle name="Input [yellow] 5 5 2 3" xfId="47670"/>
    <cellStyle name="Input [yellow] 5 5 2 4" xfId="35852"/>
    <cellStyle name="Input [yellow] 5 5 3" xfId="19302"/>
    <cellStyle name="Input [yellow] 5 5 3 2" xfId="44824"/>
    <cellStyle name="Input [yellow] 5 5 3 3" xfId="48730"/>
    <cellStyle name="Input [yellow] 5 5 3 4" xfId="36866"/>
    <cellStyle name="Input [yellow] 5 5 4" xfId="11564"/>
    <cellStyle name="Input [yellow] 5 5 4 2" xfId="41555"/>
    <cellStyle name="Input [yellow] 5 5 4 3" xfId="40046"/>
    <cellStyle name="Input [yellow] 5 5 4 4" xfId="29261"/>
    <cellStyle name="Input [yellow] 5 5 5" xfId="20642"/>
    <cellStyle name="Input [yellow] 5 5 5 2" xfId="46164"/>
    <cellStyle name="Input [yellow] 5 5 5 3" xfId="50070"/>
    <cellStyle name="Input [yellow] 5 5 5 4" xfId="38034"/>
    <cellStyle name="Input [yellow] 5 5 6" xfId="21295"/>
    <cellStyle name="Input [yellow] 5 5 6 2" xfId="46817"/>
    <cellStyle name="Input [yellow] 5 5 6 3" xfId="50723"/>
    <cellStyle name="Input [yellow] 5 5 7" xfId="40620"/>
    <cellStyle name="Input [yellow] 5 5 8" xfId="42056"/>
    <cellStyle name="Input [yellow] 5 6" xfId="7781"/>
    <cellStyle name="Input [yellow] 5 6 2" xfId="15572"/>
    <cellStyle name="Input [yellow] 5 6 2 2" xfId="43234"/>
    <cellStyle name="Input [yellow] 5 6 2 3" xfId="41251"/>
    <cellStyle name="Input [yellow] 5 6 2 4" xfId="33193"/>
    <cellStyle name="Input [yellow] 5 6 3" xfId="19642"/>
    <cellStyle name="Input [yellow] 5 6 3 2" xfId="45164"/>
    <cellStyle name="Input [yellow] 5 6 3 3" xfId="49070"/>
    <cellStyle name="Input [yellow] 5 6 3 4" xfId="37162"/>
    <cellStyle name="Input [yellow] 5 6 4" xfId="19472"/>
    <cellStyle name="Input [yellow] 5 6 4 2" xfId="44994"/>
    <cellStyle name="Input [yellow] 5 6 4 3" xfId="48900"/>
    <cellStyle name="Input [yellow] 5 6 4 4" xfId="37014"/>
    <cellStyle name="Input [yellow] 5 6 5" xfId="11578"/>
    <cellStyle name="Input [yellow] 5 6 5 2" xfId="41569"/>
    <cellStyle name="Input [yellow] 5 6 5 3" xfId="43320"/>
    <cellStyle name="Input [yellow] 5 6 5 4" xfId="29273"/>
    <cellStyle name="Input [yellow] 5 6 6" xfId="20491"/>
    <cellStyle name="Input [yellow] 5 6 6 2" xfId="46013"/>
    <cellStyle name="Input [yellow] 5 6 6 3" xfId="49919"/>
    <cellStyle name="Input [yellow] 5 6 7" xfId="40093"/>
    <cellStyle name="Input [yellow] 5 6 8" xfId="39379"/>
    <cellStyle name="Input [yellow] 5 7" xfId="52954"/>
    <cellStyle name="Input [yellow] 5_BallGrid" xfId="1791"/>
    <cellStyle name="Input [yellow] 6" xfId="1792"/>
    <cellStyle name="Input [yellow] 6 2" xfId="1793"/>
    <cellStyle name="Input [yellow] 6 2 2" xfId="7000"/>
    <cellStyle name="Input [yellow] 6 2 2 10" xfId="39740"/>
    <cellStyle name="Input [yellow] 6 2 2 11" xfId="39940"/>
    <cellStyle name="Input [yellow] 6 2 2 2" xfId="10527"/>
    <cellStyle name="Input [yellow] 6 2 2 2 2" xfId="18314"/>
    <cellStyle name="Input [yellow] 6 2 2 2 2 2" xfId="43846"/>
    <cellStyle name="Input [yellow] 6 2 2 2 2 3" xfId="47755"/>
    <cellStyle name="Input [yellow] 6 2 2 2 2 4" xfId="35937"/>
    <cellStyle name="Input [yellow] 6 2 2 2 3" xfId="19291"/>
    <cellStyle name="Input [yellow] 6 2 2 2 3 2" xfId="44813"/>
    <cellStyle name="Input [yellow] 6 2 2 2 3 3" xfId="48719"/>
    <cellStyle name="Input [yellow] 6 2 2 2 3 4" xfId="36855"/>
    <cellStyle name="Input [yellow] 6 2 2 2 4" xfId="19378"/>
    <cellStyle name="Input [yellow] 6 2 2 2 4 2" xfId="44900"/>
    <cellStyle name="Input [yellow] 6 2 2 2 4 3" xfId="48806"/>
    <cellStyle name="Input [yellow] 6 2 2 2 4 4" xfId="36929"/>
    <cellStyle name="Input [yellow] 6 2 2 2 5" xfId="20727"/>
    <cellStyle name="Input [yellow] 6 2 2 2 5 2" xfId="46249"/>
    <cellStyle name="Input [yellow] 6 2 2 2 5 3" xfId="50155"/>
    <cellStyle name="Input [yellow] 6 2 2 2 5 4" xfId="38119"/>
    <cellStyle name="Input [yellow] 6 2 2 2 6" xfId="21380"/>
    <cellStyle name="Input [yellow] 6 2 2 2 6 2" xfId="46902"/>
    <cellStyle name="Input [yellow] 6 2 2 2 6 3" xfId="50808"/>
    <cellStyle name="Input [yellow] 6 2 2 2 7" xfId="40705"/>
    <cellStyle name="Input [yellow] 6 2 2 2 8" xfId="40364"/>
    <cellStyle name="Input [yellow] 6 2 2 3" xfId="10822"/>
    <cellStyle name="Input [yellow] 6 2 2 3 2" xfId="18609"/>
    <cellStyle name="Input [yellow] 6 2 2 3 2 2" xfId="44141"/>
    <cellStyle name="Input [yellow] 6 2 2 3 2 3" xfId="48050"/>
    <cellStyle name="Input [yellow] 6 2 2 3 2 4" xfId="36232"/>
    <cellStyle name="Input [yellow] 6 2 2 3 3" xfId="20133"/>
    <cellStyle name="Input [yellow] 6 2 2 3 3 2" xfId="45655"/>
    <cellStyle name="Input [yellow] 6 2 2 3 3 3" xfId="49561"/>
    <cellStyle name="Input [yellow] 6 2 2 3 3 4" xfId="37605"/>
    <cellStyle name="Input [yellow] 6 2 2 3 4" xfId="19067"/>
    <cellStyle name="Input [yellow] 6 2 2 3 4 2" xfId="44589"/>
    <cellStyle name="Input [yellow] 6 2 2 3 4 3" xfId="48495"/>
    <cellStyle name="Input [yellow] 6 2 2 3 4 4" xfId="36649"/>
    <cellStyle name="Input [yellow] 6 2 2 3 5" xfId="21022"/>
    <cellStyle name="Input [yellow] 6 2 2 3 5 2" xfId="46544"/>
    <cellStyle name="Input [yellow] 6 2 2 3 5 3" xfId="50450"/>
    <cellStyle name="Input [yellow] 6 2 2 3 5 4" xfId="38414"/>
    <cellStyle name="Input [yellow] 6 2 2 3 6" xfId="21675"/>
    <cellStyle name="Input [yellow] 6 2 2 3 6 2" xfId="47197"/>
    <cellStyle name="Input [yellow] 6 2 2 3 6 3" xfId="51103"/>
    <cellStyle name="Input [yellow] 6 2 2 3 7" xfId="41000"/>
    <cellStyle name="Input [yellow] 6 2 2 3 8" xfId="39354"/>
    <cellStyle name="Input [yellow] 6 2 2 4" xfId="10172"/>
    <cellStyle name="Input [yellow] 6 2 2 4 2" xfId="17959"/>
    <cellStyle name="Input [yellow] 6 2 2 4 2 2" xfId="43734"/>
    <cellStyle name="Input [yellow] 6 2 2 4 2 3" xfId="47657"/>
    <cellStyle name="Input [yellow] 6 2 2 4 2 4" xfId="35582"/>
    <cellStyle name="Input [yellow] 6 2 2 4 3" xfId="19917"/>
    <cellStyle name="Input [yellow] 6 2 2 4 3 2" xfId="45439"/>
    <cellStyle name="Input [yellow] 6 2 2 4 3 3" xfId="49345"/>
    <cellStyle name="Input [yellow] 6 2 2 4 3 4" xfId="37415"/>
    <cellStyle name="Input [yellow] 6 2 2 4 4" xfId="19465"/>
    <cellStyle name="Input [yellow] 6 2 2 4 4 2" xfId="44987"/>
    <cellStyle name="Input [yellow] 6 2 2 4 4 3" xfId="48893"/>
    <cellStyle name="Input [yellow] 6 2 2 4 4 4" xfId="37008"/>
    <cellStyle name="Input [yellow] 6 2 2 4 5" xfId="20629"/>
    <cellStyle name="Input [yellow] 6 2 2 4 5 2" xfId="46151"/>
    <cellStyle name="Input [yellow] 6 2 2 4 5 3" xfId="50057"/>
    <cellStyle name="Input [yellow] 6 2 2 4 5 4" xfId="38021"/>
    <cellStyle name="Input [yellow] 6 2 2 4 6" xfId="21282"/>
    <cellStyle name="Input [yellow] 6 2 2 4 6 2" xfId="46804"/>
    <cellStyle name="Input [yellow] 6 2 2 4 6 3" xfId="50710"/>
    <cellStyle name="Input [yellow] 6 2 2 4 7" xfId="40593"/>
    <cellStyle name="Input [yellow] 6 2 2 4 8" xfId="43256"/>
    <cellStyle name="Input [yellow] 6 2 2 5" xfId="14782"/>
    <cellStyle name="Input [yellow] 6 2 2 5 2" xfId="42880"/>
    <cellStyle name="Input [yellow] 6 2 2 5 3" xfId="43428"/>
    <cellStyle name="Input [yellow] 6 2 2 5 4" xfId="32403"/>
    <cellStyle name="Input [yellow] 6 2 2 6" xfId="11274"/>
    <cellStyle name="Input [yellow] 6 2 2 6 2" xfId="41301"/>
    <cellStyle name="Input [yellow] 6 2 2 6 3" xfId="43192"/>
    <cellStyle name="Input [yellow] 6 2 2 6 4" xfId="28988"/>
    <cellStyle name="Input [yellow] 6 2 2 7" xfId="19931"/>
    <cellStyle name="Input [yellow] 6 2 2 7 2" xfId="45453"/>
    <cellStyle name="Input [yellow] 6 2 2 7 3" xfId="49359"/>
    <cellStyle name="Input [yellow] 6 2 2 7 4" xfId="37426"/>
    <cellStyle name="Input [yellow] 6 2 2 8" xfId="20064"/>
    <cellStyle name="Input [yellow] 6 2 2 8 2" xfId="45586"/>
    <cellStyle name="Input [yellow] 6 2 2 8 3" xfId="49492"/>
    <cellStyle name="Input [yellow] 6 2 2 8 4" xfId="37544"/>
    <cellStyle name="Input [yellow] 6 2 2 9" xfId="12488"/>
    <cellStyle name="Input [yellow] 6 2 2 9 2" xfId="41982"/>
    <cellStyle name="Input [yellow] 6 2 2 9 3" xfId="40526"/>
    <cellStyle name="Input [yellow] 6 2 2 9 4" xfId="30145"/>
    <cellStyle name="Input [yellow] 6 2 3" xfId="10446"/>
    <cellStyle name="Input [yellow] 6 2 3 2" xfId="18233"/>
    <cellStyle name="Input [yellow] 6 2 3 2 2" xfId="43765"/>
    <cellStyle name="Input [yellow] 6 2 3 2 3" xfId="47674"/>
    <cellStyle name="Input [yellow] 6 2 3 2 4" xfId="35856"/>
    <cellStyle name="Input [yellow] 6 2 3 3" xfId="19612"/>
    <cellStyle name="Input [yellow] 6 2 3 3 2" xfId="45134"/>
    <cellStyle name="Input [yellow] 6 2 3 3 3" xfId="49040"/>
    <cellStyle name="Input [yellow] 6 2 3 3 4" xfId="37138"/>
    <cellStyle name="Input [yellow] 6 2 3 4" xfId="19923"/>
    <cellStyle name="Input [yellow] 6 2 3 4 2" xfId="45445"/>
    <cellStyle name="Input [yellow] 6 2 3 4 3" xfId="49351"/>
    <cellStyle name="Input [yellow] 6 2 3 4 4" xfId="37419"/>
    <cellStyle name="Input [yellow] 6 2 3 5" xfId="20646"/>
    <cellStyle name="Input [yellow] 6 2 3 5 2" xfId="46168"/>
    <cellStyle name="Input [yellow] 6 2 3 5 3" xfId="50074"/>
    <cellStyle name="Input [yellow] 6 2 3 5 4" xfId="38038"/>
    <cellStyle name="Input [yellow] 6 2 3 6" xfId="21299"/>
    <cellStyle name="Input [yellow] 6 2 3 6 2" xfId="46821"/>
    <cellStyle name="Input [yellow] 6 2 3 6 3" xfId="50727"/>
    <cellStyle name="Input [yellow] 6 2 3 7" xfId="40624"/>
    <cellStyle name="Input [yellow] 6 2 3 8" xfId="42055"/>
    <cellStyle name="Input [yellow] 6 2 4" xfId="7785"/>
    <cellStyle name="Input [yellow] 6 2 4 2" xfId="15576"/>
    <cellStyle name="Input [yellow] 6 2 4 2 2" xfId="43238"/>
    <cellStyle name="Input [yellow] 6 2 4 2 3" xfId="43633"/>
    <cellStyle name="Input [yellow] 6 2 4 2 4" xfId="33197"/>
    <cellStyle name="Input [yellow] 6 2 4 3" xfId="19332"/>
    <cellStyle name="Input [yellow] 6 2 4 3 2" xfId="44854"/>
    <cellStyle name="Input [yellow] 6 2 4 3 3" xfId="48760"/>
    <cellStyle name="Input [yellow] 6 2 4 3 4" xfId="36890"/>
    <cellStyle name="Input [yellow] 6 2 4 4" xfId="12653"/>
    <cellStyle name="Input [yellow] 6 2 4 4 2" xfId="42113"/>
    <cellStyle name="Input [yellow] 6 2 4 4 3" xfId="40163"/>
    <cellStyle name="Input [yellow] 6 2 4 4 4" xfId="30303"/>
    <cellStyle name="Input [yellow] 6 2 4 5" xfId="19914"/>
    <cellStyle name="Input [yellow] 6 2 4 5 2" xfId="45436"/>
    <cellStyle name="Input [yellow] 6 2 4 5 3" xfId="49342"/>
    <cellStyle name="Input [yellow] 6 2 4 5 4" xfId="37414"/>
    <cellStyle name="Input [yellow] 6 2 4 6" xfId="19015"/>
    <cellStyle name="Input [yellow] 6 2 4 6 2" xfId="44537"/>
    <cellStyle name="Input [yellow] 6 2 4 6 3" xfId="48443"/>
    <cellStyle name="Input [yellow] 6 2 4 7" xfId="40097"/>
    <cellStyle name="Input [yellow] 6 2 4 8" xfId="43240"/>
    <cellStyle name="Input [yellow] 6 3" xfId="6999"/>
    <cellStyle name="Input [yellow] 6 3 10" xfId="39739"/>
    <cellStyle name="Input [yellow] 6 3 11" xfId="40606"/>
    <cellStyle name="Input [yellow] 6 3 2" xfId="10526"/>
    <cellStyle name="Input [yellow] 6 3 2 2" xfId="18313"/>
    <cellStyle name="Input [yellow] 6 3 2 2 2" xfId="43845"/>
    <cellStyle name="Input [yellow] 6 3 2 2 3" xfId="47754"/>
    <cellStyle name="Input [yellow] 6 3 2 2 4" xfId="35936"/>
    <cellStyle name="Input [yellow] 6 3 2 3" xfId="20025"/>
    <cellStyle name="Input [yellow] 6 3 2 3 2" xfId="45547"/>
    <cellStyle name="Input [yellow] 6 3 2 3 3" xfId="49453"/>
    <cellStyle name="Input [yellow] 6 3 2 3 4" xfId="37509"/>
    <cellStyle name="Input [yellow] 6 3 2 4" xfId="19986"/>
    <cellStyle name="Input [yellow] 6 3 2 4 2" xfId="45508"/>
    <cellStyle name="Input [yellow] 6 3 2 4 3" xfId="49414"/>
    <cellStyle name="Input [yellow] 6 3 2 4 4" xfId="37470"/>
    <cellStyle name="Input [yellow] 6 3 2 5" xfId="20726"/>
    <cellStyle name="Input [yellow] 6 3 2 5 2" xfId="46248"/>
    <cellStyle name="Input [yellow] 6 3 2 5 3" xfId="50154"/>
    <cellStyle name="Input [yellow] 6 3 2 5 4" xfId="38118"/>
    <cellStyle name="Input [yellow] 6 3 2 6" xfId="21379"/>
    <cellStyle name="Input [yellow] 6 3 2 6 2" xfId="46901"/>
    <cellStyle name="Input [yellow] 6 3 2 6 3" xfId="50807"/>
    <cellStyle name="Input [yellow] 6 3 2 7" xfId="40704"/>
    <cellStyle name="Input [yellow] 6 3 2 8" xfId="43501"/>
    <cellStyle name="Input [yellow] 6 3 3" xfId="10821"/>
    <cellStyle name="Input [yellow] 6 3 3 2" xfId="18608"/>
    <cellStyle name="Input [yellow] 6 3 3 2 2" xfId="44140"/>
    <cellStyle name="Input [yellow] 6 3 3 2 3" xfId="48049"/>
    <cellStyle name="Input [yellow] 6 3 3 2 4" xfId="36231"/>
    <cellStyle name="Input [yellow] 6 3 3 3" xfId="19581"/>
    <cellStyle name="Input [yellow] 6 3 3 3 2" xfId="45103"/>
    <cellStyle name="Input [yellow] 6 3 3 3 3" xfId="49009"/>
    <cellStyle name="Input [yellow] 6 3 3 3 4" xfId="37107"/>
    <cellStyle name="Input [yellow] 6 3 3 4" xfId="19038"/>
    <cellStyle name="Input [yellow] 6 3 3 4 2" xfId="44560"/>
    <cellStyle name="Input [yellow] 6 3 3 4 3" xfId="48466"/>
    <cellStyle name="Input [yellow] 6 3 3 4 4" xfId="36624"/>
    <cellStyle name="Input [yellow] 6 3 3 5" xfId="21021"/>
    <cellStyle name="Input [yellow] 6 3 3 5 2" xfId="46543"/>
    <cellStyle name="Input [yellow] 6 3 3 5 3" xfId="50449"/>
    <cellStyle name="Input [yellow] 6 3 3 5 4" xfId="38413"/>
    <cellStyle name="Input [yellow] 6 3 3 6" xfId="21674"/>
    <cellStyle name="Input [yellow] 6 3 3 6 2" xfId="47196"/>
    <cellStyle name="Input [yellow] 6 3 3 6 3" xfId="51102"/>
    <cellStyle name="Input [yellow] 6 3 3 7" xfId="40999"/>
    <cellStyle name="Input [yellow] 6 3 3 8" xfId="40214"/>
    <cellStyle name="Input [yellow] 6 3 4" xfId="10171"/>
    <cellStyle name="Input [yellow] 6 3 4 2" xfId="17958"/>
    <cellStyle name="Input [yellow] 6 3 4 2 2" xfId="43733"/>
    <cellStyle name="Input [yellow] 6 3 4 2 3" xfId="47656"/>
    <cellStyle name="Input [yellow] 6 3 4 2 4" xfId="35581"/>
    <cellStyle name="Input [yellow] 6 3 4 3" xfId="19305"/>
    <cellStyle name="Input [yellow] 6 3 4 3 2" xfId="44827"/>
    <cellStyle name="Input [yellow] 6 3 4 3 3" xfId="48733"/>
    <cellStyle name="Input [yellow] 6 3 4 3 4" xfId="36869"/>
    <cellStyle name="Input [yellow] 6 3 4 4" xfId="11642"/>
    <cellStyle name="Input [yellow] 6 3 4 4 2" xfId="41633"/>
    <cellStyle name="Input [yellow] 6 3 4 4 3" xfId="39645"/>
    <cellStyle name="Input [yellow] 6 3 4 4 4" xfId="29327"/>
    <cellStyle name="Input [yellow] 6 3 4 5" xfId="20628"/>
    <cellStyle name="Input [yellow] 6 3 4 5 2" xfId="46150"/>
    <cellStyle name="Input [yellow] 6 3 4 5 3" xfId="50056"/>
    <cellStyle name="Input [yellow] 6 3 4 5 4" xfId="38020"/>
    <cellStyle name="Input [yellow] 6 3 4 6" xfId="21281"/>
    <cellStyle name="Input [yellow] 6 3 4 6 2" xfId="46803"/>
    <cellStyle name="Input [yellow] 6 3 4 6 3" xfId="50709"/>
    <cellStyle name="Input [yellow] 6 3 4 7" xfId="40592"/>
    <cellStyle name="Input [yellow] 6 3 4 8" xfId="41900"/>
    <cellStyle name="Input [yellow] 6 3 5" xfId="14781"/>
    <cellStyle name="Input [yellow] 6 3 5 2" xfId="42879"/>
    <cellStyle name="Input [yellow] 6 3 5 3" xfId="42517"/>
    <cellStyle name="Input [yellow] 6 3 5 4" xfId="32402"/>
    <cellStyle name="Input [yellow] 6 3 6" xfId="11273"/>
    <cellStyle name="Input [yellow] 6 3 6 2" xfId="41300"/>
    <cellStyle name="Input [yellow] 6 3 6 3" xfId="41389"/>
    <cellStyle name="Input [yellow] 6 3 6 4" xfId="28987"/>
    <cellStyle name="Input [yellow] 6 3 7" xfId="20325"/>
    <cellStyle name="Input [yellow] 6 3 7 2" xfId="45847"/>
    <cellStyle name="Input [yellow] 6 3 7 3" xfId="49753"/>
    <cellStyle name="Input [yellow] 6 3 7 4" xfId="37774"/>
    <cellStyle name="Input [yellow] 6 3 8" xfId="12027"/>
    <cellStyle name="Input [yellow] 6 3 8 2" xfId="41763"/>
    <cellStyle name="Input [yellow] 6 3 8 3" xfId="40000"/>
    <cellStyle name="Input [yellow] 6 3 8 4" xfId="29692"/>
    <cellStyle name="Input [yellow] 6 3 9" xfId="18888"/>
    <cellStyle name="Input [yellow] 6 3 9 2" xfId="44410"/>
    <cellStyle name="Input [yellow] 6 3 9 3" xfId="48316"/>
    <cellStyle name="Input [yellow] 6 3 9 4" xfId="36507"/>
    <cellStyle name="Input [yellow] 6 4" xfId="10445"/>
    <cellStyle name="Input [yellow] 6 4 2" xfId="18232"/>
    <cellStyle name="Input [yellow] 6 4 2 2" xfId="43764"/>
    <cellStyle name="Input [yellow] 6 4 2 3" xfId="47673"/>
    <cellStyle name="Input [yellow] 6 4 2 4" xfId="35855"/>
    <cellStyle name="Input [yellow] 6 4 3" xfId="11475"/>
    <cellStyle name="Input [yellow] 6 4 3 2" xfId="41466"/>
    <cellStyle name="Input [yellow] 6 4 3 3" xfId="43578"/>
    <cellStyle name="Input [yellow] 6 4 3 4" xfId="29176"/>
    <cellStyle name="Input [yellow] 6 4 4" xfId="11671"/>
    <cellStyle name="Input [yellow] 6 4 4 2" xfId="41662"/>
    <cellStyle name="Input [yellow] 6 4 4 3" xfId="39434"/>
    <cellStyle name="Input [yellow] 6 4 4 4" xfId="29350"/>
    <cellStyle name="Input [yellow] 6 4 5" xfId="20645"/>
    <cellStyle name="Input [yellow] 6 4 5 2" xfId="46167"/>
    <cellStyle name="Input [yellow] 6 4 5 3" xfId="50073"/>
    <cellStyle name="Input [yellow] 6 4 5 4" xfId="38037"/>
    <cellStyle name="Input [yellow] 6 4 6" xfId="21298"/>
    <cellStyle name="Input [yellow] 6 4 6 2" xfId="46820"/>
    <cellStyle name="Input [yellow] 6 4 6 3" xfId="50726"/>
    <cellStyle name="Input [yellow] 6 4 7" xfId="40623"/>
    <cellStyle name="Input [yellow] 6 4 8" xfId="39377"/>
    <cellStyle name="Input [yellow] 6 5" xfId="7784"/>
    <cellStyle name="Input [yellow] 6 5 2" xfId="15575"/>
    <cellStyle name="Input [yellow] 6 5 2 2" xfId="43237"/>
    <cellStyle name="Input [yellow] 6 5 2 3" xfId="42745"/>
    <cellStyle name="Input [yellow] 6 5 2 4" xfId="33196"/>
    <cellStyle name="Input [yellow] 6 5 3" xfId="20070"/>
    <cellStyle name="Input [yellow] 6 5 3 2" xfId="45592"/>
    <cellStyle name="Input [yellow] 6 5 3 3" xfId="49498"/>
    <cellStyle name="Input [yellow] 6 5 3 4" xfId="37549"/>
    <cellStyle name="Input [yellow] 6 5 4" xfId="12799"/>
    <cellStyle name="Input [yellow] 6 5 4 2" xfId="42195"/>
    <cellStyle name="Input [yellow] 6 5 4 3" xfId="40306"/>
    <cellStyle name="Input [yellow] 6 5 4 4" xfId="30441"/>
    <cellStyle name="Input [yellow] 6 5 5" xfId="19662"/>
    <cellStyle name="Input [yellow] 6 5 5 2" xfId="45184"/>
    <cellStyle name="Input [yellow] 6 5 5 3" xfId="49090"/>
    <cellStyle name="Input [yellow] 6 5 5 4" xfId="37181"/>
    <cellStyle name="Input [yellow] 6 5 6" xfId="19916"/>
    <cellStyle name="Input [yellow] 6 5 6 2" xfId="45438"/>
    <cellStyle name="Input [yellow] 6 5 6 3" xfId="49344"/>
    <cellStyle name="Input [yellow] 6 5 7" xfId="40096"/>
    <cellStyle name="Input [yellow] 6 5 8" xfId="41675"/>
    <cellStyle name="Input [yellow] 6 6" xfId="52956"/>
    <cellStyle name="Input [yellow] 7" xfId="1794"/>
    <cellStyle name="Input [yellow] 7 2" xfId="7001"/>
    <cellStyle name="Input [yellow] 7 2 10" xfId="39741"/>
    <cellStyle name="Input [yellow] 7 2 11" xfId="42740"/>
    <cellStyle name="Input [yellow] 7 2 2" xfId="10528"/>
    <cellStyle name="Input [yellow] 7 2 2 2" xfId="18315"/>
    <cellStyle name="Input [yellow] 7 2 2 2 2" xfId="43847"/>
    <cellStyle name="Input [yellow] 7 2 2 2 3" xfId="47756"/>
    <cellStyle name="Input [yellow] 7 2 2 2 4" xfId="35938"/>
    <cellStyle name="Input [yellow] 7 2 2 3" xfId="19900"/>
    <cellStyle name="Input [yellow] 7 2 2 3 2" xfId="45422"/>
    <cellStyle name="Input [yellow] 7 2 2 3 3" xfId="49328"/>
    <cellStyle name="Input [yellow] 7 2 2 3 4" xfId="37400"/>
    <cellStyle name="Input [yellow] 7 2 2 4" xfId="19170"/>
    <cellStyle name="Input [yellow] 7 2 2 4 2" xfId="44692"/>
    <cellStyle name="Input [yellow] 7 2 2 4 3" xfId="48598"/>
    <cellStyle name="Input [yellow] 7 2 2 4 4" xfId="36743"/>
    <cellStyle name="Input [yellow] 7 2 2 5" xfId="20728"/>
    <cellStyle name="Input [yellow] 7 2 2 5 2" xfId="46250"/>
    <cellStyle name="Input [yellow] 7 2 2 5 3" xfId="50156"/>
    <cellStyle name="Input [yellow] 7 2 2 5 4" xfId="38120"/>
    <cellStyle name="Input [yellow] 7 2 2 6" xfId="21381"/>
    <cellStyle name="Input [yellow] 7 2 2 6 2" xfId="46903"/>
    <cellStyle name="Input [yellow] 7 2 2 6 3" xfId="50809"/>
    <cellStyle name="Input [yellow] 7 2 2 7" xfId="40706"/>
    <cellStyle name="Input [yellow] 7 2 2 8" xfId="39476"/>
    <cellStyle name="Input [yellow] 7 2 3" xfId="10823"/>
    <cellStyle name="Input [yellow] 7 2 3 2" xfId="18610"/>
    <cellStyle name="Input [yellow] 7 2 3 2 2" xfId="44142"/>
    <cellStyle name="Input [yellow] 7 2 3 2 3" xfId="48051"/>
    <cellStyle name="Input [yellow] 7 2 3 2 4" xfId="36233"/>
    <cellStyle name="Input [yellow] 7 2 3 3" xfId="19392"/>
    <cellStyle name="Input [yellow] 7 2 3 3 2" xfId="44914"/>
    <cellStyle name="Input [yellow] 7 2 3 3 3" xfId="48820"/>
    <cellStyle name="Input [yellow] 7 2 3 3 4" xfId="36943"/>
    <cellStyle name="Input [yellow] 7 2 3 4" xfId="12129"/>
    <cellStyle name="Input [yellow] 7 2 3 4 2" xfId="41854"/>
    <cellStyle name="Input [yellow] 7 2 3 4 3" xfId="39638"/>
    <cellStyle name="Input [yellow] 7 2 3 4 4" xfId="29788"/>
    <cellStyle name="Input [yellow] 7 2 3 5" xfId="21023"/>
    <cellStyle name="Input [yellow] 7 2 3 5 2" xfId="46545"/>
    <cellStyle name="Input [yellow] 7 2 3 5 3" xfId="50451"/>
    <cellStyle name="Input [yellow] 7 2 3 5 4" xfId="38415"/>
    <cellStyle name="Input [yellow] 7 2 3 6" xfId="21676"/>
    <cellStyle name="Input [yellow] 7 2 3 6 2" xfId="47198"/>
    <cellStyle name="Input [yellow] 7 2 3 6 3" xfId="51104"/>
    <cellStyle name="Input [yellow] 7 2 3 7" xfId="41001"/>
    <cellStyle name="Input [yellow] 7 2 3 8" xfId="39161"/>
    <cellStyle name="Input [yellow] 7 2 4" xfId="10173"/>
    <cellStyle name="Input [yellow] 7 2 4 2" xfId="17960"/>
    <cellStyle name="Input [yellow] 7 2 4 2 2" xfId="43735"/>
    <cellStyle name="Input [yellow] 7 2 4 2 3" xfId="47658"/>
    <cellStyle name="Input [yellow] 7 2 4 2 4" xfId="35583"/>
    <cellStyle name="Input [yellow] 7 2 4 3" xfId="19138"/>
    <cellStyle name="Input [yellow] 7 2 4 3 2" xfId="44660"/>
    <cellStyle name="Input [yellow] 7 2 4 3 3" xfId="48566"/>
    <cellStyle name="Input [yellow] 7 2 4 3 4" xfId="36718"/>
    <cellStyle name="Input [yellow] 7 2 4 4" xfId="20116"/>
    <cellStyle name="Input [yellow] 7 2 4 4 2" xfId="45638"/>
    <cellStyle name="Input [yellow] 7 2 4 4 3" xfId="49544"/>
    <cellStyle name="Input [yellow] 7 2 4 4 4" xfId="37588"/>
    <cellStyle name="Input [yellow] 7 2 4 5" xfId="20630"/>
    <cellStyle name="Input [yellow] 7 2 4 5 2" xfId="46152"/>
    <cellStyle name="Input [yellow] 7 2 4 5 3" xfId="50058"/>
    <cellStyle name="Input [yellow] 7 2 4 5 4" xfId="38022"/>
    <cellStyle name="Input [yellow] 7 2 4 6" xfId="21283"/>
    <cellStyle name="Input [yellow] 7 2 4 6 2" xfId="46805"/>
    <cellStyle name="Input [yellow] 7 2 4 6 3" xfId="50711"/>
    <cellStyle name="Input [yellow] 7 2 4 7" xfId="40594"/>
    <cellStyle name="Input [yellow] 7 2 4 8" xfId="40115"/>
    <cellStyle name="Input [yellow] 7 2 5" xfId="14783"/>
    <cellStyle name="Input [yellow] 7 2 5 2" xfId="42881"/>
    <cellStyle name="Input [yellow] 7 2 5 3" xfId="40290"/>
    <cellStyle name="Input [yellow] 7 2 5 4" xfId="32404"/>
    <cellStyle name="Input [yellow] 7 2 6" xfId="13069"/>
    <cellStyle name="Input [yellow] 7 2 6 2" xfId="42271"/>
    <cellStyle name="Input [yellow] 7 2 6 3" xfId="41281"/>
    <cellStyle name="Input [yellow] 7 2 6 4" xfId="30704"/>
    <cellStyle name="Input [yellow] 7 2 7" xfId="19653"/>
    <cellStyle name="Input [yellow] 7 2 7 2" xfId="45175"/>
    <cellStyle name="Input [yellow] 7 2 7 3" xfId="49081"/>
    <cellStyle name="Input [yellow] 7 2 7 4" xfId="37173"/>
    <cellStyle name="Input [yellow] 7 2 8" xfId="12699"/>
    <cellStyle name="Input [yellow] 7 2 8 2" xfId="42155"/>
    <cellStyle name="Input [yellow] 7 2 8 3" xfId="43557"/>
    <cellStyle name="Input [yellow] 7 2 8 4" xfId="30343"/>
    <cellStyle name="Input [yellow] 7 2 9" xfId="19851"/>
    <cellStyle name="Input [yellow] 7 2 9 2" xfId="45373"/>
    <cellStyle name="Input [yellow] 7 2 9 3" xfId="49279"/>
    <cellStyle name="Input [yellow] 7 2 9 4" xfId="37351"/>
    <cellStyle name="Input [yellow] 7 3" xfId="10447"/>
    <cellStyle name="Input [yellow] 7 3 2" xfId="18234"/>
    <cellStyle name="Input [yellow] 7 3 2 2" xfId="43766"/>
    <cellStyle name="Input [yellow] 7 3 2 3" xfId="47675"/>
    <cellStyle name="Input [yellow] 7 3 2 4" xfId="35857"/>
    <cellStyle name="Input [yellow] 7 3 3" xfId="20169"/>
    <cellStyle name="Input [yellow] 7 3 3 2" xfId="45691"/>
    <cellStyle name="Input [yellow] 7 3 3 3" xfId="49597"/>
    <cellStyle name="Input [yellow] 7 3 3 4" xfId="37640"/>
    <cellStyle name="Input [yellow] 7 3 4" xfId="20449"/>
    <cellStyle name="Input [yellow] 7 3 4 2" xfId="45971"/>
    <cellStyle name="Input [yellow] 7 3 4 3" xfId="49877"/>
    <cellStyle name="Input [yellow] 7 3 4 4" xfId="37888"/>
    <cellStyle name="Input [yellow] 7 3 5" xfId="20647"/>
    <cellStyle name="Input [yellow] 7 3 5 2" xfId="46169"/>
    <cellStyle name="Input [yellow] 7 3 5 3" xfId="50075"/>
    <cellStyle name="Input [yellow] 7 3 5 4" xfId="38039"/>
    <cellStyle name="Input [yellow] 7 3 6" xfId="21300"/>
    <cellStyle name="Input [yellow] 7 3 6 2" xfId="46822"/>
    <cellStyle name="Input [yellow] 7 3 6 3" xfId="50728"/>
    <cellStyle name="Input [yellow] 7 3 7" xfId="40625"/>
    <cellStyle name="Input [yellow] 7 3 8" xfId="43374"/>
    <cellStyle name="Input [yellow] 7 4" xfId="7786"/>
    <cellStyle name="Input [yellow] 7 4 2" xfId="15577"/>
    <cellStyle name="Input [yellow] 7 4 2 2" xfId="43239"/>
    <cellStyle name="Input [yellow] 7 4 2 3" xfId="40491"/>
    <cellStyle name="Input [yellow] 7 4 2 4" xfId="33198"/>
    <cellStyle name="Input [yellow] 7 4 3" xfId="19943"/>
    <cellStyle name="Input [yellow] 7 4 3 2" xfId="45465"/>
    <cellStyle name="Input [yellow] 7 4 3 3" xfId="49371"/>
    <cellStyle name="Input [yellow] 7 4 3 4" xfId="37434"/>
    <cellStyle name="Input [yellow] 7 4 4" xfId="19159"/>
    <cellStyle name="Input [yellow] 7 4 4 2" xfId="44681"/>
    <cellStyle name="Input [yellow] 7 4 4 3" xfId="48587"/>
    <cellStyle name="Input [yellow] 7 4 4 4" xfId="36736"/>
    <cellStyle name="Input [yellow] 7 4 5" xfId="11371"/>
    <cellStyle name="Input [yellow] 7 4 5 2" xfId="41387"/>
    <cellStyle name="Input [yellow] 7 4 5 3" xfId="42009"/>
    <cellStyle name="Input [yellow] 7 4 5 4" xfId="29079"/>
    <cellStyle name="Input [yellow] 7 4 6" xfId="20073"/>
    <cellStyle name="Input [yellow] 7 4 6 2" xfId="45595"/>
    <cellStyle name="Input [yellow] 7 4 6 3" xfId="49501"/>
    <cellStyle name="Input [yellow] 7 4 7" xfId="40098"/>
    <cellStyle name="Input [yellow] 7 4 8" xfId="40099"/>
    <cellStyle name="Input [yellow] 8" xfId="6986"/>
    <cellStyle name="Input [yellow] 8 10" xfId="39726"/>
    <cellStyle name="Input [yellow] 8 11" xfId="40381"/>
    <cellStyle name="Input [yellow] 8 2" xfId="10513"/>
    <cellStyle name="Input [yellow] 8 2 2" xfId="18300"/>
    <cellStyle name="Input [yellow] 8 2 2 2" xfId="43832"/>
    <cellStyle name="Input [yellow] 8 2 2 3" xfId="47741"/>
    <cellStyle name="Input [yellow] 8 2 2 4" xfId="35923"/>
    <cellStyle name="Input [yellow] 8 2 3" xfId="19606"/>
    <cellStyle name="Input [yellow] 8 2 3 2" xfId="45128"/>
    <cellStyle name="Input [yellow] 8 2 3 3" xfId="49034"/>
    <cellStyle name="Input [yellow] 8 2 3 4" xfId="37132"/>
    <cellStyle name="Input [yellow] 8 2 4" xfId="19156"/>
    <cellStyle name="Input [yellow] 8 2 4 2" xfId="44678"/>
    <cellStyle name="Input [yellow] 8 2 4 3" xfId="48584"/>
    <cellStyle name="Input [yellow] 8 2 4 4" xfId="36734"/>
    <cellStyle name="Input [yellow] 8 2 5" xfId="20713"/>
    <cellStyle name="Input [yellow] 8 2 5 2" xfId="46235"/>
    <cellStyle name="Input [yellow] 8 2 5 3" xfId="50141"/>
    <cellStyle name="Input [yellow] 8 2 5 4" xfId="38105"/>
    <cellStyle name="Input [yellow] 8 2 6" xfId="21366"/>
    <cellStyle name="Input [yellow] 8 2 6 2" xfId="46888"/>
    <cellStyle name="Input [yellow] 8 2 6 3" xfId="50794"/>
    <cellStyle name="Input [yellow] 8 2 7" xfId="40691"/>
    <cellStyle name="Input [yellow] 8 2 8" xfId="39174"/>
    <cellStyle name="Input [yellow] 8 3" xfId="10808"/>
    <cellStyle name="Input [yellow] 8 3 2" xfId="18595"/>
    <cellStyle name="Input [yellow] 8 3 2 2" xfId="44127"/>
    <cellStyle name="Input [yellow] 8 3 2 3" xfId="48036"/>
    <cellStyle name="Input [yellow] 8 3 2 4" xfId="36218"/>
    <cellStyle name="Input [yellow] 8 3 3" xfId="19264"/>
    <cellStyle name="Input [yellow] 8 3 3 2" xfId="44786"/>
    <cellStyle name="Input [yellow] 8 3 3 3" xfId="48692"/>
    <cellStyle name="Input [yellow] 8 3 3 4" xfId="36828"/>
    <cellStyle name="Input [yellow] 8 3 4" xfId="11650"/>
    <cellStyle name="Input [yellow] 8 3 4 2" xfId="41641"/>
    <cellStyle name="Input [yellow] 8 3 4 3" xfId="39435"/>
    <cellStyle name="Input [yellow] 8 3 4 4" xfId="29335"/>
    <cellStyle name="Input [yellow] 8 3 5" xfId="21008"/>
    <cellStyle name="Input [yellow] 8 3 5 2" xfId="46530"/>
    <cellStyle name="Input [yellow] 8 3 5 3" xfId="50436"/>
    <cellStyle name="Input [yellow] 8 3 5 4" xfId="38400"/>
    <cellStyle name="Input [yellow] 8 3 6" xfId="21661"/>
    <cellStyle name="Input [yellow] 8 3 6 2" xfId="47183"/>
    <cellStyle name="Input [yellow] 8 3 6 3" xfId="51089"/>
    <cellStyle name="Input [yellow] 8 3 7" xfId="40986"/>
    <cellStyle name="Input [yellow] 8 3 8" xfId="43702"/>
    <cellStyle name="Input [yellow] 8 4" xfId="10158"/>
    <cellStyle name="Input [yellow] 8 4 2" xfId="17945"/>
    <cellStyle name="Input [yellow] 8 4 2 2" xfId="43720"/>
    <cellStyle name="Input [yellow] 8 4 2 3" xfId="47643"/>
    <cellStyle name="Input [yellow] 8 4 2 4" xfId="35568"/>
    <cellStyle name="Input [yellow] 8 4 3" xfId="20176"/>
    <cellStyle name="Input [yellow] 8 4 3 2" xfId="45698"/>
    <cellStyle name="Input [yellow] 8 4 3 3" xfId="49604"/>
    <cellStyle name="Input [yellow] 8 4 3 4" xfId="37646"/>
    <cellStyle name="Input [yellow] 8 4 4" xfId="20181"/>
    <cellStyle name="Input [yellow] 8 4 4 2" xfId="45703"/>
    <cellStyle name="Input [yellow] 8 4 4 3" xfId="49609"/>
    <cellStyle name="Input [yellow] 8 4 4 4" xfId="37650"/>
    <cellStyle name="Input [yellow] 8 4 5" xfId="20615"/>
    <cellStyle name="Input [yellow] 8 4 5 2" xfId="46137"/>
    <cellStyle name="Input [yellow] 8 4 5 3" xfId="50043"/>
    <cellStyle name="Input [yellow] 8 4 5 4" xfId="38007"/>
    <cellStyle name="Input [yellow] 8 4 6" xfId="21268"/>
    <cellStyle name="Input [yellow] 8 4 6 2" xfId="46790"/>
    <cellStyle name="Input [yellow] 8 4 6 3" xfId="50696"/>
    <cellStyle name="Input [yellow] 8 4 7" xfId="40579"/>
    <cellStyle name="Input [yellow] 8 4 8" xfId="39690"/>
    <cellStyle name="Input [yellow] 8 5" xfId="14768"/>
    <cellStyle name="Input [yellow] 8 5 2" xfId="42866"/>
    <cellStyle name="Input [yellow] 8 5 3" xfId="39251"/>
    <cellStyle name="Input [yellow] 8 5 4" xfId="32389"/>
    <cellStyle name="Input [yellow] 8 6" xfId="13056"/>
    <cellStyle name="Input [yellow] 8 6 2" xfId="42258"/>
    <cellStyle name="Input [yellow] 8 6 3" xfId="42771"/>
    <cellStyle name="Input [yellow] 8 6 4" xfId="30691"/>
    <cellStyle name="Input [yellow] 8 7" xfId="20038"/>
    <cellStyle name="Input [yellow] 8 7 2" xfId="45560"/>
    <cellStyle name="Input [yellow] 8 7 3" xfId="49466"/>
    <cellStyle name="Input [yellow] 8 7 4" xfId="37522"/>
    <cellStyle name="Input [yellow] 8 8" xfId="11787"/>
    <cellStyle name="Input [yellow] 8 8 2" xfId="41717"/>
    <cellStyle name="Input [yellow] 8 8 3" xfId="39126"/>
    <cellStyle name="Input [yellow] 8 8 4" xfId="29459"/>
    <cellStyle name="Input [yellow] 8 9" xfId="20611"/>
    <cellStyle name="Input [yellow] 8 9 2" xfId="46133"/>
    <cellStyle name="Input [yellow] 8 9 3" xfId="50039"/>
    <cellStyle name="Input [yellow] 8 9 4" xfId="38006"/>
    <cellStyle name="Input [yellow] 9" xfId="10432"/>
    <cellStyle name="Input [yellow] 9 2" xfId="18219"/>
    <cellStyle name="Input [yellow] 9 2 2" xfId="43751"/>
    <cellStyle name="Input [yellow] 9 2 3" xfId="47660"/>
    <cellStyle name="Input [yellow] 9 2 4" xfId="35842"/>
    <cellStyle name="Input [yellow] 9 3" xfId="20034"/>
    <cellStyle name="Input [yellow] 9 3 2" xfId="45556"/>
    <cellStyle name="Input [yellow] 9 3 3" xfId="49462"/>
    <cellStyle name="Input [yellow] 9 3 4" xfId="37518"/>
    <cellStyle name="Input [yellow] 9 4" xfId="19354"/>
    <cellStyle name="Input [yellow] 9 4 2" xfId="44876"/>
    <cellStyle name="Input [yellow] 9 4 3" xfId="48782"/>
    <cellStyle name="Input [yellow] 9 4 4" xfId="36908"/>
    <cellStyle name="Input [yellow] 9 5" xfId="20632"/>
    <cellStyle name="Input [yellow] 9 5 2" xfId="46154"/>
    <cellStyle name="Input [yellow] 9 5 3" xfId="50060"/>
    <cellStyle name="Input [yellow] 9 5 4" xfId="38024"/>
    <cellStyle name="Input [yellow] 9 6" xfId="21285"/>
    <cellStyle name="Input [yellow] 9 6 2" xfId="46807"/>
    <cellStyle name="Input [yellow] 9 6 3" xfId="50713"/>
    <cellStyle name="Input [yellow] 9 7" xfId="40610"/>
    <cellStyle name="Input [yellow] 9 8" xfId="41419"/>
    <cellStyle name="Input [yellow]_BallGrid" xfId="1795"/>
    <cellStyle name="Input 10" xfId="1796"/>
    <cellStyle name="Input 10 2" xfId="1797"/>
    <cellStyle name="Input 10 2 2" xfId="1798"/>
    <cellStyle name="Input 10 2 2 2" xfId="7004"/>
    <cellStyle name="Input 10 2 2 2 10" xfId="39596"/>
    <cellStyle name="Input 10 2 2 2 2" xfId="10531"/>
    <cellStyle name="Input 10 2 2 2 2 2" xfId="18318"/>
    <cellStyle name="Input 10 2 2 2 2 2 2" xfId="43850"/>
    <cellStyle name="Input 10 2 2 2 2 2 3" xfId="47759"/>
    <cellStyle name="Input 10 2 2 2 2 2 4" xfId="35941"/>
    <cellStyle name="Input 10 2 2 2 2 3" xfId="11484"/>
    <cellStyle name="Input 10 2 2 2 2 3 2" xfId="41475"/>
    <cellStyle name="Input 10 2 2 2 2 3 3" xfId="40187"/>
    <cellStyle name="Input 10 2 2 2 2 3 4" xfId="29185"/>
    <cellStyle name="Input 10 2 2 2 2 4" xfId="19523"/>
    <cellStyle name="Input 10 2 2 2 2 4 2" xfId="45045"/>
    <cellStyle name="Input 10 2 2 2 2 4 3" xfId="48951"/>
    <cellStyle name="Input 10 2 2 2 2 4 4" xfId="37056"/>
    <cellStyle name="Input 10 2 2 2 2 5" xfId="20731"/>
    <cellStyle name="Input 10 2 2 2 2 5 2" xfId="46253"/>
    <cellStyle name="Input 10 2 2 2 2 5 3" xfId="50159"/>
    <cellStyle name="Input 10 2 2 2 2 5 4" xfId="38123"/>
    <cellStyle name="Input 10 2 2 2 2 6" xfId="21384"/>
    <cellStyle name="Input 10 2 2 2 2 6 2" xfId="46906"/>
    <cellStyle name="Input 10 2 2 2 2 6 3" xfId="50812"/>
    <cellStyle name="Input 10 2 2 2 2 7" xfId="40709"/>
    <cellStyle name="Input 10 2 2 2 2 8" xfId="40231"/>
    <cellStyle name="Input 10 2 2 2 3" xfId="10826"/>
    <cellStyle name="Input 10 2 2 2 3 2" xfId="18613"/>
    <cellStyle name="Input 10 2 2 2 3 2 2" xfId="44145"/>
    <cellStyle name="Input 10 2 2 2 3 2 3" xfId="48054"/>
    <cellStyle name="Input 10 2 2 2 3 2 4" xfId="36236"/>
    <cellStyle name="Input 10 2 2 2 3 3" xfId="19874"/>
    <cellStyle name="Input 10 2 2 2 3 3 2" xfId="45396"/>
    <cellStyle name="Input 10 2 2 2 3 3 3" xfId="49302"/>
    <cellStyle name="Input 10 2 2 2 3 3 4" xfId="37374"/>
    <cellStyle name="Input 10 2 2 2 3 4" xfId="12922"/>
    <cellStyle name="Input 10 2 2 2 3 4 2" xfId="42229"/>
    <cellStyle name="Input 10 2 2 2 3 4 3" xfId="39278"/>
    <cellStyle name="Input 10 2 2 2 3 4 4" xfId="30558"/>
    <cellStyle name="Input 10 2 2 2 3 5" xfId="21026"/>
    <cellStyle name="Input 10 2 2 2 3 5 2" xfId="46548"/>
    <cellStyle name="Input 10 2 2 2 3 5 3" xfId="50454"/>
    <cellStyle name="Input 10 2 2 2 3 5 4" xfId="38418"/>
    <cellStyle name="Input 10 2 2 2 3 6" xfId="21679"/>
    <cellStyle name="Input 10 2 2 2 3 6 2" xfId="47201"/>
    <cellStyle name="Input 10 2 2 2 3 6 3" xfId="51107"/>
    <cellStyle name="Input 10 2 2 2 3 7" xfId="41004"/>
    <cellStyle name="Input 10 2 2 2 3 8" xfId="40213"/>
    <cellStyle name="Input 10 2 2 2 4" xfId="14786"/>
    <cellStyle name="Input 10 2 2 2 4 2" xfId="42884"/>
    <cellStyle name="Input 10 2 2 2 4 3" xfId="43276"/>
    <cellStyle name="Input 10 2 2 2 4 4" xfId="32407"/>
    <cellStyle name="Input 10 2 2 2 5" xfId="12456"/>
    <cellStyle name="Input 10 2 2 2 5 2" xfId="41958"/>
    <cellStyle name="Input 10 2 2 2 5 3" xfId="43454"/>
    <cellStyle name="Input 10 2 2 2 5 4" xfId="30113"/>
    <cellStyle name="Input 10 2 2 2 6" xfId="12843"/>
    <cellStyle name="Input 10 2 2 2 6 2" xfId="42207"/>
    <cellStyle name="Input 10 2 2 2 6 3" xfId="40157"/>
    <cellStyle name="Input 10 2 2 2 6 4" xfId="30483"/>
    <cellStyle name="Input 10 2 2 2 7" xfId="20226"/>
    <cellStyle name="Input 10 2 2 2 7 2" xfId="45748"/>
    <cellStyle name="Input 10 2 2 2 7 3" xfId="49654"/>
    <cellStyle name="Input 10 2 2 2 7 4" xfId="37685"/>
    <cellStyle name="Input 10 2 2 2 8" xfId="11574"/>
    <cellStyle name="Input 10 2 2 2 8 2" xfId="41565"/>
    <cellStyle name="Input 10 2 2 2 8 3" xfId="43466"/>
    <cellStyle name="Input 10 2 2 2 9" xfId="39744"/>
    <cellStyle name="Input 10 2 2 3" xfId="52959"/>
    <cellStyle name="Input 10 2 3" xfId="7003"/>
    <cellStyle name="Input 10 2 3 10" xfId="40486"/>
    <cellStyle name="Input 10 2 3 2" xfId="10530"/>
    <cellStyle name="Input 10 2 3 2 2" xfId="18317"/>
    <cellStyle name="Input 10 2 3 2 2 2" xfId="43849"/>
    <cellStyle name="Input 10 2 3 2 2 3" xfId="47758"/>
    <cellStyle name="Input 10 2 3 2 2 4" xfId="35940"/>
    <cellStyle name="Input 10 2 3 2 3" xfId="19745"/>
    <cellStyle name="Input 10 2 3 2 3 2" xfId="45267"/>
    <cellStyle name="Input 10 2 3 2 3 3" xfId="49173"/>
    <cellStyle name="Input 10 2 3 2 3 4" xfId="37258"/>
    <cellStyle name="Input 10 2 3 2 4" xfId="19243"/>
    <cellStyle name="Input 10 2 3 2 4 2" xfId="44765"/>
    <cellStyle name="Input 10 2 3 2 4 3" xfId="48671"/>
    <cellStyle name="Input 10 2 3 2 4 4" xfId="36807"/>
    <cellStyle name="Input 10 2 3 2 5" xfId="20730"/>
    <cellStyle name="Input 10 2 3 2 5 2" xfId="46252"/>
    <cellStyle name="Input 10 2 3 2 5 3" xfId="50158"/>
    <cellStyle name="Input 10 2 3 2 5 4" xfId="38122"/>
    <cellStyle name="Input 10 2 3 2 6" xfId="21383"/>
    <cellStyle name="Input 10 2 3 2 6 2" xfId="46905"/>
    <cellStyle name="Input 10 2 3 2 6 3" xfId="50811"/>
    <cellStyle name="Input 10 2 3 2 7" xfId="40708"/>
    <cellStyle name="Input 10 2 3 2 8" xfId="43369"/>
    <cellStyle name="Input 10 2 3 3" xfId="10825"/>
    <cellStyle name="Input 10 2 3 3 2" xfId="18612"/>
    <cellStyle name="Input 10 2 3 3 2 2" xfId="44144"/>
    <cellStyle name="Input 10 2 3 3 2 3" xfId="48053"/>
    <cellStyle name="Input 10 2 3 3 2 4" xfId="36235"/>
    <cellStyle name="Input 10 2 3 3 3" xfId="19265"/>
    <cellStyle name="Input 10 2 3 3 3 2" xfId="44787"/>
    <cellStyle name="Input 10 2 3 3 3 3" xfId="48693"/>
    <cellStyle name="Input 10 2 3 3 3 4" xfId="36829"/>
    <cellStyle name="Input 10 2 3 3 4" xfId="19377"/>
    <cellStyle name="Input 10 2 3 3 4 2" xfId="44899"/>
    <cellStyle name="Input 10 2 3 3 4 3" xfId="48805"/>
    <cellStyle name="Input 10 2 3 3 4 4" xfId="36928"/>
    <cellStyle name="Input 10 2 3 3 5" xfId="21025"/>
    <cellStyle name="Input 10 2 3 3 5 2" xfId="46547"/>
    <cellStyle name="Input 10 2 3 3 5 3" xfId="50453"/>
    <cellStyle name="Input 10 2 3 3 5 4" xfId="38417"/>
    <cellStyle name="Input 10 2 3 3 6" xfId="21678"/>
    <cellStyle name="Input 10 2 3 3 6 2" xfId="47200"/>
    <cellStyle name="Input 10 2 3 3 6 3" xfId="51106"/>
    <cellStyle name="Input 10 2 3 3 7" xfId="41003"/>
    <cellStyle name="Input 10 2 3 3 8" xfId="43351"/>
    <cellStyle name="Input 10 2 3 4" xfId="14785"/>
    <cellStyle name="Input 10 2 3 4 2" xfId="42883"/>
    <cellStyle name="Input 10 2 3 4 3" xfId="41922"/>
    <cellStyle name="Input 10 2 3 4 4" xfId="32406"/>
    <cellStyle name="Input 10 2 3 5" xfId="13071"/>
    <cellStyle name="Input 10 2 3 5 2" xfId="42273"/>
    <cellStyle name="Input 10 2 3 5 3" xfId="40028"/>
    <cellStyle name="Input 10 2 3 5 4" xfId="30706"/>
    <cellStyle name="Input 10 2 3 6" xfId="12850"/>
    <cellStyle name="Input 10 2 3 6 2" xfId="42214"/>
    <cellStyle name="Input 10 2 3 6 3" xfId="43660"/>
    <cellStyle name="Input 10 2 3 6 4" xfId="30488"/>
    <cellStyle name="Input 10 2 3 7" xfId="20479"/>
    <cellStyle name="Input 10 2 3 7 2" xfId="46001"/>
    <cellStyle name="Input 10 2 3 7 3" xfId="49907"/>
    <cellStyle name="Input 10 2 3 7 4" xfId="37910"/>
    <cellStyle name="Input 10 2 3 8" xfId="11621"/>
    <cellStyle name="Input 10 2 3 8 2" xfId="41612"/>
    <cellStyle name="Input 10 2 3 8 3" xfId="40180"/>
    <cellStyle name="Input 10 2 3 9" xfId="39743"/>
    <cellStyle name="Input 10 2 4" xfId="52958"/>
    <cellStyle name="Input 10 2_Sheet1" xfId="1799"/>
    <cellStyle name="Input 10 3" xfId="1800"/>
    <cellStyle name="Input 10 3 2" xfId="7005"/>
    <cellStyle name="Input 10 3 2 10" xfId="42604"/>
    <cellStyle name="Input 10 3 2 2" xfId="10532"/>
    <cellStyle name="Input 10 3 2 2 2" xfId="18319"/>
    <cellStyle name="Input 10 3 2 2 2 2" xfId="43851"/>
    <cellStyle name="Input 10 3 2 2 2 3" xfId="47760"/>
    <cellStyle name="Input 10 3 2 2 2 4" xfId="35942"/>
    <cellStyle name="Input 10 3 2 2 3" xfId="19747"/>
    <cellStyle name="Input 10 3 2 2 3 2" xfId="45269"/>
    <cellStyle name="Input 10 3 2 2 3 3" xfId="49175"/>
    <cellStyle name="Input 10 3 2 2 3 4" xfId="37260"/>
    <cellStyle name="Input 10 3 2 2 4" xfId="19241"/>
    <cellStyle name="Input 10 3 2 2 4 2" xfId="44763"/>
    <cellStyle name="Input 10 3 2 2 4 3" xfId="48669"/>
    <cellStyle name="Input 10 3 2 2 4 4" xfId="36805"/>
    <cellStyle name="Input 10 3 2 2 5" xfId="20732"/>
    <cellStyle name="Input 10 3 2 2 5 2" xfId="46254"/>
    <cellStyle name="Input 10 3 2 2 5 3" xfId="50160"/>
    <cellStyle name="Input 10 3 2 2 5 4" xfId="38124"/>
    <cellStyle name="Input 10 3 2 2 6" xfId="21385"/>
    <cellStyle name="Input 10 3 2 2 6 2" xfId="46907"/>
    <cellStyle name="Input 10 3 2 2 6 3" xfId="50813"/>
    <cellStyle name="Input 10 3 2 2 7" xfId="40710"/>
    <cellStyle name="Input 10 3 2 2 8" xfId="39371"/>
    <cellStyle name="Input 10 3 2 3" xfId="10827"/>
    <cellStyle name="Input 10 3 2 3 2" xfId="18614"/>
    <cellStyle name="Input 10 3 2 3 2 2" xfId="44146"/>
    <cellStyle name="Input 10 3 2 3 2 3" xfId="48055"/>
    <cellStyle name="Input 10 3 2 3 2 4" xfId="36237"/>
    <cellStyle name="Input 10 3 2 3 3" xfId="19097"/>
    <cellStyle name="Input 10 3 2 3 3 2" xfId="44619"/>
    <cellStyle name="Input 10 3 2 3 3 3" xfId="48525"/>
    <cellStyle name="Input 10 3 2 3 3 4" xfId="36678"/>
    <cellStyle name="Input 10 3 2 3 4" xfId="18903"/>
    <cellStyle name="Input 10 3 2 3 4 2" xfId="44425"/>
    <cellStyle name="Input 10 3 2 3 4 3" xfId="48331"/>
    <cellStyle name="Input 10 3 2 3 4 4" xfId="36519"/>
    <cellStyle name="Input 10 3 2 3 5" xfId="21027"/>
    <cellStyle name="Input 10 3 2 3 5 2" xfId="46549"/>
    <cellStyle name="Input 10 3 2 3 5 3" xfId="50455"/>
    <cellStyle name="Input 10 3 2 3 5 4" xfId="38419"/>
    <cellStyle name="Input 10 3 2 3 6" xfId="21680"/>
    <cellStyle name="Input 10 3 2 3 6 2" xfId="47202"/>
    <cellStyle name="Input 10 3 2 3 6 3" xfId="51108"/>
    <cellStyle name="Input 10 3 2 3 7" xfId="41005"/>
    <cellStyle name="Input 10 3 2 3 8" xfId="39353"/>
    <cellStyle name="Input 10 3 2 4" xfId="14787"/>
    <cellStyle name="Input 10 3 2 4 2" xfId="42885"/>
    <cellStyle name="Input 10 3 2 4 3" xfId="40135"/>
    <cellStyle name="Input 10 3 2 4 4" xfId="32408"/>
    <cellStyle name="Input 10 3 2 5" xfId="12457"/>
    <cellStyle name="Input 10 3 2 5 2" xfId="41959"/>
    <cellStyle name="Input 10 3 2 5 3" xfId="40314"/>
    <cellStyle name="Input 10 3 2 5 4" xfId="30114"/>
    <cellStyle name="Input 10 3 2 6" xfId="13908"/>
    <cellStyle name="Input 10 3 2 6 2" xfId="42624"/>
    <cellStyle name="Input 10 3 2 6 3" xfId="43160"/>
    <cellStyle name="Input 10 3 2 6 4" xfId="31530"/>
    <cellStyle name="Input 10 3 2 7" xfId="11460"/>
    <cellStyle name="Input 10 3 2 7 2" xfId="41451"/>
    <cellStyle name="Input 10 3 2 7 3" xfId="40188"/>
    <cellStyle name="Input 10 3 2 7 4" xfId="29163"/>
    <cellStyle name="Input 10 3 2 8" xfId="11658"/>
    <cellStyle name="Input 10 3 2 8 2" xfId="41649"/>
    <cellStyle name="Input 10 3 2 8 3" xfId="43181"/>
    <cellStyle name="Input 10 3 2 9" xfId="39745"/>
    <cellStyle name="Input 10 3 3" xfId="52960"/>
    <cellStyle name="Input 10 4" xfId="7002"/>
    <cellStyle name="Input 10 4 10" xfId="43628"/>
    <cellStyle name="Input 10 4 11" xfId="52961"/>
    <cellStyle name="Input 10 4 2" xfId="10529"/>
    <cellStyle name="Input 10 4 2 2" xfId="18316"/>
    <cellStyle name="Input 10 4 2 2 2" xfId="43848"/>
    <cellStyle name="Input 10 4 2 2 3" xfId="47757"/>
    <cellStyle name="Input 10 4 2 2 4" xfId="35939"/>
    <cellStyle name="Input 10 4 2 3" xfId="19123"/>
    <cellStyle name="Input 10 4 2 3 2" xfId="44645"/>
    <cellStyle name="Input 10 4 2 3 3" xfId="48551"/>
    <cellStyle name="Input 10 4 2 3 4" xfId="36704"/>
    <cellStyle name="Input 10 4 2 4" xfId="19019"/>
    <cellStyle name="Input 10 4 2 4 2" xfId="44541"/>
    <cellStyle name="Input 10 4 2 4 3" xfId="48447"/>
    <cellStyle name="Input 10 4 2 4 4" xfId="36611"/>
    <cellStyle name="Input 10 4 2 5" xfId="20729"/>
    <cellStyle name="Input 10 4 2 5 2" xfId="46251"/>
    <cellStyle name="Input 10 4 2 5 3" xfId="50157"/>
    <cellStyle name="Input 10 4 2 5 4" xfId="38121"/>
    <cellStyle name="Input 10 4 2 6" xfId="21382"/>
    <cellStyle name="Input 10 4 2 6 2" xfId="46904"/>
    <cellStyle name="Input 10 4 2 6 3" xfId="50810"/>
    <cellStyle name="Input 10 4 2 7" xfId="40707"/>
    <cellStyle name="Input 10 4 2 8" xfId="42050"/>
    <cellStyle name="Input 10 4 3" xfId="10824"/>
    <cellStyle name="Input 10 4 3 2" xfId="18611"/>
    <cellStyle name="Input 10 4 3 2 2" xfId="44143"/>
    <cellStyle name="Input 10 4 3 2 3" xfId="48052"/>
    <cellStyle name="Input 10 4 3 2 4" xfId="36234"/>
    <cellStyle name="Input 10 4 3 3" xfId="19999"/>
    <cellStyle name="Input 10 4 3 3 2" xfId="45521"/>
    <cellStyle name="Input 10 4 3 3 3" xfId="49427"/>
    <cellStyle name="Input 10 4 3 3 4" xfId="37483"/>
    <cellStyle name="Input 10 4 3 4" xfId="13293"/>
    <cellStyle name="Input 10 4 3 4 2" xfId="42444"/>
    <cellStyle name="Input 10 4 3 4 3" xfId="40509"/>
    <cellStyle name="Input 10 4 3 4 4" xfId="30923"/>
    <cellStyle name="Input 10 4 3 5" xfId="21024"/>
    <cellStyle name="Input 10 4 3 5 2" xfId="46546"/>
    <cellStyle name="Input 10 4 3 5 3" xfId="50452"/>
    <cellStyle name="Input 10 4 3 5 4" xfId="38416"/>
    <cellStyle name="Input 10 4 3 6" xfId="21677"/>
    <cellStyle name="Input 10 4 3 6 2" xfId="47199"/>
    <cellStyle name="Input 10 4 3 6 3" xfId="51105"/>
    <cellStyle name="Input 10 4 3 7" xfId="41002"/>
    <cellStyle name="Input 10 4 3 8" xfId="42032"/>
    <cellStyle name="Input 10 4 4" xfId="14784"/>
    <cellStyle name="Input 10 4 4 2" xfId="42882"/>
    <cellStyle name="Input 10 4 4 3" xfId="39407"/>
    <cellStyle name="Input 10 4 4 4" xfId="32405"/>
    <cellStyle name="Input 10 4 5" xfId="13070"/>
    <cellStyle name="Input 10 4 5 2" xfId="42272"/>
    <cellStyle name="Input 10 4 5 3" xfId="43169"/>
    <cellStyle name="Input 10 4 5 4" xfId="30705"/>
    <cellStyle name="Input 10 4 6" xfId="19452"/>
    <cellStyle name="Input 10 4 6 2" xfId="44974"/>
    <cellStyle name="Input 10 4 6 3" xfId="48880"/>
    <cellStyle name="Input 10 4 6 4" xfId="36996"/>
    <cellStyle name="Input 10 4 7" xfId="20096"/>
    <cellStyle name="Input 10 4 7 2" xfId="45618"/>
    <cellStyle name="Input 10 4 7 3" xfId="49524"/>
    <cellStyle name="Input 10 4 7 4" xfId="37570"/>
    <cellStyle name="Input 10 4 8" xfId="19689"/>
    <cellStyle name="Input 10 4 8 2" xfId="45211"/>
    <cellStyle name="Input 10 4 8 3" xfId="49117"/>
    <cellStyle name="Input 10 4 9" xfId="39742"/>
    <cellStyle name="Input 10 5" xfId="22414"/>
    <cellStyle name="Input 10 6" xfId="22908"/>
    <cellStyle name="Input 10 7" xfId="52957"/>
    <cellStyle name="Input 10_Sheet1" xfId="1801"/>
    <cellStyle name="Input 11" xfId="1802"/>
    <cellStyle name="Input 11 2" xfId="1803"/>
    <cellStyle name="Input 11 2 2" xfId="1804"/>
    <cellStyle name="Input 11 2 2 2" xfId="7008"/>
    <cellStyle name="Input 11 2 2 2 10" xfId="39492"/>
    <cellStyle name="Input 11 2 2 2 2" xfId="10535"/>
    <cellStyle name="Input 11 2 2 2 2 2" xfId="18322"/>
    <cellStyle name="Input 11 2 2 2 2 2 2" xfId="43854"/>
    <cellStyle name="Input 11 2 2 2 2 2 3" xfId="47763"/>
    <cellStyle name="Input 11 2 2 2 2 2 4" xfId="35945"/>
    <cellStyle name="Input 11 2 2 2 2 3" xfId="20027"/>
    <cellStyle name="Input 11 2 2 2 2 3 2" xfId="45549"/>
    <cellStyle name="Input 11 2 2 2 2 3 3" xfId="49455"/>
    <cellStyle name="Input 11 2 2 2 2 3 4" xfId="37511"/>
    <cellStyle name="Input 11 2 2 2 2 4" xfId="12607"/>
    <cellStyle name="Input 11 2 2 2 2 4 2" xfId="42067"/>
    <cellStyle name="Input 11 2 2 2 2 4 3" xfId="42538"/>
    <cellStyle name="Input 11 2 2 2 2 4 4" xfId="30259"/>
    <cellStyle name="Input 11 2 2 2 2 5" xfId="20735"/>
    <cellStyle name="Input 11 2 2 2 2 5 2" xfId="46257"/>
    <cellStyle name="Input 11 2 2 2 2 5 3" xfId="50163"/>
    <cellStyle name="Input 11 2 2 2 2 5 4" xfId="38127"/>
    <cellStyle name="Input 11 2 2 2 2 6" xfId="21388"/>
    <cellStyle name="Input 11 2 2 2 2 6 2" xfId="46910"/>
    <cellStyle name="Input 11 2 2 2 2 6 3" xfId="50816"/>
    <cellStyle name="Input 11 2 2 2 2 7" xfId="40713"/>
    <cellStyle name="Input 11 2 2 2 2 8" xfId="43216"/>
    <cellStyle name="Input 11 2 2 2 3" xfId="10830"/>
    <cellStyle name="Input 11 2 2 2 3 2" xfId="18617"/>
    <cellStyle name="Input 11 2 2 2 3 2 2" xfId="44149"/>
    <cellStyle name="Input 11 2 2 2 3 2 3" xfId="48058"/>
    <cellStyle name="Input 11 2 2 2 3 2 4" xfId="36240"/>
    <cellStyle name="Input 11 2 2 2 3 3" xfId="12159"/>
    <cellStyle name="Input 11 2 2 2 3 3 2" xfId="41884"/>
    <cellStyle name="Input 11 2 2 2 3 3 3" xfId="40317"/>
    <cellStyle name="Input 11 2 2 2 3 3 4" xfId="29817"/>
    <cellStyle name="Input 11 2 2 2 3 4" xfId="20351"/>
    <cellStyle name="Input 11 2 2 2 3 4 2" xfId="45873"/>
    <cellStyle name="Input 11 2 2 2 3 4 3" xfId="49779"/>
    <cellStyle name="Input 11 2 2 2 3 4 4" xfId="37793"/>
    <cellStyle name="Input 11 2 2 2 3 5" xfId="21030"/>
    <cellStyle name="Input 11 2 2 2 3 5 2" xfId="46552"/>
    <cellStyle name="Input 11 2 2 2 3 5 3" xfId="50458"/>
    <cellStyle name="Input 11 2 2 2 3 5 4" xfId="38422"/>
    <cellStyle name="Input 11 2 2 2 3 6" xfId="21683"/>
    <cellStyle name="Input 11 2 2 2 3 6 2" xfId="47205"/>
    <cellStyle name="Input 11 2 2 2 3 6 3" xfId="51111"/>
    <cellStyle name="Input 11 2 2 2 3 7" xfId="41008"/>
    <cellStyle name="Input 11 2 2 2 3 8" xfId="40212"/>
    <cellStyle name="Input 11 2 2 2 4" xfId="14790"/>
    <cellStyle name="Input 11 2 2 2 4 2" xfId="42888"/>
    <cellStyle name="Input 11 2 2 2 4 3" xfId="41264"/>
    <cellStyle name="Input 11 2 2 2 4 4" xfId="32411"/>
    <cellStyle name="Input 11 2 2 2 5" xfId="13073"/>
    <cellStyle name="Input 11 2 2 2 5 2" xfId="42275"/>
    <cellStyle name="Input 11 2 2 2 5 3" xfId="43658"/>
    <cellStyle name="Input 11 2 2 2 5 4" xfId="30708"/>
    <cellStyle name="Input 11 2 2 2 6" xfId="12030"/>
    <cellStyle name="Input 11 2 2 2 6 2" xfId="41766"/>
    <cellStyle name="Input 11 2 2 2 6 3" xfId="47561"/>
    <cellStyle name="Input 11 2 2 2 6 4" xfId="29695"/>
    <cellStyle name="Input 11 2 2 2 7" xfId="20517"/>
    <cellStyle name="Input 11 2 2 2 7 2" xfId="46039"/>
    <cellStyle name="Input 11 2 2 2 7 3" xfId="49945"/>
    <cellStyle name="Input 11 2 2 2 7 4" xfId="37932"/>
    <cellStyle name="Input 11 2 2 2 8" xfId="11542"/>
    <cellStyle name="Input 11 2 2 2 8 2" xfId="41533"/>
    <cellStyle name="Input 11 2 2 2 8 3" xfId="41996"/>
    <cellStyle name="Input 11 2 2 2 9" xfId="39748"/>
    <cellStyle name="Input 11 2 2 3" xfId="52964"/>
    <cellStyle name="Input 11 2 3" xfId="7007"/>
    <cellStyle name="Input 11 2 3 10" xfId="40380"/>
    <cellStyle name="Input 11 2 3 11" xfId="52965"/>
    <cellStyle name="Input 11 2 3 2" xfId="10534"/>
    <cellStyle name="Input 11 2 3 2 2" xfId="18321"/>
    <cellStyle name="Input 11 2 3 2 2 2" xfId="43853"/>
    <cellStyle name="Input 11 2 3 2 2 3" xfId="47762"/>
    <cellStyle name="Input 11 2 3 2 2 4" xfId="35944"/>
    <cellStyle name="Input 11 2 3 2 3" xfId="19420"/>
    <cellStyle name="Input 11 2 3 2 3 2" xfId="44942"/>
    <cellStyle name="Input 11 2 3 2 3 3" xfId="48848"/>
    <cellStyle name="Input 11 2 3 2 3 4" xfId="36971"/>
    <cellStyle name="Input 11 2 3 2 4" xfId="11554"/>
    <cellStyle name="Input 11 2 3 2 4 2" xfId="41545"/>
    <cellStyle name="Input 11 2 3 2 4 3" xfId="43575"/>
    <cellStyle name="Input 11 2 3 2 4 4" xfId="29251"/>
    <cellStyle name="Input 11 2 3 2 5" xfId="20734"/>
    <cellStyle name="Input 11 2 3 2 5 2" xfId="46256"/>
    <cellStyle name="Input 11 2 3 2 5 3" xfId="50162"/>
    <cellStyle name="Input 11 2 3 2 5 4" xfId="38126"/>
    <cellStyle name="Input 11 2 3 2 6" xfId="21387"/>
    <cellStyle name="Input 11 2 3 2 6 2" xfId="46909"/>
    <cellStyle name="Input 11 2 3 2 6 3" xfId="50815"/>
    <cellStyle name="Input 11 2 3 2 7" xfId="40712"/>
    <cellStyle name="Input 11 2 3 2 8" xfId="41413"/>
    <cellStyle name="Input 11 2 3 3" xfId="10829"/>
    <cellStyle name="Input 11 2 3 3 2" xfId="18616"/>
    <cellStyle name="Input 11 2 3 3 2 2" xfId="44148"/>
    <cellStyle name="Input 11 2 3 3 2 3" xfId="48057"/>
    <cellStyle name="Input 11 2 3 3 2 4" xfId="36239"/>
    <cellStyle name="Input 11 2 3 3 3" xfId="11507"/>
    <cellStyle name="Input 11 2 3 3 3 2" xfId="41498"/>
    <cellStyle name="Input 11 2 3 3 3 3" xfId="41367"/>
    <cellStyle name="Input 11 2 3 3 3 4" xfId="29208"/>
    <cellStyle name="Input 11 2 3 3 4" xfId="18890"/>
    <cellStyle name="Input 11 2 3 3 4 2" xfId="44412"/>
    <cellStyle name="Input 11 2 3 3 4 3" xfId="48318"/>
    <cellStyle name="Input 11 2 3 3 4 4" xfId="36509"/>
    <cellStyle name="Input 11 2 3 3 5" xfId="21029"/>
    <cellStyle name="Input 11 2 3 3 5 2" xfId="46551"/>
    <cellStyle name="Input 11 2 3 3 5 3" xfId="50457"/>
    <cellStyle name="Input 11 2 3 3 5 4" xfId="38421"/>
    <cellStyle name="Input 11 2 3 3 6" xfId="21682"/>
    <cellStyle name="Input 11 2 3 3 6 2" xfId="47204"/>
    <cellStyle name="Input 11 2 3 3 6 3" xfId="51110"/>
    <cellStyle name="Input 11 2 3 3 7" xfId="41007"/>
    <cellStyle name="Input 11 2 3 3 8" xfId="43350"/>
    <cellStyle name="Input 11 2 3 4" xfId="14789"/>
    <cellStyle name="Input 11 2 3 4 2" xfId="42887"/>
    <cellStyle name="Input 11 2 3 4 3" xfId="39036"/>
    <cellStyle name="Input 11 2 3 4 4" xfId="32410"/>
    <cellStyle name="Input 11 2 3 5" xfId="13072"/>
    <cellStyle name="Input 11 2 3 5 2" xfId="42274"/>
    <cellStyle name="Input 11 2 3 5 3" xfId="42770"/>
    <cellStyle name="Input 11 2 3 5 4" xfId="30707"/>
    <cellStyle name="Input 11 2 3 6" xfId="19446"/>
    <cellStyle name="Input 11 2 3 6 2" xfId="44968"/>
    <cellStyle name="Input 11 2 3 6 3" xfId="48874"/>
    <cellStyle name="Input 11 2 3 6 4" xfId="36991"/>
    <cellStyle name="Input 11 2 3 7" xfId="11465"/>
    <cellStyle name="Input 11 2 3 7 2" xfId="41456"/>
    <cellStyle name="Input 11 2 3 7 3" xfId="39330"/>
    <cellStyle name="Input 11 2 3 7 4" xfId="29167"/>
    <cellStyle name="Input 11 2 3 8" xfId="19445"/>
    <cellStyle name="Input 11 2 3 8 2" xfId="44967"/>
    <cellStyle name="Input 11 2 3 8 3" xfId="48873"/>
    <cellStyle name="Input 11 2 3 9" xfId="39747"/>
    <cellStyle name="Input 11 2 4" xfId="22416"/>
    <cellStyle name="Input 11 2 5" xfId="52963"/>
    <cellStyle name="Input 11 2_Sheet1" xfId="1805"/>
    <cellStyle name="Input 11 3" xfId="1806"/>
    <cellStyle name="Input 11 3 2" xfId="7009"/>
    <cellStyle name="Input 11 3 2 10" xfId="42173"/>
    <cellStyle name="Input 11 3 2 2" xfId="10536"/>
    <cellStyle name="Input 11 3 2 2 2" xfId="18323"/>
    <cellStyle name="Input 11 3 2 2 2 2" xfId="43855"/>
    <cellStyle name="Input 11 3 2 2 2 3" xfId="47764"/>
    <cellStyle name="Input 11 3 2 2 2 4" xfId="35946"/>
    <cellStyle name="Input 11 3 2 2 3" xfId="19293"/>
    <cellStyle name="Input 11 3 2 2 3 2" xfId="44815"/>
    <cellStyle name="Input 11 3 2 2 3 3" xfId="48721"/>
    <cellStyle name="Input 11 3 2 2 3 4" xfId="36857"/>
    <cellStyle name="Input 11 3 2 2 4" xfId="19551"/>
    <cellStyle name="Input 11 3 2 2 4 2" xfId="45073"/>
    <cellStyle name="Input 11 3 2 2 4 3" xfId="48979"/>
    <cellStyle name="Input 11 3 2 2 4 4" xfId="37078"/>
    <cellStyle name="Input 11 3 2 2 5" xfId="20736"/>
    <cellStyle name="Input 11 3 2 2 5 2" xfId="46258"/>
    <cellStyle name="Input 11 3 2 2 5 3" xfId="50164"/>
    <cellStyle name="Input 11 3 2 2 5 4" xfId="38128"/>
    <cellStyle name="Input 11 3 2 2 6" xfId="21389"/>
    <cellStyle name="Input 11 3 2 2 6 2" xfId="46911"/>
    <cellStyle name="Input 11 3 2 2 6 3" xfId="50817"/>
    <cellStyle name="Input 11 3 2 2 7" xfId="40714"/>
    <cellStyle name="Input 11 3 2 2 8" xfId="40075"/>
    <cellStyle name="Input 11 3 2 3" xfId="10831"/>
    <cellStyle name="Input 11 3 2 3 2" xfId="18618"/>
    <cellStyle name="Input 11 3 2 3 2 2" xfId="44150"/>
    <cellStyle name="Input 11 3 2 3 2 3" xfId="48059"/>
    <cellStyle name="Input 11 3 2 3 2 4" xfId="36241"/>
    <cellStyle name="Input 11 3 2 3 3" xfId="13326"/>
    <cellStyle name="Input 11 3 2 3 3 2" xfId="42477"/>
    <cellStyle name="Input 11 3 2 3 3 3" xfId="42764"/>
    <cellStyle name="Input 11 3 2 3 3 4" xfId="30952"/>
    <cellStyle name="Input 11 3 2 3 4" xfId="18950"/>
    <cellStyle name="Input 11 3 2 3 4 2" xfId="44472"/>
    <cellStyle name="Input 11 3 2 3 4 3" xfId="48378"/>
    <cellStyle name="Input 11 3 2 3 4 4" xfId="36562"/>
    <cellStyle name="Input 11 3 2 3 5" xfId="21031"/>
    <cellStyle name="Input 11 3 2 3 5 2" xfId="46553"/>
    <cellStyle name="Input 11 3 2 3 5 3" xfId="50459"/>
    <cellStyle name="Input 11 3 2 3 5 4" xfId="38423"/>
    <cellStyle name="Input 11 3 2 3 6" xfId="21684"/>
    <cellStyle name="Input 11 3 2 3 6 2" xfId="47206"/>
    <cellStyle name="Input 11 3 2 3 6 3" xfId="51112"/>
    <cellStyle name="Input 11 3 2 3 7" xfId="41009"/>
    <cellStyle name="Input 11 3 2 3 8" xfId="39352"/>
    <cellStyle name="Input 11 3 2 4" xfId="14791"/>
    <cellStyle name="Input 11 3 2 4 2" xfId="42889"/>
    <cellStyle name="Input 11 3 2 4 3" xfId="43157"/>
    <cellStyle name="Input 11 3 2 4 4" xfId="32412"/>
    <cellStyle name="Input 11 3 2 5" xfId="13074"/>
    <cellStyle name="Input 11 3 2 5 2" xfId="42276"/>
    <cellStyle name="Input 11 3 2 5 3" xfId="40516"/>
    <cellStyle name="Input 11 3 2 5 4" xfId="30709"/>
    <cellStyle name="Input 11 3 2 6" xfId="19913"/>
    <cellStyle name="Input 11 3 2 6 2" xfId="45435"/>
    <cellStyle name="Input 11 3 2 6 3" xfId="49341"/>
    <cellStyle name="Input 11 3 2 6 4" xfId="37413"/>
    <cellStyle name="Input 11 3 2 7" xfId="20458"/>
    <cellStyle name="Input 11 3 2 7 2" xfId="45980"/>
    <cellStyle name="Input 11 3 2 7 3" xfId="49886"/>
    <cellStyle name="Input 11 3 2 7 4" xfId="37897"/>
    <cellStyle name="Input 11 3 2 8" xfId="19044"/>
    <cellStyle name="Input 11 3 2 8 2" xfId="44566"/>
    <cellStyle name="Input 11 3 2 8 3" xfId="48472"/>
    <cellStyle name="Input 11 3 2 9" xfId="39749"/>
    <cellStyle name="Input 11 3 3" xfId="52966"/>
    <cellStyle name="Input 11 4" xfId="7006"/>
    <cellStyle name="Input 11 4 10" xfId="43517"/>
    <cellStyle name="Input 11 4 11" xfId="52967"/>
    <cellStyle name="Input 11 4 2" xfId="10533"/>
    <cellStyle name="Input 11 4 2 2" xfId="18320"/>
    <cellStyle name="Input 11 4 2 2 2" xfId="43852"/>
    <cellStyle name="Input 11 4 2 2 3" xfId="47761"/>
    <cellStyle name="Input 11 4 2 2 4" xfId="35943"/>
    <cellStyle name="Input 11 4 2 3" xfId="20161"/>
    <cellStyle name="Input 11 4 2 3 2" xfId="45683"/>
    <cellStyle name="Input 11 4 2 3 3" xfId="49589"/>
    <cellStyle name="Input 11 4 2 3 4" xfId="37633"/>
    <cellStyle name="Input 11 4 2 4" xfId="11613"/>
    <cellStyle name="Input 11 4 2 4 2" xfId="41604"/>
    <cellStyle name="Input 11 4 2 4 3" xfId="40431"/>
    <cellStyle name="Input 11 4 2 4 4" xfId="29302"/>
    <cellStyle name="Input 11 4 2 5" xfId="20733"/>
    <cellStyle name="Input 11 4 2 5 2" xfId="46255"/>
    <cellStyle name="Input 11 4 2 5 3" xfId="50161"/>
    <cellStyle name="Input 11 4 2 5 4" xfId="38125"/>
    <cellStyle name="Input 11 4 2 6" xfId="21386"/>
    <cellStyle name="Input 11 4 2 6 2" xfId="46908"/>
    <cellStyle name="Input 11 4 2 6 3" xfId="50814"/>
    <cellStyle name="Input 11 4 2 7" xfId="40711"/>
    <cellStyle name="Input 11 4 2 8" xfId="39173"/>
    <cellStyle name="Input 11 4 3" xfId="10828"/>
    <cellStyle name="Input 11 4 3 2" xfId="18615"/>
    <cellStyle name="Input 11 4 3 2 2" xfId="44147"/>
    <cellStyle name="Input 11 4 3 2 3" xfId="48056"/>
    <cellStyle name="Input 11 4 3 2 4" xfId="36238"/>
    <cellStyle name="Input 11 4 3 3" xfId="19711"/>
    <cellStyle name="Input 11 4 3 3 2" xfId="45233"/>
    <cellStyle name="Input 11 4 3 3 3" xfId="49139"/>
    <cellStyle name="Input 11 4 3 3 4" xfId="37224"/>
    <cellStyle name="Input 11 4 3 4" xfId="11416"/>
    <cellStyle name="Input 11 4 3 4 2" xfId="41421"/>
    <cellStyle name="Input 11 4 3 4 3" xfId="39148"/>
    <cellStyle name="Input 11 4 3 4 4" xfId="29124"/>
    <cellStyle name="Input 11 4 3 5" xfId="21028"/>
    <cellStyle name="Input 11 4 3 5 2" xfId="46550"/>
    <cellStyle name="Input 11 4 3 5 3" xfId="50456"/>
    <cellStyle name="Input 11 4 3 5 4" xfId="38420"/>
    <cellStyle name="Input 11 4 3 6" xfId="21681"/>
    <cellStyle name="Input 11 4 3 6 2" xfId="47203"/>
    <cellStyle name="Input 11 4 3 6 3" xfId="51109"/>
    <cellStyle name="Input 11 4 3 7" xfId="41006"/>
    <cellStyle name="Input 11 4 3 8" xfId="42031"/>
    <cellStyle name="Input 11 4 4" xfId="14788"/>
    <cellStyle name="Input 11 4 4 2" xfId="42886"/>
    <cellStyle name="Input 11 4 4 3" xfId="39249"/>
    <cellStyle name="Input 11 4 4 4" xfId="32409"/>
    <cellStyle name="Input 11 4 5" xfId="12460"/>
    <cellStyle name="Input 11 4 5 2" xfId="41962"/>
    <cellStyle name="Input 11 4 5 3" xfId="43308"/>
    <cellStyle name="Input 11 4 5 4" xfId="30117"/>
    <cellStyle name="Input 11 4 6" xfId="11333"/>
    <cellStyle name="Input 11 4 6 2" xfId="41352"/>
    <cellStyle name="Input 11 4 6 3" xfId="40051"/>
    <cellStyle name="Input 11 4 6 4" xfId="29045"/>
    <cellStyle name="Input 11 4 7" xfId="18974"/>
    <cellStyle name="Input 11 4 7 2" xfId="44496"/>
    <cellStyle name="Input 11 4 7 3" xfId="48402"/>
    <cellStyle name="Input 11 4 7 4" xfId="36584"/>
    <cellStyle name="Input 11 4 8" xfId="19614"/>
    <cellStyle name="Input 11 4 8 2" xfId="45136"/>
    <cellStyle name="Input 11 4 8 3" xfId="49042"/>
    <cellStyle name="Input 11 4 9" xfId="39746"/>
    <cellStyle name="Input 11 5" xfId="22415"/>
    <cellStyle name="Input 11 6" xfId="52962"/>
    <cellStyle name="Input 11_Sheet1" xfId="1807"/>
    <cellStyle name="Input 12" xfId="1808"/>
    <cellStyle name="Input 12 2" xfId="1809"/>
    <cellStyle name="Input 12 2 2" xfId="1810"/>
    <cellStyle name="Input 12 2 2 2" xfId="7012"/>
    <cellStyle name="Input 12 2 2 2 10" xfId="39390"/>
    <cellStyle name="Input 12 2 2 2 2" xfId="10539"/>
    <cellStyle name="Input 12 2 2 2 2 2" xfId="18326"/>
    <cellStyle name="Input 12 2 2 2 2 2 2" xfId="43858"/>
    <cellStyle name="Input 12 2 2 2 2 2 3" xfId="47767"/>
    <cellStyle name="Input 12 2 2 2 2 2 4" xfId="35949"/>
    <cellStyle name="Input 12 2 2 2 2 3" xfId="12615"/>
    <cellStyle name="Input 12 2 2 2 2 3 2" xfId="42075"/>
    <cellStyle name="Input 12 2 2 2 2 3 3" xfId="39084"/>
    <cellStyle name="Input 12 2 2 2 2 3 4" xfId="30266"/>
    <cellStyle name="Input 12 2 2 2 2 4" xfId="20217"/>
    <cellStyle name="Input 12 2 2 2 2 4 2" xfId="45739"/>
    <cellStyle name="Input 12 2 2 2 2 4 3" xfId="49645"/>
    <cellStyle name="Input 12 2 2 2 2 4 4" xfId="37678"/>
    <cellStyle name="Input 12 2 2 2 2 5" xfId="20739"/>
    <cellStyle name="Input 12 2 2 2 2 5 2" xfId="46261"/>
    <cellStyle name="Input 12 2 2 2 2 5 3" xfId="50167"/>
    <cellStyle name="Input 12 2 2 2 2 5 4" xfId="38131"/>
    <cellStyle name="Input 12 2 2 2 2 6" xfId="21392"/>
    <cellStyle name="Input 12 2 2 2 2 6 2" xfId="46914"/>
    <cellStyle name="Input 12 2 2 2 2 6 3" xfId="50820"/>
    <cellStyle name="Input 12 2 2 2 2 7" xfId="40717"/>
    <cellStyle name="Input 12 2 2 2 2 8" xfId="40572"/>
    <cellStyle name="Input 12 2 2 2 3" xfId="10834"/>
    <cellStyle name="Input 12 2 2 2 3 2" xfId="18621"/>
    <cellStyle name="Input 12 2 2 2 3 2 2" xfId="44153"/>
    <cellStyle name="Input 12 2 2 2 3 2 3" xfId="48062"/>
    <cellStyle name="Input 12 2 2 2 3 2 4" xfId="36244"/>
    <cellStyle name="Input 12 2 2 2 3 3" xfId="19390"/>
    <cellStyle name="Input 12 2 2 2 3 3 2" xfId="44912"/>
    <cellStyle name="Input 12 2 2 2 3 3 3" xfId="48818"/>
    <cellStyle name="Input 12 2 2 2 3 3 4" xfId="36941"/>
    <cellStyle name="Input 12 2 2 2 3 4" xfId="20186"/>
    <cellStyle name="Input 12 2 2 2 3 4 2" xfId="45708"/>
    <cellStyle name="Input 12 2 2 2 3 4 3" xfId="49614"/>
    <cellStyle name="Input 12 2 2 2 3 4 4" xfId="37654"/>
    <cellStyle name="Input 12 2 2 2 3 5" xfId="21034"/>
    <cellStyle name="Input 12 2 2 2 3 5 2" xfId="46556"/>
    <cellStyle name="Input 12 2 2 2 3 5 3" xfId="50462"/>
    <cellStyle name="Input 12 2 2 2 3 5 4" xfId="38426"/>
    <cellStyle name="Input 12 2 2 2 3 6" xfId="21687"/>
    <cellStyle name="Input 12 2 2 2 3 6 2" xfId="47209"/>
    <cellStyle name="Input 12 2 2 2 3 6 3" xfId="51115"/>
    <cellStyle name="Input 12 2 2 2 3 7" xfId="41012"/>
    <cellStyle name="Input 12 2 2 2 3 8" xfId="40064"/>
    <cellStyle name="Input 12 2 2 2 4" xfId="14794"/>
    <cellStyle name="Input 12 2 2 2 4 2" xfId="42892"/>
    <cellStyle name="Input 12 2 2 2 4 3" xfId="43645"/>
    <cellStyle name="Input 12 2 2 2 4 4" xfId="32415"/>
    <cellStyle name="Input 12 2 2 2 5" xfId="13077"/>
    <cellStyle name="Input 12 2 2 2 5 2" xfId="42279"/>
    <cellStyle name="Input 12 2 2 2 5 3" xfId="43551"/>
    <cellStyle name="Input 12 2 2 2 5 4" xfId="30712"/>
    <cellStyle name="Input 12 2 2 2 6" xfId="20255"/>
    <cellStyle name="Input 12 2 2 2 6 2" xfId="45777"/>
    <cellStyle name="Input 12 2 2 2 6 3" xfId="49683"/>
    <cellStyle name="Input 12 2 2 2 6 4" xfId="37711"/>
    <cellStyle name="Input 12 2 2 2 7" xfId="19665"/>
    <cellStyle name="Input 12 2 2 2 7 2" xfId="45187"/>
    <cellStyle name="Input 12 2 2 2 7 3" xfId="49093"/>
    <cellStyle name="Input 12 2 2 2 7 4" xfId="37183"/>
    <cellStyle name="Input 12 2 2 2 8" xfId="19141"/>
    <cellStyle name="Input 12 2 2 2 8 2" xfId="44663"/>
    <cellStyle name="Input 12 2 2 2 8 3" xfId="48569"/>
    <cellStyle name="Input 12 2 2 2 9" xfId="39752"/>
    <cellStyle name="Input 12 2 2 3" xfId="52970"/>
    <cellStyle name="Input 12 2 3" xfId="7011"/>
    <cellStyle name="Input 12 2 3 10" xfId="40262"/>
    <cellStyle name="Input 12 2 3 2" xfId="10538"/>
    <cellStyle name="Input 12 2 3 2 2" xfId="18325"/>
    <cellStyle name="Input 12 2 3 2 2 2" xfId="43857"/>
    <cellStyle name="Input 12 2 3 2 2 3" xfId="47766"/>
    <cellStyle name="Input 12 2 3 2 2 4" xfId="35948"/>
    <cellStyle name="Input 12 2 3 2 3" xfId="19125"/>
    <cellStyle name="Input 12 2 3 2 3 2" xfId="44647"/>
    <cellStyle name="Input 12 2 3 2 3 3" xfId="48553"/>
    <cellStyle name="Input 12 2 3 2 3 4" xfId="36706"/>
    <cellStyle name="Input 12 2 3 2 4" xfId="19980"/>
    <cellStyle name="Input 12 2 3 2 4 2" xfId="45502"/>
    <cellStyle name="Input 12 2 3 2 4 3" xfId="49408"/>
    <cellStyle name="Input 12 2 3 2 4 4" xfId="37464"/>
    <cellStyle name="Input 12 2 3 2 5" xfId="20738"/>
    <cellStyle name="Input 12 2 3 2 5 2" xfId="46260"/>
    <cellStyle name="Input 12 2 3 2 5 3" xfId="50166"/>
    <cellStyle name="Input 12 2 3 2 5 4" xfId="38130"/>
    <cellStyle name="Input 12 2 3 2 6" xfId="21391"/>
    <cellStyle name="Input 12 2 3 2 6 2" xfId="46913"/>
    <cellStyle name="Input 12 2 3 2 6 3" xfId="50819"/>
    <cellStyle name="Input 12 2 3 2 7" xfId="40716"/>
    <cellStyle name="Input 12 2 3 2 8" xfId="43713"/>
    <cellStyle name="Input 12 2 3 3" xfId="10833"/>
    <cellStyle name="Input 12 2 3 3 2" xfId="18620"/>
    <cellStyle name="Input 12 2 3 3 2 2" xfId="44152"/>
    <cellStyle name="Input 12 2 3 3 2 3" xfId="48061"/>
    <cellStyle name="Input 12 2 3 3 2 4" xfId="36243"/>
    <cellStyle name="Input 12 2 3 3 3" xfId="20131"/>
    <cellStyle name="Input 12 2 3 3 3 2" xfId="45653"/>
    <cellStyle name="Input 12 2 3 3 3 3" xfId="49559"/>
    <cellStyle name="Input 12 2 3 3 3 4" xfId="37603"/>
    <cellStyle name="Input 12 2 3 3 4" xfId="19066"/>
    <cellStyle name="Input 12 2 3 3 4 2" xfId="44588"/>
    <cellStyle name="Input 12 2 3 3 4 3" xfId="48494"/>
    <cellStyle name="Input 12 2 3 3 4 4" xfId="36648"/>
    <cellStyle name="Input 12 2 3 3 5" xfId="21033"/>
    <cellStyle name="Input 12 2 3 3 5 2" xfId="46555"/>
    <cellStyle name="Input 12 2 3 3 5 3" xfId="50461"/>
    <cellStyle name="Input 12 2 3 3 5 4" xfId="38425"/>
    <cellStyle name="Input 12 2 3 3 6" xfId="21686"/>
    <cellStyle name="Input 12 2 3 3 6 2" xfId="47208"/>
    <cellStyle name="Input 12 2 3 3 6 3" xfId="51114"/>
    <cellStyle name="Input 12 2 3 3 7" xfId="41011"/>
    <cellStyle name="Input 12 2 3 3 8" xfId="43205"/>
    <cellStyle name="Input 12 2 3 4" xfId="14793"/>
    <cellStyle name="Input 12 2 3 4 2" xfId="42891"/>
    <cellStyle name="Input 12 2 3 4 3" xfId="42758"/>
    <cellStyle name="Input 12 2 3 4 4" xfId="32414"/>
    <cellStyle name="Input 12 2 3 5" xfId="13076"/>
    <cellStyle name="Input 12 2 3 5 2" xfId="42278"/>
    <cellStyle name="Input 12 2 3 5 3" xfId="42663"/>
    <cellStyle name="Input 12 2 3 5 4" xfId="30711"/>
    <cellStyle name="Input 12 2 3 6" xfId="20307"/>
    <cellStyle name="Input 12 2 3 6 2" xfId="45829"/>
    <cellStyle name="Input 12 2 3 6 3" xfId="49735"/>
    <cellStyle name="Input 12 2 3 6 4" xfId="37757"/>
    <cellStyle name="Input 12 2 3 7" xfId="20048"/>
    <cellStyle name="Input 12 2 3 7 2" xfId="45570"/>
    <cellStyle name="Input 12 2 3 7 3" xfId="49476"/>
    <cellStyle name="Input 12 2 3 7 4" xfId="37529"/>
    <cellStyle name="Input 12 2 3 8" xfId="19639"/>
    <cellStyle name="Input 12 2 3 8 2" xfId="45161"/>
    <cellStyle name="Input 12 2 3 8 3" xfId="49067"/>
    <cellStyle name="Input 12 2 3 9" xfId="39751"/>
    <cellStyle name="Input 12 2 4" xfId="52969"/>
    <cellStyle name="Input 12 2_Sheet1" xfId="1811"/>
    <cellStyle name="Input 12 3" xfId="1812"/>
    <cellStyle name="Input 12 3 2" xfId="7013"/>
    <cellStyle name="Input 12 3 2 10" xfId="39225"/>
    <cellStyle name="Input 12 3 2 2" xfId="10540"/>
    <cellStyle name="Input 12 3 2 2 2" xfId="18327"/>
    <cellStyle name="Input 12 3 2 2 2 2" xfId="43859"/>
    <cellStyle name="Input 12 3 2 2 2 3" xfId="47768"/>
    <cellStyle name="Input 12 3 2 2 2 4" xfId="35950"/>
    <cellStyle name="Input 12 3 2 2 3" xfId="19605"/>
    <cellStyle name="Input 12 3 2 2 3 2" xfId="45127"/>
    <cellStyle name="Input 12 3 2 2 3 3" xfId="49033"/>
    <cellStyle name="Input 12 3 2 2 3 4" xfId="37131"/>
    <cellStyle name="Input 12 3 2 2 4" xfId="11814"/>
    <cellStyle name="Input 12 3 2 2 4 2" xfId="41732"/>
    <cellStyle name="Input 12 3 2 2 4 3" xfId="39120"/>
    <cellStyle name="Input 12 3 2 2 4 4" xfId="29486"/>
    <cellStyle name="Input 12 3 2 2 5" xfId="20740"/>
    <cellStyle name="Input 12 3 2 2 5 2" xfId="46262"/>
    <cellStyle name="Input 12 3 2 2 5 3" xfId="50168"/>
    <cellStyle name="Input 12 3 2 2 5 4" xfId="38132"/>
    <cellStyle name="Input 12 3 2 2 6" xfId="21393"/>
    <cellStyle name="Input 12 3 2 2 6 2" xfId="46915"/>
    <cellStyle name="Input 12 3 2 2 6 3" xfId="50821"/>
    <cellStyle name="Input 12 3 2 2 7" xfId="40718"/>
    <cellStyle name="Input 12 3 2 2 8" xfId="39683"/>
    <cellStyle name="Input 12 3 2 3" xfId="10835"/>
    <cellStyle name="Input 12 3 2 3 2" xfId="18622"/>
    <cellStyle name="Input 12 3 2 3 2 2" xfId="44154"/>
    <cellStyle name="Input 12 3 2 3 2 3" xfId="48063"/>
    <cellStyle name="Input 12 3 2 3 2 4" xfId="36245"/>
    <cellStyle name="Input 12 3 2 3 3" xfId="19997"/>
    <cellStyle name="Input 12 3 2 3 3 2" xfId="45519"/>
    <cellStyle name="Input 12 3 2 3 3 3" xfId="49425"/>
    <cellStyle name="Input 12 3 2 3 3 4" xfId="37481"/>
    <cellStyle name="Input 12 3 2 3 4" xfId="19309"/>
    <cellStyle name="Input 12 3 2 3 4 2" xfId="44831"/>
    <cellStyle name="Input 12 3 2 3 4 3" xfId="48737"/>
    <cellStyle name="Input 12 3 2 3 4 4" xfId="36873"/>
    <cellStyle name="Input 12 3 2 3 5" xfId="21035"/>
    <cellStyle name="Input 12 3 2 3 5 2" xfId="46557"/>
    <cellStyle name="Input 12 3 2 3 5 3" xfId="50463"/>
    <cellStyle name="Input 12 3 2 3 5 4" xfId="38427"/>
    <cellStyle name="Input 12 3 2 3 6" xfId="21688"/>
    <cellStyle name="Input 12 3 2 3 6 2" xfId="47210"/>
    <cellStyle name="Input 12 3 2 3 6 3" xfId="51116"/>
    <cellStyle name="Input 12 3 2 3 7" xfId="41013"/>
    <cellStyle name="Input 12 3 2 3 8" xfId="42812"/>
    <cellStyle name="Input 12 3 2 4" xfId="14795"/>
    <cellStyle name="Input 12 3 2 4 2" xfId="42893"/>
    <cellStyle name="Input 12 3 2 4 3" xfId="40504"/>
    <cellStyle name="Input 12 3 2 4 4" xfId="32416"/>
    <cellStyle name="Input 12 3 2 5" xfId="13078"/>
    <cellStyle name="Input 12 3 2 5 2" xfId="42280"/>
    <cellStyle name="Input 12 3 2 5 3" xfId="40412"/>
    <cellStyle name="Input 12 3 2 5 4" xfId="30713"/>
    <cellStyle name="Input 12 3 2 6" xfId="20056"/>
    <cellStyle name="Input 12 3 2 6 2" xfId="45578"/>
    <cellStyle name="Input 12 3 2 6 3" xfId="49484"/>
    <cellStyle name="Input 12 3 2 6 4" xfId="37536"/>
    <cellStyle name="Input 12 3 2 7" xfId="11687"/>
    <cellStyle name="Input 12 3 2 7 2" xfId="41674"/>
    <cellStyle name="Input 12 3 2 7 3" xfId="40428"/>
    <cellStyle name="Input 12 3 2 7 4" xfId="29366"/>
    <cellStyle name="Input 12 3 2 8" xfId="20192"/>
    <cellStyle name="Input 12 3 2 8 2" xfId="45714"/>
    <cellStyle name="Input 12 3 2 8 3" xfId="49620"/>
    <cellStyle name="Input 12 3 2 9" xfId="39753"/>
    <cellStyle name="Input 12 3 3" xfId="52971"/>
    <cellStyle name="Input 12 4" xfId="7010"/>
    <cellStyle name="Input 12 4 10" xfId="43400"/>
    <cellStyle name="Input 12 4 11" xfId="52972"/>
    <cellStyle name="Input 12 4 2" xfId="10537"/>
    <cellStyle name="Input 12 4 2 2" xfId="18324"/>
    <cellStyle name="Input 12 4 2 2 2" xfId="43856"/>
    <cellStyle name="Input 12 4 2 2 3" xfId="47765"/>
    <cellStyle name="Input 12 4 2 2 4" xfId="35947"/>
    <cellStyle name="Input 12 4 2 3" xfId="19902"/>
    <cellStyle name="Input 12 4 2 3 2" xfId="45424"/>
    <cellStyle name="Input 12 4 2 3 3" xfId="49330"/>
    <cellStyle name="Input 12 4 2 3 4" xfId="37402"/>
    <cellStyle name="Input 12 4 2 4" xfId="19176"/>
    <cellStyle name="Input 12 4 2 4 2" xfId="44698"/>
    <cellStyle name="Input 12 4 2 4 3" xfId="48604"/>
    <cellStyle name="Input 12 4 2 4 4" xfId="36749"/>
    <cellStyle name="Input 12 4 2 5" xfId="20737"/>
    <cellStyle name="Input 12 4 2 5 2" xfId="46259"/>
    <cellStyle name="Input 12 4 2 5 3" xfId="50165"/>
    <cellStyle name="Input 12 4 2 5 4" xfId="38129"/>
    <cellStyle name="Input 12 4 2 6" xfId="21390"/>
    <cellStyle name="Input 12 4 2 6 2" xfId="46912"/>
    <cellStyle name="Input 12 4 2 6 3" xfId="50818"/>
    <cellStyle name="Input 12 4 2 7" xfId="40715"/>
    <cellStyle name="Input 12 4 2 8" xfId="42824"/>
    <cellStyle name="Input 12 4 3" xfId="10832"/>
    <cellStyle name="Input 12 4 3 2" xfId="18619"/>
    <cellStyle name="Input 12 4 3 2 2" xfId="44151"/>
    <cellStyle name="Input 12 4 3 2 3" xfId="48060"/>
    <cellStyle name="Input 12 4 3 2 4" xfId="36242"/>
    <cellStyle name="Input 12 4 3 3" xfId="19579"/>
    <cellStyle name="Input 12 4 3 3 2" xfId="45101"/>
    <cellStyle name="Input 12 4 3 3 3" xfId="49007"/>
    <cellStyle name="Input 12 4 3 3 4" xfId="37105"/>
    <cellStyle name="Input 12 4 3 4" xfId="19039"/>
    <cellStyle name="Input 12 4 3 4 2" xfId="44561"/>
    <cellStyle name="Input 12 4 3 4 3" xfId="48467"/>
    <cellStyle name="Input 12 4 3 4 4" xfId="36625"/>
    <cellStyle name="Input 12 4 3 5" xfId="21032"/>
    <cellStyle name="Input 12 4 3 5 2" xfId="46554"/>
    <cellStyle name="Input 12 4 3 5 3" xfId="50460"/>
    <cellStyle name="Input 12 4 3 5 4" xfId="38424"/>
    <cellStyle name="Input 12 4 3 6" xfId="21685"/>
    <cellStyle name="Input 12 4 3 6 2" xfId="47207"/>
    <cellStyle name="Input 12 4 3 6 3" xfId="51113"/>
    <cellStyle name="Input 12 4 3 7" xfId="41010"/>
    <cellStyle name="Input 12 4 3 8" xfId="41402"/>
    <cellStyle name="Input 12 4 4" xfId="14792"/>
    <cellStyle name="Input 12 4 4 2" xfId="42890"/>
    <cellStyle name="Input 12 4 4 3" xfId="40016"/>
    <cellStyle name="Input 12 4 4 4" xfId="32413"/>
    <cellStyle name="Input 12 4 5" xfId="13075"/>
    <cellStyle name="Input 12 4 5 2" xfId="42277"/>
    <cellStyle name="Input 12 4 5 3" xfId="39626"/>
    <cellStyle name="Input 12 4 5 4" xfId="30710"/>
    <cellStyle name="Input 12 4 6" xfId="11447"/>
    <cellStyle name="Input 12 4 6 2" xfId="41438"/>
    <cellStyle name="Input 12 4 6 3" xfId="43685"/>
    <cellStyle name="Input 12 4 6 4" xfId="29152"/>
    <cellStyle name="Input 12 4 7" xfId="12116"/>
    <cellStyle name="Input 12 4 7 2" xfId="41841"/>
    <cellStyle name="Input 12 4 7 3" xfId="47469"/>
    <cellStyle name="Input 12 4 7 4" xfId="29775"/>
    <cellStyle name="Input 12 4 8" xfId="20609"/>
    <cellStyle name="Input 12 4 8 2" xfId="46131"/>
    <cellStyle name="Input 12 4 8 3" xfId="50037"/>
    <cellStyle name="Input 12 4 9" xfId="39750"/>
    <cellStyle name="Input 12 5" xfId="22417"/>
    <cellStyle name="Input 12 6" xfId="22907"/>
    <cellStyle name="Input 12 7" xfId="52968"/>
    <cellStyle name="Input 12_Sheet1" xfId="1813"/>
    <cellStyle name="Input 13" xfId="1814"/>
    <cellStyle name="Input 13 2" xfId="1815"/>
    <cellStyle name="Input 13 2 2" xfId="1816"/>
    <cellStyle name="Input 13 2 2 2" xfId="7016"/>
    <cellStyle name="Input 13 2 2 2 10" xfId="43251"/>
    <cellStyle name="Input 13 2 2 2 2" xfId="10543"/>
    <cellStyle name="Input 13 2 2 2 2 2" xfId="18330"/>
    <cellStyle name="Input 13 2 2 2 2 2 2" xfId="43862"/>
    <cellStyle name="Input 13 2 2 2 2 2 3" xfId="47771"/>
    <cellStyle name="Input 13 2 2 2 2 2 4" xfId="35953"/>
    <cellStyle name="Input 13 2 2 2 2 3" xfId="20026"/>
    <cellStyle name="Input 13 2 2 2 2 3 2" xfId="45548"/>
    <cellStyle name="Input 13 2 2 2 2 3 3" xfId="49454"/>
    <cellStyle name="Input 13 2 2 2 2 3 4" xfId="37510"/>
    <cellStyle name="Input 13 2 2 2 2 4" xfId="13245"/>
    <cellStyle name="Input 13 2 2 2 2 4 2" xfId="42404"/>
    <cellStyle name="Input 13 2 2 2 2 4 3" xfId="40147"/>
    <cellStyle name="Input 13 2 2 2 2 4 4" xfId="30876"/>
    <cellStyle name="Input 13 2 2 2 2 5" xfId="20743"/>
    <cellStyle name="Input 13 2 2 2 2 5 2" xfId="46265"/>
    <cellStyle name="Input 13 2 2 2 2 5 3" xfId="50171"/>
    <cellStyle name="Input 13 2 2 2 2 5 4" xfId="38135"/>
    <cellStyle name="Input 13 2 2 2 2 6" xfId="21396"/>
    <cellStyle name="Input 13 2 2 2 2 6 2" xfId="46918"/>
    <cellStyle name="Input 13 2 2 2 2 6 3" xfId="50824"/>
    <cellStyle name="Input 13 2 2 2 2 7" xfId="40721"/>
    <cellStyle name="Input 13 2 2 2 2 8" xfId="40467"/>
    <cellStyle name="Input 13 2 2 2 3" xfId="10838"/>
    <cellStyle name="Input 13 2 2 2 3 2" xfId="18625"/>
    <cellStyle name="Input 13 2 2 2 3 2 2" xfId="44157"/>
    <cellStyle name="Input 13 2 2 2 3 2 3" xfId="48066"/>
    <cellStyle name="Input 13 2 2 2 3 2 4" xfId="36248"/>
    <cellStyle name="Input 13 2 2 2 3 3" xfId="19095"/>
    <cellStyle name="Input 13 2 2 2 3 3 2" xfId="44617"/>
    <cellStyle name="Input 13 2 2 2 3 3 3" xfId="48523"/>
    <cellStyle name="Input 13 2 2 2 3 3 4" xfId="36676"/>
    <cellStyle name="Input 13 2 2 2 3 4" xfId="20244"/>
    <cellStyle name="Input 13 2 2 2 3 4 2" xfId="45766"/>
    <cellStyle name="Input 13 2 2 2 3 4 3" xfId="49672"/>
    <cellStyle name="Input 13 2 2 2 3 4 4" xfId="37701"/>
    <cellStyle name="Input 13 2 2 2 3 5" xfId="21038"/>
    <cellStyle name="Input 13 2 2 2 3 5 2" xfId="46560"/>
    <cellStyle name="Input 13 2 2 2 3 5 3" xfId="50466"/>
    <cellStyle name="Input 13 2 2 2 3 5 4" xfId="38430"/>
    <cellStyle name="Input 13 2 2 2 3 6" xfId="21691"/>
    <cellStyle name="Input 13 2 2 2 3 6 2" xfId="47213"/>
    <cellStyle name="Input 13 2 2 2 3 6 3" xfId="51119"/>
    <cellStyle name="Input 13 2 2 2 3 7" xfId="41016"/>
    <cellStyle name="Input 13 2 2 2 3 8" xfId="39671"/>
    <cellStyle name="Input 13 2 2 2 4" xfId="14798"/>
    <cellStyle name="Input 13 2 2 2 4 2" xfId="42896"/>
    <cellStyle name="Input 13 2 2 2 4 3" xfId="43536"/>
    <cellStyle name="Input 13 2 2 2 4 4" xfId="32419"/>
    <cellStyle name="Input 13 2 2 2 5" xfId="11280"/>
    <cellStyle name="Input 13 2 2 2 5 2" xfId="41307"/>
    <cellStyle name="Input 13 2 2 2 5 3" xfId="42694"/>
    <cellStyle name="Input 13 2 2 2 5 4" xfId="28994"/>
    <cellStyle name="Input 13 2 2 2 6" xfId="20219"/>
    <cellStyle name="Input 13 2 2 2 6 2" xfId="45741"/>
    <cellStyle name="Input 13 2 2 2 6 3" xfId="49647"/>
    <cellStyle name="Input 13 2 2 2 6 4" xfId="37679"/>
    <cellStyle name="Input 13 2 2 2 7" xfId="19022"/>
    <cellStyle name="Input 13 2 2 2 7 2" xfId="44544"/>
    <cellStyle name="Input 13 2 2 2 7 3" xfId="48450"/>
    <cellStyle name="Input 13 2 2 2 7 4" xfId="36614"/>
    <cellStyle name="Input 13 2 2 2 8" xfId="12859"/>
    <cellStyle name="Input 13 2 2 2 8 2" xfId="42223"/>
    <cellStyle name="Input 13 2 2 2 8 3" xfId="40304"/>
    <cellStyle name="Input 13 2 2 2 9" xfId="39756"/>
    <cellStyle name="Input 13 2 2 3" xfId="52975"/>
    <cellStyle name="Input 13 2 3" xfId="7015"/>
    <cellStyle name="Input 13 2 3 10" xfId="41701"/>
    <cellStyle name="Input 13 2 3 2" xfId="10542"/>
    <cellStyle name="Input 13 2 3 2 2" xfId="18329"/>
    <cellStyle name="Input 13 2 3 2 2 2" xfId="43861"/>
    <cellStyle name="Input 13 2 3 2 2 3" xfId="47770"/>
    <cellStyle name="Input 13 2 3 2 2 4" xfId="35952"/>
    <cellStyle name="Input 13 2 3 2 3" xfId="19419"/>
    <cellStyle name="Input 13 2 3 2 3 2" xfId="44941"/>
    <cellStyle name="Input 13 2 3 2 3 3" xfId="48847"/>
    <cellStyle name="Input 13 2 3 2 3 4" xfId="36970"/>
    <cellStyle name="Input 13 2 3 2 4" xfId="20372"/>
    <cellStyle name="Input 13 2 3 2 4 2" xfId="45894"/>
    <cellStyle name="Input 13 2 3 2 4 3" xfId="49800"/>
    <cellStyle name="Input 13 2 3 2 4 4" xfId="37812"/>
    <cellStyle name="Input 13 2 3 2 5" xfId="20742"/>
    <cellStyle name="Input 13 2 3 2 5 2" xfId="46264"/>
    <cellStyle name="Input 13 2 3 2 5 3" xfId="50170"/>
    <cellStyle name="Input 13 2 3 2 5 4" xfId="38134"/>
    <cellStyle name="Input 13 2 3 2 6" xfId="21395"/>
    <cellStyle name="Input 13 2 3 2 6 2" xfId="46917"/>
    <cellStyle name="Input 13 2 3 2 6 3" xfId="50823"/>
    <cellStyle name="Input 13 2 3 2 7" xfId="40720"/>
    <cellStyle name="Input 13 2 3 2 8" xfId="43609"/>
    <cellStyle name="Input 13 2 3 3" xfId="10837"/>
    <cellStyle name="Input 13 2 3 3 2" xfId="18624"/>
    <cellStyle name="Input 13 2 3 3 2 2" xfId="44156"/>
    <cellStyle name="Input 13 2 3 3 2 3" xfId="48065"/>
    <cellStyle name="Input 13 2 3 3 2 4" xfId="36247"/>
    <cellStyle name="Input 13 2 3 3 3" xfId="19872"/>
    <cellStyle name="Input 13 2 3 3 3 2" xfId="45394"/>
    <cellStyle name="Input 13 2 3 3 3 3" xfId="49300"/>
    <cellStyle name="Input 13 2 3 3 3 4" xfId="37372"/>
    <cellStyle name="Input 13 2 3 3 4" xfId="12059"/>
    <cellStyle name="Input 13 2 3 3 4 2" xfId="41790"/>
    <cellStyle name="Input 13 2 3 3 4 3" xfId="39641"/>
    <cellStyle name="Input 13 2 3 3 4 4" xfId="29723"/>
    <cellStyle name="Input 13 2 3 3 5" xfId="21037"/>
    <cellStyle name="Input 13 2 3 3 5 2" xfId="46559"/>
    <cellStyle name="Input 13 2 3 3 5 3" xfId="50465"/>
    <cellStyle name="Input 13 2 3 3 5 4" xfId="38429"/>
    <cellStyle name="Input 13 2 3 3 6" xfId="21690"/>
    <cellStyle name="Input 13 2 3 3 6 2" xfId="47212"/>
    <cellStyle name="Input 13 2 3 3 6 3" xfId="51118"/>
    <cellStyle name="Input 13 2 3 3 7" xfId="41015"/>
    <cellStyle name="Input 13 2 3 3 8" xfId="40560"/>
    <cellStyle name="Input 13 2 3 4" xfId="14797"/>
    <cellStyle name="Input 13 2 3 4 2" xfId="42895"/>
    <cellStyle name="Input 13 2 3 4 3" xfId="42648"/>
    <cellStyle name="Input 13 2 3 4 4" xfId="32418"/>
    <cellStyle name="Input 13 2 3 5" xfId="11278"/>
    <cellStyle name="Input 13 2 3 5 2" xfId="41305"/>
    <cellStyle name="Input 13 2 3 5 3" xfId="40546"/>
    <cellStyle name="Input 13 2 3 5 4" xfId="28992"/>
    <cellStyle name="Input 13 2 3 6" xfId="13256"/>
    <cellStyle name="Input 13 2 3 6 2" xfId="42407"/>
    <cellStyle name="Input 13 2 3 6 3" xfId="43546"/>
    <cellStyle name="Input 13 2 3 6 4" xfId="30887"/>
    <cellStyle name="Input 13 2 3 7" xfId="11070"/>
    <cellStyle name="Input 13 2 3 7 2" xfId="41248"/>
    <cellStyle name="Input 13 2 3 7 3" xfId="39450"/>
    <cellStyle name="Input 13 2 3 7 4" xfId="28786"/>
    <cellStyle name="Input 13 2 3 8" xfId="18887"/>
    <cellStyle name="Input 13 2 3 8 2" xfId="44409"/>
    <cellStyle name="Input 13 2 3 8 3" xfId="48315"/>
    <cellStyle name="Input 13 2 3 9" xfId="39755"/>
    <cellStyle name="Input 13 2 4" xfId="52974"/>
    <cellStyle name="Input 13 2_Sheet1" xfId="1817"/>
    <cellStyle name="Input 13 3" xfId="1818"/>
    <cellStyle name="Input 13 3 2" xfId="7017"/>
    <cellStyle name="Input 13 3 2 10" xfId="40110"/>
    <cellStyle name="Input 13 3 2 2" xfId="10544"/>
    <cellStyle name="Input 13 3 2 2 2" xfId="18331"/>
    <cellStyle name="Input 13 3 2 2 2 2" xfId="43863"/>
    <cellStyle name="Input 13 3 2 2 2 3" xfId="47772"/>
    <cellStyle name="Input 13 3 2 2 2 4" xfId="35954"/>
    <cellStyle name="Input 13 3 2 2 3" xfId="19292"/>
    <cellStyle name="Input 13 3 2 2 3 2" xfId="44814"/>
    <cellStyle name="Input 13 3 2 2 3 3" xfId="48720"/>
    <cellStyle name="Input 13 3 2 2 3 4" xfId="36856"/>
    <cellStyle name="Input 13 3 2 2 4" xfId="20120"/>
    <cellStyle name="Input 13 3 2 2 4 2" xfId="45642"/>
    <cellStyle name="Input 13 3 2 2 4 3" xfId="49548"/>
    <cellStyle name="Input 13 3 2 2 4 4" xfId="37592"/>
    <cellStyle name="Input 13 3 2 2 5" xfId="20744"/>
    <cellStyle name="Input 13 3 2 2 5 2" xfId="46266"/>
    <cellStyle name="Input 13 3 2 2 5 3" xfId="50172"/>
    <cellStyle name="Input 13 3 2 2 5 4" xfId="38136"/>
    <cellStyle name="Input 13 3 2 2 6" xfId="21397"/>
    <cellStyle name="Input 13 3 2 2 6 2" xfId="46919"/>
    <cellStyle name="Input 13 3 2 2 6 3" xfId="50825"/>
    <cellStyle name="Input 13 3 2 2 7" xfId="40722"/>
    <cellStyle name="Input 13 3 2 2 8" xfId="39577"/>
    <cellStyle name="Input 13 3 2 3" xfId="10839"/>
    <cellStyle name="Input 13 3 2 3 2" xfId="18626"/>
    <cellStyle name="Input 13 3 2 3 2 2" xfId="44158"/>
    <cellStyle name="Input 13 3 2 3 2 3" xfId="48067"/>
    <cellStyle name="Input 13 3 2 3 2 4" xfId="36249"/>
    <cellStyle name="Input 13 3 2 3 3" xfId="19709"/>
    <cellStyle name="Input 13 3 2 3 3 2" xfId="45231"/>
    <cellStyle name="Input 13 3 2 3 3 3" xfId="49137"/>
    <cellStyle name="Input 13 3 2 3 3 4" xfId="37222"/>
    <cellStyle name="Input 13 3 2 3 4" xfId="19193"/>
    <cellStyle name="Input 13 3 2 3 4 2" xfId="44715"/>
    <cellStyle name="Input 13 3 2 3 4 3" xfId="48621"/>
    <cellStyle name="Input 13 3 2 3 4 4" xfId="36764"/>
    <cellStyle name="Input 13 3 2 3 5" xfId="21039"/>
    <cellStyle name="Input 13 3 2 3 5 2" xfId="46561"/>
    <cellStyle name="Input 13 3 2 3 5 3" xfId="50467"/>
    <cellStyle name="Input 13 3 2 3 5 4" xfId="38431"/>
    <cellStyle name="Input 13 3 2 3 6" xfId="21692"/>
    <cellStyle name="Input 13 3 2 3 6 2" xfId="47214"/>
    <cellStyle name="Input 13 3 2 3 6 3" xfId="51120"/>
    <cellStyle name="Input 13 3 2 3 7" xfId="41017"/>
    <cellStyle name="Input 13 3 2 3 8" xfId="42708"/>
    <cellStyle name="Input 13 3 2 4" xfId="14799"/>
    <cellStyle name="Input 13 3 2 4 2" xfId="42897"/>
    <cellStyle name="Input 13 3 2 4 3" xfId="40397"/>
    <cellStyle name="Input 13 3 2 4 4" xfId="32420"/>
    <cellStyle name="Input 13 3 2 5" xfId="11279"/>
    <cellStyle name="Input 13 3 2 5 2" xfId="41306"/>
    <cellStyle name="Input 13 3 2 5 3" xfId="39657"/>
    <cellStyle name="Input 13 3 2 5 4" xfId="28993"/>
    <cellStyle name="Input 13 3 2 6" xfId="19369"/>
    <cellStyle name="Input 13 3 2 6 2" xfId="44891"/>
    <cellStyle name="Input 13 3 2 6 3" xfId="48797"/>
    <cellStyle name="Input 13 3 2 6 4" xfId="36921"/>
    <cellStyle name="Input 13 3 2 7" xfId="19564"/>
    <cellStyle name="Input 13 3 2 7 2" xfId="45086"/>
    <cellStyle name="Input 13 3 2 7 3" xfId="48992"/>
    <cellStyle name="Input 13 3 2 7 4" xfId="37090"/>
    <cellStyle name="Input 13 3 2 8" xfId="19442"/>
    <cellStyle name="Input 13 3 2 8 2" xfId="44964"/>
    <cellStyle name="Input 13 3 2 8 3" xfId="48870"/>
    <cellStyle name="Input 13 3 2 9" xfId="39757"/>
    <cellStyle name="Input 13 3 3" xfId="52976"/>
    <cellStyle name="Input 13 4" xfId="7014"/>
    <cellStyle name="Input 13 4 10" xfId="47568"/>
    <cellStyle name="Input 13 4 11" xfId="52977"/>
    <cellStyle name="Input 13 4 2" xfId="10541"/>
    <cellStyle name="Input 13 4 2 2" xfId="18328"/>
    <cellStyle name="Input 13 4 2 2 2" xfId="43860"/>
    <cellStyle name="Input 13 4 2 2 3" xfId="47769"/>
    <cellStyle name="Input 13 4 2 2 4" xfId="35951"/>
    <cellStyle name="Input 13 4 2 3" xfId="20160"/>
    <cellStyle name="Input 13 4 2 3 2" xfId="45682"/>
    <cellStyle name="Input 13 4 2 3 3" xfId="49588"/>
    <cellStyle name="Input 13 4 2 3 4" xfId="37632"/>
    <cellStyle name="Input 13 4 2 4" xfId="18940"/>
    <cellStyle name="Input 13 4 2 4 2" xfId="44462"/>
    <cellStyle name="Input 13 4 2 4 3" xfId="48368"/>
    <cellStyle name="Input 13 4 2 4 4" xfId="36552"/>
    <cellStyle name="Input 13 4 2 5" xfId="20741"/>
    <cellStyle name="Input 13 4 2 5 2" xfId="46263"/>
    <cellStyle name="Input 13 4 2 5 3" xfId="50169"/>
    <cellStyle name="Input 13 4 2 5 4" xfId="38133"/>
    <cellStyle name="Input 13 4 2 6" xfId="21394"/>
    <cellStyle name="Input 13 4 2 6 2" xfId="46916"/>
    <cellStyle name="Input 13 4 2 6 3" xfId="50822"/>
    <cellStyle name="Input 13 4 2 7" xfId="40719"/>
    <cellStyle name="Input 13 4 2 8" xfId="42720"/>
    <cellStyle name="Input 13 4 3" xfId="10836"/>
    <cellStyle name="Input 13 4 3 2" xfId="18623"/>
    <cellStyle name="Input 13 4 3 2 2" xfId="44155"/>
    <cellStyle name="Input 13 4 3 2 3" xfId="48064"/>
    <cellStyle name="Input 13 4 3 2 4" xfId="36246"/>
    <cellStyle name="Input 13 4 3 3" xfId="19263"/>
    <cellStyle name="Input 13 4 3 3 2" xfId="44785"/>
    <cellStyle name="Input 13 4 3 3 3" xfId="48691"/>
    <cellStyle name="Input 13 4 3 3 4" xfId="36827"/>
    <cellStyle name="Input 13 4 3 4" xfId="19984"/>
    <cellStyle name="Input 13 4 3 4 2" xfId="45506"/>
    <cellStyle name="Input 13 4 3 4 3" xfId="49412"/>
    <cellStyle name="Input 13 4 3 4 4" xfId="37468"/>
    <cellStyle name="Input 13 4 3 5" xfId="21036"/>
    <cellStyle name="Input 13 4 3 5 2" xfId="46558"/>
    <cellStyle name="Input 13 4 3 5 3" xfId="50464"/>
    <cellStyle name="Input 13 4 3 5 4" xfId="38428"/>
    <cellStyle name="Input 13 4 3 6" xfId="21689"/>
    <cellStyle name="Input 13 4 3 6 2" xfId="47211"/>
    <cellStyle name="Input 13 4 3 6 3" xfId="51117"/>
    <cellStyle name="Input 13 4 3 7" xfId="41014"/>
    <cellStyle name="Input 13 4 3 8" xfId="43701"/>
    <cellStyle name="Input 13 4 4" xfId="14796"/>
    <cellStyle name="Input 13 4 4 2" xfId="42894"/>
    <cellStyle name="Input 13 4 4 3" xfId="39612"/>
    <cellStyle name="Input 13 4 4 4" xfId="32417"/>
    <cellStyle name="Input 13 4 5" xfId="11277"/>
    <cellStyle name="Input 13 4 5 2" xfId="41304"/>
    <cellStyle name="Input 13 4 5 3" xfId="43688"/>
    <cellStyle name="Input 13 4 5 4" xfId="28991"/>
    <cellStyle name="Input 13 4 6" xfId="11470"/>
    <cellStyle name="Input 13 4 6 2" xfId="41461"/>
    <cellStyle name="Input 13 4 6 3" xfId="42795"/>
    <cellStyle name="Input 13 4 6 4" xfId="29172"/>
    <cellStyle name="Input 13 4 7" xfId="20295"/>
    <cellStyle name="Input 13 4 7 2" xfId="45817"/>
    <cellStyle name="Input 13 4 7 3" xfId="49723"/>
    <cellStyle name="Input 13 4 7 4" xfId="37747"/>
    <cellStyle name="Input 13 4 8" xfId="20490"/>
    <cellStyle name="Input 13 4 8 2" xfId="46012"/>
    <cellStyle name="Input 13 4 8 3" xfId="49918"/>
    <cellStyle name="Input 13 4 9" xfId="39754"/>
    <cellStyle name="Input 13 5" xfId="22418"/>
    <cellStyle name="Input 13 6" xfId="22906"/>
    <cellStyle name="Input 13 7" xfId="52973"/>
    <cellStyle name="Input 13_Sheet1" xfId="1819"/>
    <cellStyle name="Input 14" xfId="1820"/>
    <cellStyle name="Input 14 2" xfId="1821"/>
    <cellStyle name="Input 14 2 2" xfId="1822"/>
    <cellStyle name="Input 14 2 2 2" xfId="7020"/>
    <cellStyle name="Input 14 2 2 2 10" xfId="40605"/>
    <cellStyle name="Input 14 2 2 2 2" xfId="10547"/>
    <cellStyle name="Input 14 2 2 2 2 2" xfId="18334"/>
    <cellStyle name="Input 14 2 2 2 2 2 2" xfId="43866"/>
    <cellStyle name="Input 14 2 2 2 2 2 3" xfId="47775"/>
    <cellStyle name="Input 14 2 2 2 2 2 4" xfId="35957"/>
    <cellStyle name="Input 14 2 2 2 2 3" xfId="19746"/>
    <cellStyle name="Input 14 2 2 2 2 3 2" xfId="45268"/>
    <cellStyle name="Input 14 2 2 2 2 3 3" xfId="49174"/>
    <cellStyle name="Input 14 2 2 2 2 3 4" xfId="37259"/>
    <cellStyle name="Input 14 2 2 2 2 4" xfId="19047"/>
    <cellStyle name="Input 14 2 2 2 2 4 2" xfId="44569"/>
    <cellStyle name="Input 14 2 2 2 2 4 3" xfId="48475"/>
    <cellStyle name="Input 14 2 2 2 2 4 4" xfId="36632"/>
    <cellStyle name="Input 14 2 2 2 2 5" xfId="20747"/>
    <cellStyle name="Input 14 2 2 2 2 5 2" xfId="46269"/>
    <cellStyle name="Input 14 2 2 2 2 5 3" xfId="50175"/>
    <cellStyle name="Input 14 2 2 2 2 5 4" xfId="38139"/>
    <cellStyle name="Input 14 2 2 2 2 6" xfId="21400"/>
    <cellStyle name="Input 14 2 2 2 2 6 2" xfId="46922"/>
    <cellStyle name="Input 14 2 2 2 2 6 3" xfId="50828"/>
    <cellStyle name="Input 14 2 2 2 2 7" xfId="40725"/>
    <cellStyle name="Input 14 2 2 2 2 8" xfId="40361"/>
    <cellStyle name="Input 14 2 2 2 3" xfId="10842"/>
    <cellStyle name="Input 14 2 2 2 3 2" xfId="18629"/>
    <cellStyle name="Input 14 2 2 2 3 2 2" xfId="44161"/>
    <cellStyle name="Input 14 2 2 2 3 2 3" xfId="48070"/>
    <cellStyle name="Input 14 2 2 2 3 2 4" xfId="36252"/>
    <cellStyle name="Input 14 2 2 2 3 3" xfId="19578"/>
    <cellStyle name="Input 14 2 2 2 3 3 2" xfId="45100"/>
    <cellStyle name="Input 14 2 2 2 3 3 3" xfId="49006"/>
    <cellStyle name="Input 14 2 2 2 3 3 4" xfId="37104"/>
    <cellStyle name="Input 14 2 2 2 3 4" xfId="11625"/>
    <cellStyle name="Input 14 2 2 2 3 4 2" xfId="41616"/>
    <cellStyle name="Input 14 2 2 2 3 4 3" xfId="41362"/>
    <cellStyle name="Input 14 2 2 2 3 4 4" xfId="29312"/>
    <cellStyle name="Input 14 2 2 2 3 5" xfId="21042"/>
    <cellStyle name="Input 14 2 2 2 3 5 2" xfId="46564"/>
    <cellStyle name="Input 14 2 2 2 3 5 3" xfId="50470"/>
    <cellStyle name="Input 14 2 2 2 3 5 4" xfId="38434"/>
    <cellStyle name="Input 14 2 2 2 3 6" xfId="21695"/>
    <cellStyle name="Input 14 2 2 2 3 6 2" xfId="47217"/>
    <cellStyle name="Input 14 2 2 2 3 6 3" xfId="51123"/>
    <cellStyle name="Input 14 2 2 2 3 7" xfId="41020"/>
    <cellStyle name="Input 14 2 2 2 3 8" xfId="39565"/>
    <cellStyle name="Input 14 2 2 2 4" xfId="14802"/>
    <cellStyle name="Input 14 2 2 2 4 2" xfId="42900"/>
    <cellStyle name="Input 14 2 2 2 4 3" xfId="43427"/>
    <cellStyle name="Input 14 2 2 2 4 4" xfId="32423"/>
    <cellStyle name="Input 14 2 2 2 5" xfId="12015"/>
    <cellStyle name="Input 14 2 2 2 5 2" xfId="41752"/>
    <cellStyle name="Input 14 2 2 2 5 3" xfId="39308"/>
    <cellStyle name="Input 14 2 2 2 5 4" xfId="29683"/>
    <cellStyle name="Input 14 2 2 2 6" xfId="12031"/>
    <cellStyle name="Input 14 2 2 2 6 2" xfId="41767"/>
    <cellStyle name="Input 14 2 2 2 6 3" xfId="43671"/>
    <cellStyle name="Input 14 2 2 2 6 4" xfId="29696"/>
    <cellStyle name="Input 14 2 2 2 7" xfId="11792"/>
    <cellStyle name="Input 14 2 2 2 7 2" xfId="41722"/>
    <cellStyle name="Input 14 2 2 2 7 3" xfId="39121"/>
    <cellStyle name="Input 14 2 2 2 7 4" xfId="29464"/>
    <cellStyle name="Input 14 2 2 2 8" xfId="19937"/>
    <cellStyle name="Input 14 2 2 2 8 2" xfId="45459"/>
    <cellStyle name="Input 14 2 2 2 8 3" xfId="49365"/>
    <cellStyle name="Input 14 2 2 2 9" xfId="39760"/>
    <cellStyle name="Input 14 2 2 3" xfId="52980"/>
    <cellStyle name="Input 14 2 3" xfId="7019"/>
    <cellStyle name="Input 14 2 3 10" xfId="43746"/>
    <cellStyle name="Input 14 2 3 2" xfId="10546"/>
    <cellStyle name="Input 14 2 3 2 2" xfId="18333"/>
    <cellStyle name="Input 14 2 3 2 2 2" xfId="43865"/>
    <cellStyle name="Input 14 2 3 2 2 3" xfId="47774"/>
    <cellStyle name="Input 14 2 3 2 2 4" xfId="35956"/>
    <cellStyle name="Input 14 2 3 2 3" xfId="19124"/>
    <cellStyle name="Input 14 2 3 2 3 2" xfId="44646"/>
    <cellStyle name="Input 14 2 3 2 3 3" xfId="48552"/>
    <cellStyle name="Input 14 2 3 2 3 4" xfId="36705"/>
    <cellStyle name="Input 14 2 3 2 4" xfId="19216"/>
    <cellStyle name="Input 14 2 3 2 4 2" xfId="44738"/>
    <cellStyle name="Input 14 2 3 2 4 3" xfId="48644"/>
    <cellStyle name="Input 14 2 3 2 4 4" xfId="36785"/>
    <cellStyle name="Input 14 2 3 2 5" xfId="20746"/>
    <cellStyle name="Input 14 2 3 2 5 2" xfId="46268"/>
    <cellStyle name="Input 14 2 3 2 5 3" xfId="50174"/>
    <cellStyle name="Input 14 2 3 2 5 4" xfId="38138"/>
    <cellStyle name="Input 14 2 3 2 6" xfId="21399"/>
    <cellStyle name="Input 14 2 3 2 6 2" xfId="46921"/>
    <cellStyle name="Input 14 2 3 2 6 3" xfId="50827"/>
    <cellStyle name="Input 14 2 3 2 7" xfId="40724"/>
    <cellStyle name="Input 14 2 3 2 8" xfId="43498"/>
    <cellStyle name="Input 14 2 3 3" xfId="10841"/>
    <cellStyle name="Input 14 2 3 3 2" xfId="18628"/>
    <cellStyle name="Input 14 2 3 3 2 2" xfId="44160"/>
    <cellStyle name="Input 14 2 3 3 2 3" xfId="48069"/>
    <cellStyle name="Input 14 2 3 3 2 4" xfId="36251"/>
    <cellStyle name="Input 14 2 3 3 3" xfId="12160"/>
    <cellStyle name="Input 14 2 3 3 3 2" xfId="41885"/>
    <cellStyle name="Input 14 2 3 3 3 3" xfId="39430"/>
    <cellStyle name="Input 14 2 3 3 3 4" xfId="29818"/>
    <cellStyle name="Input 14 2 3 3 4" xfId="20290"/>
    <cellStyle name="Input 14 2 3 3 4 2" xfId="45812"/>
    <cellStyle name="Input 14 2 3 3 4 3" xfId="49718"/>
    <cellStyle name="Input 14 2 3 3 4 4" xfId="37742"/>
    <cellStyle name="Input 14 2 3 3 5" xfId="21041"/>
    <cellStyle name="Input 14 2 3 3 5 2" xfId="46563"/>
    <cellStyle name="Input 14 2 3 3 5 3" xfId="50469"/>
    <cellStyle name="Input 14 2 3 3 5 4" xfId="38433"/>
    <cellStyle name="Input 14 2 3 3 6" xfId="21694"/>
    <cellStyle name="Input 14 2 3 3 6 2" xfId="47216"/>
    <cellStyle name="Input 14 2 3 3 6 3" xfId="51122"/>
    <cellStyle name="Input 14 2 3 3 7" xfId="41019"/>
    <cellStyle name="Input 14 2 3 3 8" xfId="40455"/>
    <cellStyle name="Input 14 2 3 4" xfId="14801"/>
    <cellStyle name="Input 14 2 3 4 2" xfId="42899"/>
    <cellStyle name="Input 14 2 3 4 3" xfId="42516"/>
    <cellStyle name="Input 14 2 3 4 4" xfId="32422"/>
    <cellStyle name="Input 14 2 3 5" xfId="13080"/>
    <cellStyle name="Input 14 2 3 5 2" xfId="42282"/>
    <cellStyle name="Input 14 2 3 5 3" xfId="42529"/>
    <cellStyle name="Input 14 2 3 5 4" xfId="30715"/>
    <cellStyle name="Input 14 2 3 6" xfId="20047"/>
    <cellStyle name="Input 14 2 3 6 2" xfId="45569"/>
    <cellStyle name="Input 14 2 3 6 3" xfId="49475"/>
    <cellStyle name="Input 14 2 3 6 4" xfId="37528"/>
    <cellStyle name="Input 14 2 3 7" xfId="20057"/>
    <cellStyle name="Input 14 2 3 7 2" xfId="45579"/>
    <cellStyle name="Input 14 2 3 7 3" xfId="49485"/>
    <cellStyle name="Input 14 2 3 7 4" xfId="37537"/>
    <cellStyle name="Input 14 2 3 8" xfId="11323"/>
    <cellStyle name="Input 14 2 3 8 2" xfId="41348"/>
    <cellStyle name="Input 14 2 3 8 3" xfId="42011"/>
    <cellStyle name="Input 14 2 3 9" xfId="39759"/>
    <cellStyle name="Input 14 2 4" xfId="52979"/>
    <cellStyle name="Input 14 2_Sheet1" xfId="1823"/>
    <cellStyle name="Input 14 3" xfId="1824"/>
    <cellStyle name="Input 14 3 2" xfId="7021"/>
    <cellStyle name="Input 14 3 2 10" xfId="39939"/>
    <cellStyle name="Input 14 3 2 2" xfId="10548"/>
    <cellStyle name="Input 14 3 2 2 2" xfId="18335"/>
    <cellStyle name="Input 14 3 2 2 2 2" xfId="43867"/>
    <cellStyle name="Input 14 3 2 2 2 3" xfId="47776"/>
    <cellStyle name="Input 14 3 2 2 2 4" xfId="35958"/>
    <cellStyle name="Input 14 3 2 2 3" xfId="11483"/>
    <cellStyle name="Input 14 3 2 2 3 2" xfId="41474"/>
    <cellStyle name="Input 14 3 2 2 3 3" xfId="43324"/>
    <cellStyle name="Input 14 3 2 2 3 4" xfId="29184"/>
    <cellStyle name="Input 14 3 2 2 4" xfId="19208"/>
    <cellStyle name="Input 14 3 2 2 4 2" xfId="44730"/>
    <cellStyle name="Input 14 3 2 2 4 3" xfId="48636"/>
    <cellStyle name="Input 14 3 2 2 4 4" xfId="36779"/>
    <cellStyle name="Input 14 3 2 2 5" xfId="20748"/>
    <cellStyle name="Input 14 3 2 2 5 2" xfId="46270"/>
    <cellStyle name="Input 14 3 2 2 5 3" xfId="50176"/>
    <cellStyle name="Input 14 3 2 2 5 4" xfId="38140"/>
    <cellStyle name="Input 14 3 2 2 6" xfId="21401"/>
    <cellStyle name="Input 14 3 2 2 6 2" xfId="46923"/>
    <cellStyle name="Input 14 3 2 2 6 3" xfId="50829"/>
    <cellStyle name="Input 14 3 2 2 7" xfId="40726"/>
    <cellStyle name="Input 14 3 2 2 8" xfId="39473"/>
    <cellStyle name="Input 14 3 2 3" xfId="10843"/>
    <cellStyle name="Input 14 3 2 3 2" xfId="18630"/>
    <cellStyle name="Input 14 3 2 3 2 2" xfId="44162"/>
    <cellStyle name="Input 14 3 2 3 2 3" xfId="48071"/>
    <cellStyle name="Input 14 3 2 3 2 4" xfId="36253"/>
    <cellStyle name="Input 14 3 2 3 3" xfId="20130"/>
    <cellStyle name="Input 14 3 2 3 3 2" xfId="45652"/>
    <cellStyle name="Input 14 3 2 3 3 3" xfId="49558"/>
    <cellStyle name="Input 14 3 2 3 3 4" xfId="37602"/>
    <cellStyle name="Input 14 3 2 3 4" xfId="18937"/>
    <cellStyle name="Input 14 3 2 3 4 2" xfId="44459"/>
    <cellStyle name="Input 14 3 2 3 4 3" xfId="48365"/>
    <cellStyle name="Input 14 3 2 3 4 4" xfId="36549"/>
    <cellStyle name="Input 14 3 2 3 5" xfId="21043"/>
    <cellStyle name="Input 14 3 2 3 5 2" xfId="46565"/>
    <cellStyle name="Input 14 3 2 3 5 3" xfId="50471"/>
    <cellStyle name="Input 14 3 2 3 5 4" xfId="38435"/>
    <cellStyle name="Input 14 3 2 3 6" xfId="21696"/>
    <cellStyle name="Input 14 3 2 3 6 2" xfId="47218"/>
    <cellStyle name="Input 14 3 2 3 6 3" xfId="51124"/>
    <cellStyle name="Input 14 3 2 3 7" xfId="41021"/>
    <cellStyle name="Input 14 3 2 3 8" xfId="42573"/>
    <cellStyle name="Input 14 3 2 4" xfId="14803"/>
    <cellStyle name="Input 14 3 2 4 2" xfId="42901"/>
    <cellStyle name="Input 14 3 2 4 3" xfId="40289"/>
    <cellStyle name="Input 14 3 2 4 4" xfId="32424"/>
    <cellStyle name="Input 14 3 2 5" xfId="13081"/>
    <cellStyle name="Input 14 3 2 5 2" xfId="42283"/>
    <cellStyle name="Input 14 3 2 5 3" xfId="43440"/>
    <cellStyle name="Input 14 3 2 5 4" xfId="30716"/>
    <cellStyle name="Input 14 3 2 6" xfId="19136"/>
    <cellStyle name="Input 14 3 2 6 2" xfId="44658"/>
    <cellStyle name="Input 14 3 2 6 3" xfId="48564"/>
    <cellStyle name="Input 14 3 2 6 4" xfId="36717"/>
    <cellStyle name="Input 14 3 2 7" xfId="12851"/>
    <cellStyle name="Input 14 3 2 7 2" xfId="42215"/>
    <cellStyle name="Input 14 3 2 7 3" xfId="40519"/>
    <cellStyle name="Input 14 3 2 7 4" xfId="30489"/>
    <cellStyle name="Input 14 3 2 8" xfId="11714"/>
    <cellStyle name="Input 14 3 2 8 2" xfId="41683"/>
    <cellStyle name="Input 14 3 2 8 3" xfId="40321"/>
    <cellStyle name="Input 14 3 2 9" xfId="39761"/>
    <cellStyle name="Input 14 3 3" xfId="52981"/>
    <cellStyle name="Input 14 4" xfId="7018"/>
    <cellStyle name="Input 14 4 10" xfId="43079"/>
    <cellStyle name="Input 14 4 11" xfId="52982"/>
    <cellStyle name="Input 14 4 2" xfId="10545"/>
    <cellStyle name="Input 14 4 2 2" xfId="18332"/>
    <cellStyle name="Input 14 4 2 2 2" xfId="43864"/>
    <cellStyle name="Input 14 4 2 2 3" xfId="47773"/>
    <cellStyle name="Input 14 4 2 2 4" xfId="35955"/>
    <cellStyle name="Input 14 4 2 3" xfId="19901"/>
    <cellStyle name="Input 14 4 2 3 2" xfId="45423"/>
    <cellStyle name="Input 14 4 2 3 3" xfId="49329"/>
    <cellStyle name="Input 14 4 2 3 4" xfId="37401"/>
    <cellStyle name="Input 14 4 2 4" xfId="19960"/>
    <cellStyle name="Input 14 4 2 4 2" xfId="45482"/>
    <cellStyle name="Input 14 4 2 4 3" xfId="49388"/>
    <cellStyle name="Input 14 4 2 4 4" xfId="37450"/>
    <cellStyle name="Input 14 4 2 5" xfId="20745"/>
    <cellStyle name="Input 14 4 2 5 2" xfId="46267"/>
    <cellStyle name="Input 14 4 2 5 3" xfId="50173"/>
    <cellStyle name="Input 14 4 2 5 4" xfId="38137"/>
    <cellStyle name="Input 14 4 2 6" xfId="21398"/>
    <cellStyle name="Input 14 4 2 6 2" xfId="46920"/>
    <cellStyle name="Input 14 4 2 6 3" xfId="50826"/>
    <cellStyle name="Input 14 4 2 7" xfId="40723"/>
    <cellStyle name="Input 14 4 2 8" xfId="42585"/>
    <cellStyle name="Input 14 4 3" xfId="10840"/>
    <cellStyle name="Input 14 4 3 2" xfId="18627"/>
    <cellStyle name="Input 14 4 3 2 2" xfId="44159"/>
    <cellStyle name="Input 14 4 3 2 3" xfId="48068"/>
    <cellStyle name="Input 14 4 3 2 4" xfId="36250"/>
    <cellStyle name="Input 14 4 3 3" xfId="12628"/>
    <cellStyle name="Input 14 4 3 3 2" xfId="42088"/>
    <cellStyle name="Input 14 4 3 3 3" xfId="43450"/>
    <cellStyle name="Input 14 4 3 3 4" xfId="30279"/>
    <cellStyle name="Input 14 4 3 4" xfId="18891"/>
    <cellStyle name="Input 14 4 3 4 2" xfId="44413"/>
    <cellStyle name="Input 14 4 3 4 3" xfId="48319"/>
    <cellStyle name="Input 14 4 3 4 4" xfId="36510"/>
    <cellStyle name="Input 14 4 3 5" xfId="21040"/>
    <cellStyle name="Input 14 4 3 5 2" xfId="46562"/>
    <cellStyle name="Input 14 4 3 5 3" xfId="50468"/>
    <cellStyle name="Input 14 4 3 5 4" xfId="38432"/>
    <cellStyle name="Input 14 4 3 6" xfId="21693"/>
    <cellStyle name="Input 14 4 3 6 2" xfId="47215"/>
    <cellStyle name="Input 14 4 3 6 3" xfId="51121"/>
    <cellStyle name="Input 14 4 3 7" xfId="41018"/>
    <cellStyle name="Input 14 4 3 8" xfId="43597"/>
    <cellStyle name="Input 14 4 4" xfId="14800"/>
    <cellStyle name="Input 14 4 4 2" xfId="42898"/>
    <cellStyle name="Input 14 4 4 3" xfId="39506"/>
    <cellStyle name="Input 14 4 4 4" xfId="32421"/>
    <cellStyle name="Input 14 4 5" xfId="13079"/>
    <cellStyle name="Input 14 4 5 2" xfId="42281"/>
    <cellStyle name="Input 14 4 5 3" xfId="39519"/>
    <cellStyle name="Input 14 4 5 4" xfId="30714"/>
    <cellStyle name="Input 14 4 6" xfId="12849"/>
    <cellStyle name="Input 14 4 6 2" xfId="42213"/>
    <cellStyle name="Input 14 4 6 3" xfId="42773"/>
    <cellStyle name="Input 14 4 6 4" xfId="30487"/>
    <cellStyle name="Input 14 4 7" xfId="19005"/>
    <cellStyle name="Input 14 4 7 2" xfId="44527"/>
    <cellStyle name="Input 14 4 7 3" xfId="48433"/>
    <cellStyle name="Input 14 4 7 4" xfId="36599"/>
    <cellStyle name="Input 14 4 8" xfId="20281"/>
    <cellStyle name="Input 14 4 8 2" xfId="45803"/>
    <cellStyle name="Input 14 4 8 3" xfId="49709"/>
    <cellStyle name="Input 14 4 9" xfId="39758"/>
    <cellStyle name="Input 14 5" xfId="22419"/>
    <cellStyle name="Input 14 6" xfId="22905"/>
    <cellStyle name="Input 14 7" xfId="52978"/>
    <cellStyle name="Input 14_Sheet1" xfId="1825"/>
    <cellStyle name="Input 15" xfId="1826"/>
    <cellStyle name="Input 15 2" xfId="1827"/>
    <cellStyle name="Input 15 2 2" xfId="1828"/>
    <cellStyle name="Input 15 2 2 2" xfId="7024"/>
    <cellStyle name="Input 15 2 2 2 10" xfId="40485"/>
    <cellStyle name="Input 15 2 2 2 2" xfId="10551"/>
    <cellStyle name="Input 15 2 2 2 2 2" xfId="18338"/>
    <cellStyle name="Input 15 2 2 2 2 2 2" xfId="43870"/>
    <cellStyle name="Input 15 2 2 2 2 2 3" xfId="47779"/>
    <cellStyle name="Input 15 2 2 2 2 2 4" xfId="35961"/>
    <cellStyle name="Input 15 2 2 2 2 3" xfId="19603"/>
    <cellStyle name="Input 15 2 2 2 2 3 2" xfId="45125"/>
    <cellStyle name="Input 15 2 2 2 2 3 3" xfId="49031"/>
    <cellStyle name="Input 15 2 2 2 2 3 4" xfId="37129"/>
    <cellStyle name="Input 15 2 2 2 2 4" xfId="12990"/>
    <cellStyle name="Input 15 2 2 2 2 4 2" xfId="42236"/>
    <cellStyle name="Input 15 2 2 2 2 4 3" xfId="43295"/>
    <cellStyle name="Input 15 2 2 2 2 4 4" xfId="30625"/>
    <cellStyle name="Input 15 2 2 2 2 5" xfId="20751"/>
    <cellStyle name="Input 15 2 2 2 2 5 2" xfId="46273"/>
    <cellStyle name="Input 15 2 2 2 2 5 3" xfId="50179"/>
    <cellStyle name="Input 15 2 2 2 2 5 4" xfId="38143"/>
    <cellStyle name="Input 15 2 2 2 2 6" xfId="21404"/>
    <cellStyle name="Input 15 2 2 2 2 6 2" xfId="46926"/>
    <cellStyle name="Input 15 2 2 2 2 6 3" xfId="50832"/>
    <cellStyle name="Input 15 2 2 2 2 7" xfId="40729"/>
    <cellStyle name="Input 15 2 2 2 2 8" xfId="40228"/>
    <cellStyle name="Input 15 2 2 2 3" xfId="10846"/>
    <cellStyle name="Input 15 2 2 2 3 2" xfId="18633"/>
    <cellStyle name="Input 15 2 2 2 3 2 2" xfId="44165"/>
    <cellStyle name="Input 15 2 2 2 3 2 3" xfId="48074"/>
    <cellStyle name="Input 15 2 2 2 3 2 4" xfId="36256"/>
    <cellStyle name="Input 15 2 2 2 3 3" xfId="19262"/>
    <cellStyle name="Input 15 2 2 2 3 3 2" xfId="44784"/>
    <cellStyle name="Input 15 2 2 2 3 3 3" xfId="48690"/>
    <cellStyle name="Input 15 2 2 2 3 3 4" xfId="36826"/>
    <cellStyle name="Input 15 2 2 2 3 4" xfId="19222"/>
    <cellStyle name="Input 15 2 2 2 3 4 2" xfId="44744"/>
    <cellStyle name="Input 15 2 2 2 3 4 3" xfId="48650"/>
    <cellStyle name="Input 15 2 2 2 3 4 4" xfId="36789"/>
    <cellStyle name="Input 15 2 2 2 3 5" xfId="21046"/>
    <cellStyle name="Input 15 2 2 2 3 5 2" xfId="46568"/>
    <cellStyle name="Input 15 2 2 2 3 5 3" xfId="50474"/>
    <cellStyle name="Input 15 2 2 2 3 5 4" xfId="38438"/>
    <cellStyle name="Input 15 2 2 2 3 6" xfId="21699"/>
    <cellStyle name="Input 15 2 2 2 3 6 2" xfId="47221"/>
    <cellStyle name="Input 15 2 2 2 3 6 3" xfId="51127"/>
    <cellStyle name="Input 15 2 2 2 3 7" xfId="41024"/>
    <cellStyle name="Input 15 2 2 2 3 8" xfId="39461"/>
    <cellStyle name="Input 15 2 2 2 4" xfId="14806"/>
    <cellStyle name="Input 15 2 2 2 4 2" xfId="42904"/>
    <cellStyle name="Input 15 2 2 2 4 3" xfId="43275"/>
    <cellStyle name="Input 15 2 2 2 4 4" xfId="32427"/>
    <cellStyle name="Input 15 2 2 2 5" xfId="13083"/>
    <cellStyle name="Input 15 2 2 2 5 2" xfId="42285"/>
    <cellStyle name="Input 15 2 2 2 5 3" xfId="39419"/>
    <cellStyle name="Input 15 2 2 2 5 4" xfId="30718"/>
    <cellStyle name="Input 15 2 2 2 6" xfId="19518"/>
    <cellStyle name="Input 15 2 2 2 6 2" xfId="45040"/>
    <cellStyle name="Input 15 2 2 2 6 3" xfId="48946"/>
    <cellStyle name="Input 15 2 2 2 6 4" xfId="37051"/>
    <cellStyle name="Input 15 2 2 2 7" xfId="12788"/>
    <cellStyle name="Input 15 2 2 2 7 2" xfId="42189"/>
    <cellStyle name="Input 15 2 2 2 7 3" xfId="40030"/>
    <cellStyle name="Input 15 2 2 2 7 4" xfId="30431"/>
    <cellStyle name="Input 15 2 2 2 8" xfId="20078"/>
    <cellStyle name="Input 15 2 2 2 8 2" xfId="45600"/>
    <cellStyle name="Input 15 2 2 2 8 3" xfId="49506"/>
    <cellStyle name="Input 15 2 2 2 9" xfId="39764"/>
    <cellStyle name="Input 15 2 2 3" xfId="52985"/>
    <cellStyle name="Input 15 2 3" xfId="7023"/>
    <cellStyle name="Input 15 2 3 10" xfId="43627"/>
    <cellStyle name="Input 15 2 3 11" xfId="52986"/>
    <cellStyle name="Input 15 2 3 2" xfId="10550"/>
    <cellStyle name="Input 15 2 3 2 2" xfId="18337"/>
    <cellStyle name="Input 15 2 3 2 2 2" xfId="43869"/>
    <cellStyle name="Input 15 2 3 2 2 3" xfId="47778"/>
    <cellStyle name="Input 15 2 3 2 2 4" xfId="35960"/>
    <cellStyle name="Input 15 2 3 2 3" xfId="13314"/>
    <cellStyle name="Input 15 2 3 2 3 2" xfId="42465"/>
    <cellStyle name="Input 15 2 3 2 3 3" xfId="42656"/>
    <cellStyle name="Input 15 2 3 2 3 4" xfId="30940"/>
    <cellStyle name="Input 15 2 3 2 4" xfId="12680"/>
    <cellStyle name="Input 15 2 3 2 4 2" xfId="42140"/>
    <cellStyle name="Input 15 2 3 2 4 3" xfId="40522"/>
    <cellStyle name="Input 15 2 3 2 4 4" xfId="30327"/>
    <cellStyle name="Input 15 2 3 2 5" xfId="20750"/>
    <cellStyle name="Input 15 2 3 2 5 2" xfId="46272"/>
    <cellStyle name="Input 15 2 3 2 5 3" xfId="50178"/>
    <cellStyle name="Input 15 2 3 2 5 4" xfId="38142"/>
    <cellStyle name="Input 15 2 3 2 6" xfId="21403"/>
    <cellStyle name="Input 15 2 3 2 6 2" xfId="46925"/>
    <cellStyle name="Input 15 2 3 2 6 3" xfId="50831"/>
    <cellStyle name="Input 15 2 3 2 7" xfId="40728"/>
    <cellStyle name="Input 15 2 3 2 8" xfId="43366"/>
    <cellStyle name="Input 15 2 3 3" xfId="10845"/>
    <cellStyle name="Input 15 2 3 3 2" xfId="18632"/>
    <cellStyle name="Input 15 2 3 3 2 2" xfId="44164"/>
    <cellStyle name="Input 15 2 3 3 2 3" xfId="48073"/>
    <cellStyle name="Input 15 2 3 3 2 4" xfId="36255"/>
    <cellStyle name="Input 15 2 3 3 3" xfId="19996"/>
    <cellStyle name="Input 15 2 3 3 3 2" xfId="45518"/>
    <cellStyle name="Input 15 2 3 3 3 3" xfId="49424"/>
    <cellStyle name="Input 15 2 3 3 3 4" xfId="37480"/>
    <cellStyle name="Input 15 2 3 3 4" xfId="12531"/>
    <cellStyle name="Input 15 2 3 3 4 2" xfId="42014"/>
    <cellStyle name="Input 15 2 3 3 4 3" xfId="40423"/>
    <cellStyle name="Input 15 2 3 3 4 4" xfId="30185"/>
    <cellStyle name="Input 15 2 3 3 5" xfId="21045"/>
    <cellStyle name="Input 15 2 3 3 5 2" xfId="46567"/>
    <cellStyle name="Input 15 2 3 3 5 3" xfId="50473"/>
    <cellStyle name="Input 15 2 3 3 5 4" xfId="38437"/>
    <cellStyle name="Input 15 2 3 3 6" xfId="21698"/>
    <cellStyle name="Input 15 2 3 3 6 2" xfId="47220"/>
    <cellStyle name="Input 15 2 3 3 6 3" xfId="51126"/>
    <cellStyle name="Input 15 2 3 3 7" xfId="41023"/>
    <cellStyle name="Input 15 2 3 3 8" xfId="40349"/>
    <cellStyle name="Input 15 2 3 4" xfId="14805"/>
    <cellStyle name="Input 15 2 3 4 2" xfId="42903"/>
    <cellStyle name="Input 15 2 3 4 3" xfId="41921"/>
    <cellStyle name="Input 15 2 3 4 4" xfId="32426"/>
    <cellStyle name="Input 15 2 3 5" xfId="13082"/>
    <cellStyle name="Input 15 2 3 5 2" xfId="42284"/>
    <cellStyle name="Input 15 2 3 5 3" xfId="40302"/>
    <cellStyle name="Input 15 2 3 5 4" xfId="30717"/>
    <cellStyle name="Input 15 2 3 6" xfId="13896"/>
    <cellStyle name="Input 15 2 3 6 2" xfId="42612"/>
    <cellStyle name="Input 15 2 3 6 3" xfId="42519"/>
    <cellStyle name="Input 15 2 3 6 4" xfId="31521"/>
    <cellStyle name="Input 15 2 3 7" xfId="19363"/>
    <cellStyle name="Input 15 2 3 7 2" xfId="44885"/>
    <cellStyle name="Input 15 2 3 7 3" xfId="48791"/>
    <cellStyle name="Input 15 2 3 7 4" xfId="36915"/>
    <cellStyle name="Input 15 2 3 8" xfId="19962"/>
    <cellStyle name="Input 15 2 3 8 2" xfId="45484"/>
    <cellStyle name="Input 15 2 3 8 3" xfId="49390"/>
    <cellStyle name="Input 15 2 3 9" xfId="39763"/>
    <cellStyle name="Input 15 2 4" xfId="22421"/>
    <cellStyle name="Input 15 2 5" xfId="52984"/>
    <cellStyle name="Input 15 2_Sheet1" xfId="1829"/>
    <cellStyle name="Input 15 3" xfId="1830"/>
    <cellStyle name="Input 15 3 2" xfId="7025"/>
    <cellStyle name="Input 15 3 2 10" xfId="39595"/>
    <cellStyle name="Input 15 3 2 2" xfId="10552"/>
    <cellStyle name="Input 15 3 2 2 2" xfId="18339"/>
    <cellStyle name="Input 15 3 2 2 2 2" xfId="43871"/>
    <cellStyle name="Input 15 3 2 2 2 3" xfId="47780"/>
    <cellStyle name="Input 15 3 2 2 2 4" xfId="35962"/>
    <cellStyle name="Input 15 3 2 2 3" xfId="20158"/>
    <cellStyle name="Input 15 3 2 2 3 2" xfId="45680"/>
    <cellStyle name="Input 15 3 2 2 3 3" xfId="49586"/>
    <cellStyle name="Input 15 3 2 2 3 4" xfId="37630"/>
    <cellStyle name="Input 15 3 2 2 4" xfId="19075"/>
    <cellStyle name="Input 15 3 2 2 4 2" xfId="44597"/>
    <cellStyle name="Input 15 3 2 2 4 3" xfId="48503"/>
    <cellStyle name="Input 15 3 2 2 4 4" xfId="36657"/>
    <cellStyle name="Input 15 3 2 2 5" xfId="20752"/>
    <cellStyle name="Input 15 3 2 2 5 2" xfId="46274"/>
    <cellStyle name="Input 15 3 2 2 5 3" xfId="50180"/>
    <cellStyle name="Input 15 3 2 2 5 4" xfId="38144"/>
    <cellStyle name="Input 15 3 2 2 6" xfId="21405"/>
    <cellStyle name="Input 15 3 2 2 6 2" xfId="46927"/>
    <cellStyle name="Input 15 3 2 2 6 3" xfId="50833"/>
    <cellStyle name="Input 15 3 2 2 7" xfId="40730"/>
    <cellStyle name="Input 15 3 2 2 8" xfId="39368"/>
    <cellStyle name="Input 15 3 2 3" xfId="10847"/>
    <cellStyle name="Input 15 3 2 3 2" xfId="18634"/>
    <cellStyle name="Input 15 3 2 3 2 2" xfId="44166"/>
    <cellStyle name="Input 15 3 2 3 2 3" xfId="48075"/>
    <cellStyle name="Input 15 3 2 3 2 4" xfId="36257"/>
    <cellStyle name="Input 15 3 2 3 3" xfId="19871"/>
    <cellStyle name="Input 15 3 2 3 3 2" xfId="45393"/>
    <cellStyle name="Input 15 3 2 3 3 3" xfId="49299"/>
    <cellStyle name="Input 15 3 2 3 3 4" xfId="37371"/>
    <cellStyle name="Input 15 3 2 3 4" xfId="19059"/>
    <cellStyle name="Input 15 3 2 3 4 2" xfId="44581"/>
    <cellStyle name="Input 15 3 2 3 4 3" xfId="48487"/>
    <cellStyle name="Input 15 3 2 3 4 4" xfId="36642"/>
    <cellStyle name="Input 15 3 2 3 5" xfId="21047"/>
    <cellStyle name="Input 15 3 2 3 5 2" xfId="46569"/>
    <cellStyle name="Input 15 3 2 3 5 3" xfId="50475"/>
    <cellStyle name="Input 15 3 2 3 5 4" xfId="38439"/>
    <cellStyle name="Input 15 3 2 3 6" xfId="21700"/>
    <cellStyle name="Input 15 3 2 3 6 2" xfId="47222"/>
    <cellStyle name="Input 15 3 2 3 6 3" xfId="51128"/>
    <cellStyle name="Input 15 3 2 3 7" xfId="41025"/>
    <cellStyle name="Input 15 3 2 3 8" xfId="42029"/>
    <cellStyle name="Input 15 3 2 4" xfId="14807"/>
    <cellStyle name="Input 15 3 2 4 2" xfId="42905"/>
    <cellStyle name="Input 15 3 2 4 3" xfId="40134"/>
    <cellStyle name="Input 15 3 2 4 4" xfId="32428"/>
    <cellStyle name="Input 15 3 2 5" xfId="13084"/>
    <cellStyle name="Input 15 3 2 5 2" xfId="42286"/>
    <cellStyle name="Input 15 3 2 5 3" xfId="41945"/>
    <cellStyle name="Input 15 3 2 5 4" xfId="30719"/>
    <cellStyle name="Input 15 3 2 6" xfId="20211"/>
    <cellStyle name="Input 15 3 2 6 2" xfId="45733"/>
    <cellStyle name="Input 15 3 2 6 3" xfId="49639"/>
    <cellStyle name="Input 15 3 2 6 4" xfId="37674"/>
    <cellStyle name="Input 15 3 2 7" xfId="19148"/>
    <cellStyle name="Input 15 3 2 7 2" xfId="44670"/>
    <cellStyle name="Input 15 3 2 7 3" xfId="48576"/>
    <cellStyle name="Input 15 3 2 7 4" xfId="36726"/>
    <cellStyle name="Input 15 3 2 8" xfId="11446"/>
    <cellStyle name="Input 15 3 2 8 2" xfId="41437"/>
    <cellStyle name="Input 15 3 2 8 3" xfId="42796"/>
    <cellStyle name="Input 15 3 2 9" xfId="39765"/>
    <cellStyle name="Input 15 3 3" xfId="52987"/>
    <cellStyle name="Input 15 4" xfId="7022"/>
    <cellStyle name="Input 15 4 10" xfId="42739"/>
    <cellStyle name="Input 15 4 11" xfId="52988"/>
    <cellStyle name="Input 15 4 2" xfId="10549"/>
    <cellStyle name="Input 15 4 2 2" xfId="18336"/>
    <cellStyle name="Input 15 4 2 2 2" xfId="43868"/>
    <cellStyle name="Input 15 4 2 2 3" xfId="47777"/>
    <cellStyle name="Input 15 4 2 2 4" xfId="35959"/>
    <cellStyle name="Input 15 4 2 3" xfId="12151"/>
    <cellStyle name="Input 15 4 2 3 2" xfId="41876"/>
    <cellStyle name="Input 15 4 2 3 3" xfId="40530"/>
    <cellStyle name="Input 15 4 2 3 4" xfId="29809"/>
    <cellStyle name="Input 15 4 2 4" xfId="11747"/>
    <cellStyle name="Input 15 4 2 4 2" xfId="41704"/>
    <cellStyle name="Input 15 4 2 4 3" xfId="39316"/>
    <cellStyle name="Input 15 4 2 4 4" xfId="29420"/>
    <cellStyle name="Input 15 4 2 5" xfId="20749"/>
    <cellStyle name="Input 15 4 2 5 2" xfId="46271"/>
    <cellStyle name="Input 15 4 2 5 3" xfId="50177"/>
    <cellStyle name="Input 15 4 2 5 4" xfId="38141"/>
    <cellStyle name="Input 15 4 2 6" xfId="21402"/>
    <cellStyle name="Input 15 4 2 6 2" xfId="46924"/>
    <cellStyle name="Input 15 4 2 6 3" xfId="50830"/>
    <cellStyle name="Input 15 4 2 7" xfId="40727"/>
    <cellStyle name="Input 15 4 2 8" xfId="42047"/>
    <cellStyle name="Input 15 4 3" xfId="10844"/>
    <cellStyle name="Input 15 4 3 2" xfId="18631"/>
    <cellStyle name="Input 15 4 3 2 2" xfId="44163"/>
    <cellStyle name="Input 15 4 3 2 3" xfId="48072"/>
    <cellStyle name="Input 15 4 3 2 4" xfId="36254"/>
    <cellStyle name="Input 15 4 3 3" xfId="19389"/>
    <cellStyle name="Input 15 4 3 3 2" xfId="44911"/>
    <cellStyle name="Input 15 4 3 3 3" xfId="48817"/>
    <cellStyle name="Input 15 4 3 3 4" xfId="36940"/>
    <cellStyle name="Input 15 4 3 4" xfId="12010"/>
    <cellStyle name="Input 15 4 3 4 2" xfId="41750"/>
    <cellStyle name="Input 15 4 3 4 3" xfId="40319"/>
    <cellStyle name="Input 15 4 3 4 4" xfId="29678"/>
    <cellStyle name="Input 15 4 3 5" xfId="21044"/>
    <cellStyle name="Input 15 4 3 5 2" xfId="46566"/>
    <cellStyle name="Input 15 4 3 5 3" xfId="50472"/>
    <cellStyle name="Input 15 4 3 5 4" xfId="38436"/>
    <cellStyle name="Input 15 4 3 6" xfId="21697"/>
    <cellStyle name="Input 15 4 3 6 2" xfId="47219"/>
    <cellStyle name="Input 15 4 3 6 3" xfId="51125"/>
    <cellStyle name="Input 15 4 3 7" xfId="41022"/>
    <cellStyle name="Input 15 4 3 8" xfId="43486"/>
    <cellStyle name="Input 15 4 4" xfId="14804"/>
    <cellStyle name="Input 15 4 4 2" xfId="42902"/>
    <cellStyle name="Input 15 4 4 3" xfId="39406"/>
    <cellStyle name="Input 15 4 4 4" xfId="32425"/>
    <cellStyle name="Input 15 4 5" xfId="11281"/>
    <cellStyle name="Input 15 4 5 2" xfId="41308"/>
    <cellStyle name="Input 15 4 5 3" xfId="43582"/>
    <cellStyle name="Input 15 4 5 4" xfId="28995"/>
    <cellStyle name="Input 15 4 6" xfId="19975"/>
    <cellStyle name="Input 15 4 6 2" xfId="45497"/>
    <cellStyle name="Input 15 4 6 3" xfId="49403"/>
    <cellStyle name="Input 15 4 6 4" xfId="37460"/>
    <cellStyle name="Input 15 4 7" xfId="19374"/>
    <cellStyle name="Input 15 4 7 2" xfId="44896"/>
    <cellStyle name="Input 15 4 7 3" xfId="48802"/>
    <cellStyle name="Input 15 4 7 4" xfId="36926"/>
    <cellStyle name="Input 15 4 8" xfId="20608"/>
    <cellStyle name="Input 15 4 8 2" xfId="46130"/>
    <cellStyle name="Input 15 4 8 3" xfId="50036"/>
    <cellStyle name="Input 15 4 9" xfId="39762"/>
    <cellStyle name="Input 15 5" xfId="22420"/>
    <cellStyle name="Input 15 6" xfId="52983"/>
    <cellStyle name="Input 15_Sheet1" xfId="1831"/>
    <cellStyle name="Input 16" xfId="1832"/>
    <cellStyle name="Input 16 2" xfId="1833"/>
    <cellStyle name="Input 16 2 2" xfId="1834"/>
    <cellStyle name="Input 16 2 2 2" xfId="7028"/>
    <cellStyle name="Input 16 2 2 2 10" xfId="40379"/>
    <cellStyle name="Input 16 2 2 2 2" xfId="10555"/>
    <cellStyle name="Input 16 2 2 2 2 2" xfId="18342"/>
    <cellStyle name="Input 16 2 2 2 2 2 2" xfId="43874"/>
    <cellStyle name="Input 16 2 2 2 2 2 3" xfId="47783"/>
    <cellStyle name="Input 16 2 2 2 2 2 4" xfId="35965"/>
    <cellStyle name="Input 16 2 2 2 2 3" xfId="19290"/>
    <cellStyle name="Input 16 2 2 2 2 3 2" xfId="44812"/>
    <cellStyle name="Input 16 2 2 2 2 3 3" xfId="48718"/>
    <cellStyle name="Input 16 2 2 2 2 3 4" xfId="36854"/>
    <cellStyle name="Input 16 2 2 2 2 4" xfId="11645"/>
    <cellStyle name="Input 16 2 2 2 2 4 2" xfId="41636"/>
    <cellStyle name="Input 16 2 2 2 2 4 3" xfId="40430"/>
    <cellStyle name="Input 16 2 2 2 2 4 4" xfId="29330"/>
    <cellStyle name="Input 16 2 2 2 2 5" xfId="20755"/>
    <cellStyle name="Input 16 2 2 2 2 5 2" xfId="46277"/>
    <cellStyle name="Input 16 2 2 2 2 5 3" xfId="50183"/>
    <cellStyle name="Input 16 2 2 2 2 5 4" xfId="38147"/>
    <cellStyle name="Input 16 2 2 2 2 6" xfId="21408"/>
    <cellStyle name="Input 16 2 2 2 2 6 2" xfId="46930"/>
    <cellStyle name="Input 16 2 2 2 2 6 3" xfId="50836"/>
    <cellStyle name="Input 16 2 2 2 2 7" xfId="40733"/>
    <cellStyle name="Input 16 2 2 2 2 8" xfId="40230"/>
    <cellStyle name="Input 16 2 2 2 3" xfId="10850"/>
    <cellStyle name="Input 16 2 2 2 3 2" xfId="18637"/>
    <cellStyle name="Input 16 2 2 2 3 2 2" xfId="44169"/>
    <cellStyle name="Input 16 2 2 2 3 2 3" xfId="48078"/>
    <cellStyle name="Input 16 2 2 2 3 2 4" xfId="36260"/>
    <cellStyle name="Input 16 2 2 2 3 3" xfId="11508"/>
    <cellStyle name="Input 16 2 2 2 3 3 2" xfId="41499"/>
    <cellStyle name="Input 16 2 2 2 3 3 3" xfId="43188"/>
    <cellStyle name="Input 16 2 2 2 3 3 4" xfId="29209"/>
    <cellStyle name="Input 16 2 2 2 3 4" xfId="19522"/>
    <cellStyle name="Input 16 2 2 2 3 4 2" xfId="45044"/>
    <cellStyle name="Input 16 2 2 2 3 4 3" xfId="48950"/>
    <cellStyle name="Input 16 2 2 2 3 4 4" xfId="37055"/>
    <cellStyle name="Input 16 2 2 2 3 5" xfId="21050"/>
    <cellStyle name="Input 16 2 2 2 3 5 2" xfId="46572"/>
    <cellStyle name="Input 16 2 2 2 3 5 3" xfId="50478"/>
    <cellStyle name="Input 16 2 2 2 3 5 4" xfId="38442"/>
    <cellStyle name="Input 16 2 2 2 3 6" xfId="21703"/>
    <cellStyle name="Input 16 2 2 2 3 6 2" xfId="47225"/>
    <cellStyle name="Input 16 2 2 2 3 6 3" xfId="51131"/>
    <cellStyle name="Input 16 2 2 2 3 7" xfId="41028"/>
    <cellStyle name="Input 16 2 2 2 3 8" xfId="39350"/>
    <cellStyle name="Input 16 2 2 2 4" xfId="14810"/>
    <cellStyle name="Input 16 2 2 2 4 2" xfId="42908"/>
    <cellStyle name="Input 16 2 2 2 4 3" xfId="41263"/>
    <cellStyle name="Input 16 2 2 2 4 4" xfId="32431"/>
    <cellStyle name="Input 16 2 2 2 5" xfId="13086"/>
    <cellStyle name="Input 16 2 2 2 5 2" xfId="42288"/>
    <cellStyle name="Input 16 2 2 2 5 3" xfId="40153"/>
    <cellStyle name="Input 16 2 2 2 5 4" xfId="30721"/>
    <cellStyle name="Input 16 2 2 2 6" xfId="12848"/>
    <cellStyle name="Input 16 2 2 2 6 2" xfId="42212"/>
    <cellStyle name="Input 16 2 2 2 6 3" xfId="40029"/>
    <cellStyle name="Input 16 2 2 2 6 4" xfId="30486"/>
    <cellStyle name="Input 16 2 2 2 7" xfId="13294"/>
    <cellStyle name="Input 16 2 2 2 7 2" xfId="42445"/>
    <cellStyle name="Input 16 2 2 2 7 3" xfId="39618"/>
    <cellStyle name="Input 16 2 2 2 7 4" xfId="30924"/>
    <cellStyle name="Input 16 2 2 2 8" xfId="20258"/>
    <cellStyle name="Input 16 2 2 2 8 2" xfId="45780"/>
    <cellStyle name="Input 16 2 2 2 8 3" xfId="49686"/>
    <cellStyle name="Input 16 2 2 2 9" xfId="39768"/>
    <cellStyle name="Input 16 2 2 3" xfId="52991"/>
    <cellStyle name="Input 16 2 3" xfId="7027"/>
    <cellStyle name="Input 16 2 3 10" xfId="43516"/>
    <cellStyle name="Input 16 2 3 11" xfId="52992"/>
    <cellStyle name="Input 16 2 3 2" xfId="10554"/>
    <cellStyle name="Input 16 2 3 2 2" xfId="18341"/>
    <cellStyle name="Input 16 2 3 2 2 2" xfId="43873"/>
    <cellStyle name="Input 16 2 3 2 2 3" xfId="47782"/>
    <cellStyle name="Input 16 2 3 2 2 4" xfId="35964"/>
    <cellStyle name="Input 16 2 3 2 3" xfId="20024"/>
    <cellStyle name="Input 16 2 3 2 3 2" xfId="45546"/>
    <cellStyle name="Input 16 2 3 2 3 3" xfId="49452"/>
    <cellStyle name="Input 16 2 3 2 3 4" xfId="37508"/>
    <cellStyle name="Input 16 2 3 2 4" xfId="19826"/>
    <cellStyle name="Input 16 2 3 2 4 2" xfId="45348"/>
    <cellStyle name="Input 16 2 3 2 4 3" xfId="49254"/>
    <cellStyle name="Input 16 2 3 2 4 4" xfId="37330"/>
    <cellStyle name="Input 16 2 3 2 5" xfId="20754"/>
    <cellStyle name="Input 16 2 3 2 5 2" xfId="46276"/>
    <cellStyle name="Input 16 2 3 2 5 3" xfId="50182"/>
    <cellStyle name="Input 16 2 3 2 5 4" xfId="38146"/>
    <cellStyle name="Input 16 2 3 2 6" xfId="21407"/>
    <cellStyle name="Input 16 2 3 2 6 2" xfId="46929"/>
    <cellStyle name="Input 16 2 3 2 6 3" xfId="50835"/>
    <cellStyle name="Input 16 2 3 2 7" xfId="40732"/>
    <cellStyle name="Input 16 2 3 2 8" xfId="43368"/>
    <cellStyle name="Input 16 2 3 3" xfId="10849"/>
    <cellStyle name="Input 16 2 3 3 2" xfId="18636"/>
    <cellStyle name="Input 16 2 3 3 2 2" xfId="44168"/>
    <cellStyle name="Input 16 2 3 3 2 3" xfId="48077"/>
    <cellStyle name="Input 16 2 3 3 2 4" xfId="36259"/>
    <cellStyle name="Input 16 2 3 3 3" xfId="19707"/>
    <cellStyle name="Input 16 2 3 3 3 2" xfId="45229"/>
    <cellStyle name="Input 16 2 3 3 3 3" xfId="49135"/>
    <cellStyle name="Input 16 2 3 3 3 4" xfId="37220"/>
    <cellStyle name="Input 16 2 3 3 4" xfId="20271"/>
    <cellStyle name="Input 16 2 3 3 4 2" xfId="45793"/>
    <cellStyle name="Input 16 2 3 3 4 3" xfId="49699"/>
    <cellStyle name="Input 16 2 3 3 4 4" xfId="37725"/>
    <cellStyle name="Input 16 2 3 3 5" xfId="21049"/>
    <cellStyle name="Input 16 2 3 3 5 2" xfId="46571"/>
    <cellStyle name="Input 16 2 3 3 5 3" xfId="50477"/>
    <cellStyle name="Input 16 2 3 3 5 4" xfId="38441"/>
    <cellStyle name="Input 16 2 3 3 6" xfId="21702"/>
    <cellStyle name="Input 16 2 3 3 6 2" xfId="47224"/>
    <cellStyle name="Input 16 2 3 3 6 3" xfId="51130"/>
    <cellStyle name="Input 16 2 3 3 7" xfId="41027"/>
    <cellStyle name="Input 16 2 3 3 8" xfId="40210"/>
    <cellStyle name="Input 16 2 3 4" xfId="14809"/>
    <cellStyle name="Input 16 2 3 4 2" xfId="42907"/>
    <cellStyle name="Input 16 2 3 4 3" xfId="39035"/>
    <cellStyle name="Input 16 2 3 4 4" xfId="32430"/>
    <cellStyle name="Input 16 2 3 5" xfId="11282"/>
    <cellStyle name="Input 16 2 3 5 2" xfId="41309"/>
    <cellStyle name="Input 16 2 3 5 3" xfId="40441"/>
    <cellStyle name="Input 16 2 3 5 4" xfId="28996"/>
    <cellStyle name="Input 16 2 3 6" xfId="19210"/>
    <cellStyle name="Input 16 2 3 6 2" xfId="44732"/>
    <cellStyle name="Input 16 2 3 6 3" xfId="48638"/>
    <cellStyle name="Input 16 2 3 6 4" xfId="36781"/>
    <cellStyle name="Input 16 2 3 7" xfId="20469"/>
    <cellStyle name="Input 16 2 3 7 2" xfId="45991"/>
    <cellStyle name="Input 16 2 3 7 3" xfId="49897"/>
    <cellStyle name="Input 16 2 3 7 4" xfId="37905"/>
    <cellStyle name="Input 16 2 3 8" xfId="18991"/>
    <cellStyle name="Input 16 2 3 8 2" xfId="44513"/>
    <cellStyle name="Input 16 2 3 8 3" xfId="48419"/>
    <cellStyle name="Input 16 2 3 9" xfId="39767"/>
    <cellStyle name="Input 16 2 4" xfId="22423"/>
    <cellStyle name="Input 16 2 5" xfId="52990"/>
    <cellStyle name="Input 16 2_Sheet1" xfId="1835"/>
    <cellStyle name="Input 16 3" xfId="1836"/>
    <cellStyle name="Input 16 3 2" xfId="7029"/>
    <cellStyle name="Input 16 3 2 10" xfId="39491"/>
    <cellStyle name="Input 16 3 2 2" xfId="10556"/>
    <cellStyle name="Input 16 3 2 2 2" xfId="18343"/>
    <cellStyle name="Input 16 3 2 2 2 2" xfId="43875"/>
    <cellStyle name="Input 16 3 2 2 2 3" xfId="47784"/>
    <cellStyle name="Input 16 3 2 2 2 4" xfId="35966"/>
    <cellStyle name="Input 16 3 2 2 3" xfId="19899"/>
    <cellStyle name="Input 16 3 2 2 3 2" xfId="45421"/>
    <cellStyle name="Input 16 3 2 2 3 3" xfId="49327"/>
    <cellStyle name="Input 16 3 2 2 3 4" xfId="37399"/>
    <cellStyle name="Input 16 3 2 2 4" xfId="19195"/>
    <cellStyle name="Input 16 3 2 2 4 2" xfId="44717"/>
    <cellStyle name="Input 16 3 2 2 4 3" xfId="48623"/>
    <cellStyle name="Input 16 3 2 2 4 4" xfId="36766"/>
    <cellStyle name="Input 16 3 2 2 5" xfId="20756"/>
    <cellStyle name="Input 16 3 2 2 5 2" xfId="46278"/>
    <cellStyle name="Input 16 3 2 2 5 3" xfId="50184"/>
    <cellStyle name="Input 16 3 2 2 5 4" xfId="38148"/>
    <cellStyle name="Input 16 3 2 2 6" xfId="21409"/>
    <cellStyle name="Input 16 3 2 2 6 2" xfId="46931"/>
    <cellStyle name="Input 16 3 2 2 6 3" xfId="50837"/>
    <cellStyle name="Input 16 3 2 2 7" xfId="40734"/>
    <cellStyle name="Input 16 3 2 2 8" xfId="42826"/>
    <cellStyle name="Input 16 3 2 3" xfId="10851"/>
    <cellStyle name="Input 16 3 2 3 2" xfId="18638"/>
    <cellStyle name="Input 16 3 2 3 2 2" xfId="44170"/>
    <cellStyle name="Input 16 3 2 3 2 3" xfId="48079"/>
    <cellStyle name="Input 16 3 2 3 2 4" xfId="36261"/>
    <cellStyle name="Input 16 3 2 3 3" xfId="19708"/>
    <cellStyle name="Input 16 3 2 3 3 2" xfId="45230"/>
    <cellStyle name="Input 16 3 2 3 3 3" xfId="49136"/>
    <cellStyle name="Input 16 3 2 3 3 4" xfId="37221"/>
    <cellStyle name="Input 16 3 2 3 4" xfId="19330"/>
    <cellStyle name="Input 16 3 2 3 4 2" xfId="44852"/>
    <cellStyle name="Input 16 3 2 3 4 3" xfId="48758"/>
    <cellStyle name="Input 16 3 2 3 4 4" xfId="36888"/>
    <cellStyle name="Input 16 3 2 3 5" xfId="21051"/>
    <cellStyle name="Input 16 3 2 3 5 2" xfId="46573"/>
    <cellStyle name="Input 16 3 2 3 5 3" xfId="50479"/>
    <cellStyle name="Input 16 3 2 3 5 4" xfId="38443"/>
    <cellStyle name="Input 16 3 2 3 6" xfId="21704"/>
    <cellStyle name="Input 16 3 2 3 6 2" xfId="47226"/>
    <cellStyle name="Input 16 3 2 3 6 3" xfId="51132"/>
    <cellStyle name="Input 16 3 2 3 7" xfId="41029"/>
    <cellStyle name="Input 16 3 2 3 8" xfId="42030"/>
    <cellStyle name="Input 16 3 2 4" xfId="14811"/>
    <cellStyle name="Input 16 3 2 4 2" xfId="42909"/>
    <cellStyle name="Input 16 3 2 4 3" xfId="43156"/>
    <cellStyle name="Input 16 3 2 4 4" xfId="32432"/>
    <cellStyle name="Input 16 3 2 5" xfId="13087"/>
    <cellStyle name="Input 16 3 2 5 2" xfId="42289"/>
    <cellStyle name="Input 16 3 2 5 3" xfId="39276"/>
    <cellStyle name="Input 16 3 2 5 4" xfId="30722"/>
    <cellStyle name="Input 16 3 2 6" xfId="19311"/>
    <cellStyle name="Input 16 3 2 6 2" xfId="44833"/>
    <cellStyle name="Input 16 3 2 6 3" xfId="48739"/>
    <cellStyle name="Input 16 3 2 6 4" xfId="36875"/>
    <cellStyle name="Input 16 3 2 7" xfId="11587"/>
    <cellStyle name="Input 16 3 2 7 2" xfId="41578"/>
    <cellStyle name="Input 16 3 2 7 3" xfId="43678"/>
    <cellStyle name="Input 16 3 2 7 4" xfId="29280"/>
    <cellStyle name="Input 16 3 2 8" xfId="11338"/>
    <cellStyle name="Input 16 3 2 8 2" xfId="41357"/>
    <cellStyle name="Input 16 3 2 8 3" xfId="42693"/>
    <cellStyle name="Input 16 3 2 9" xfId="39769"/>
    <cellStyle name="Input 16 3 3" xfId="52993"/>
    <cellStyle name="Input 16 4" xfId="7026"/>
    <cellStyle name="Input 16 4 10" xfId="42603"/>
    <cellStyle name="Input 16 4 11" xfId="52994"/>
    <cellStyle name="Input 16 4 2" xfId="10553"/>
    <cellStyle name="Input 16 4 2 2" xfId="18340"/>
    <cellStyle name="Input 16 4 2 2 2" xfId="43872"/>
    <cellStyle name="Input 16 4 2 2 3" xfId="47781"/>
    <cellStyle name="Input 16 4 2 2 4" xfId="35963"/>
    <cellStyle name="Input 16 4 2 3" xfId="19417"/>
    <cellStyle name="Input 16 4 2 3 2" xfId="44939"/>
    <cellStyle name="Input 16 4 2 3 3" xfId="48845"/>
    <cellStyle name="Input 16 4 2 3 4" xfId="36968"/>
    <cellStyle name="Input 16 4 2 4" xfId="19557"/>
    <cellStyle name="Input 16 4 2 4 2" xfId="45079"/>
    <cellStyle name="Input 16 4 2 4 3" xfId="48985"/>
    <cellStyle name="Input 16 4 2 4 4" xfId="37084"/>
    <cellStyle name="Input 16 4 2 5" xfId="20753"/>
    <cellStyle name="Input 16 4 2 5 2" xfId="46275"/>
    <cellStyle name="Input 16 4 2 5 3" xfId="50181"/>
    <cellStyle name="Input 16 4 2 5 4" xfId="38145"/>
    <cellStyle name="Input 16 4 2 6" xfId="21406"/>
    <cellStyle name="Input 16 4 2 6 2" xfId="46928"/>
    <cellStyle name="Input 16 4 2 6 3" xfId="50834"/>
    <cellStyle name="Input 16 4 2 7" xfId="40731"/>
    <cellStyle name="Input 16 4 2 8" xfId="42049"/>
    <cellStyle name="Input 16 4 3" xfId="10848"/>
    <cellStyle name="Input 16 4 3 2" xfId="18635"/>
    <cellStyle name="Input 16 4 3 2 2" xfId="44167"/>
    <cellStyle name="Input 16 4 3 2 3" xfId="48076"/>
    <cellStyle name="Input 16 4 3 2 4" xfId="36258"/>
    <cellStyle name="Input 16 4 3 3" xfId="19094"/>
    <cellStyle name="Input 16 4 3 3 2" xfId="44616"/>
    <cellStyle name="Input 16 4 3 3 3" xfId="48522"/>
    <cellStyle name="Input 16 4 3 3 4" xfId="36675"/>
    <cellStyle name="Input 16 4 3 4" xfId="19545"/>
    <cellStyle name="Input 16 4 3 4 2" xfId="45067"/>
    <cellStyle name="Input 16 4 3 4 3" xfId="48973"/>
    <cellStyle name="Input 16 4 3 4 4" xfId="37072"/>
    <cellStyle name="Input 16 4 3 5" xfId="21048"/>
    <cellStyle name="Input 16 4 3 5 2" xfId="46570"/>
    <cellStyle name="Input 16 4 3 5 3" xfId="50476"/>
    <cellStyle name="Input 16 4 3 5 4" xfId="38440"/>
    <cellStyle name="Input 16 4 3 6" xfId="21701"/>
    <cellStyle name="Input 16 4 3 6 2" xfId="47223"/>
    <cellStyle name="Input 16 4 3 6 3" xfId="51129"/>
    <cellStyle name="Input 16 4 3 7" xfId="41026"/>
    <cellStyle name="Input 16 4 3 8" xfId="43348"/>
    <cellStyle name="Input 16 4 4" xfId="14808"/>
    <cellStyle name="Input 16 4 4 2" xfId="42906"/>
    <cellStyle name="Input 16 4 4 3" xfId="39248"/>
    <cellStyle name="Input 16 4 4 4" xfId="32429"/>
    <cellStyle name="Input 16 4 5" xfId="13085"/>
    <cellStyle name="Input 16 4 5 2" xfId="42287"/>
    <cellStyle name="Input 16 4 5 3" xfId="43293"/>
    <cellStyle name="Input 16 4 5 4" xfId="30720"/>
    <cellStyle name="Input 16 4 6" xfId="19318"/>
    <cellStyle name="Input 16 4 6 2" xfId="44840"/>
    <cellStyle name="Input 16 4 6 3" xfId="48746"/>
    <cellStyle name="Input 16 4 6 4" xfId="36879"/>
    <cellStyle name="Input 16 4 7" xfId="20090"/>
    <cellStyle name="Input 16 4 7 2" xfId="45612"/>
    <cellStyle name="Input 16 4 7 3" xfId="49518"/>
    <cellStyle name="Input 16 4 7 4" xfId="37565"/>
    <cellStyle name="Input 16 4 8" xfId="19939"/>
    <cellStyle name="Input 16 4 8 2" xfId="45461"/>
    <cellStyle name="Input 16 4 8 3" xfId="49367"/>
    <cellStyle name="Input 16 4 9" xfId="39766"/>
    <cellStyle name="Input 16 5" xfId="22422"/>
    <cellStyle name="Input 16 6" xfId="52989"/>
    <cellStyle name="Input 16_Sheet1" xfId="1837"/>
    <cellStyle name="Input 17" xfId="1838"/>
    <cellStyle name="Input 17 2" xfId="1839"/>
    <cellStyle name="Input 17 2 2" xfId="1840"/>
    <cellStyle name="Input 17 2 2 2" xfId="7032"/>
    <cellStyle name="Input 17 2 2 2 10" xfId="40261"/>
    <cellStyle name="Input 17 2 2 2 2" xfId="10559"/>
    <cellStyle name="Input 17 2 2 2 2 2" xfId="18346"/>
    <cellStyle name="Input 17 2 2 2 2 2 2" xfId="43878"/>
    <cellStyle name="Input 17 2 2 2 2 2 3" xfId="47787"/>
    <cellStyle name="Input 17 2 2 2 2 2 4" xfId="35969"/>
    <cellStyle name="Input 17 2 2 2 2 3" xfId="11485"/>
    <cellStyle name="Input 17 2 2 2 2 3 2" xfId="41476"/>
    <cellStyle name="Input 17 2 2 2 2 3 3" xfId="39328"/>
    <cellStyle name="Input 17 2 2 2 2 3 4" xfId="29186"/>
    <cellStyle name="Input 17 2 2 2 2 4" xfId="19838"/>
    <cellStyle name="Input 17 2 2 2 2 4 2" xfId="45360"/>
    <cellStyle name="Input 17 2 2 2 2 4 3" xfId="49266"/>
    <cellStyle name="Input 17 2 2 2 2 4 4" xfId="37340"/>
    <cellStyle name="Input 17 2 2 2 2 5" xfId="20759"/>
    <cellStyle name="Input 17 2 2 2 2 5 2" xfId="46281"/>
    <cellStyle name="Input 17 2 2 2 2 5 3" xfId="50187"/>
    <cellStyle name="Input 17 2 2 2 2 5 4" xfId="38151"/>
    <cellStyle name="Input 17 2 2 2 2 6" xfId="21412"/>
    <cellStyle name="Input 17 2 2 2 2 6 2" xfId="46934"/>
    <cellStyle name="Input 17 2 2 2 2 6 3" xfId="50840"/>
    <cellStyle name="Input 17 2 2 2 2 7" xfId="40737"/>
    <cellStyle name="Input 17 2 2 2 2 8" xfId="39685"/>
    <cellStyle name="Input 17 2 2 2 3" xfId="10854"/>
    <cellStyle name="Input 17 2 2 2 3 2" xfId="18641"/>
    <cellStyle name="Input 17 2 2 2 3 2 2" xfId="44173"/>
    <cellStyle name="Input 17 2 2 2 3 2 3" xfId="48082"/>
    <cellStyle name="Input 17 2 2 2 3 2 4" xfId="36264"/>
    <cellStyle name="Input 17 2 2 2 3 3" xfId="11509"/>
    <cellStyle name="Input 17 2 2 2 3 3 2" xfId="41500"/>
    <cellStyle name="Input 17 2 2 2 3 3 3" xfId="40047"/>
    <cellStyle name="Input 17 2 2 2 3 3 4" xfId="29210"/>
    <cellStyle name="Input 17 2 2 2 3 4" xfId="19971"/>
    <cellStyle name="Input 17 2 2 2 3 4 2" xfId="45493"/>
    <cellStyle name="Input 17 2 2 2 3 4 3" xfId="49399"/>
    <cellStyle name="Input 17 2 2 2 3 4 4" xfId="37456"/>
    <cellStyle name="Input 17 2 2 2 3 5" xfId="21054"/>
    <cellStyle name="Input 17 2 2 2 3 5 2" xfId="46576"/>
    <cellStyle name="Input 17 2 2 2 3 5 3" xfId="50482"/>
    <cellStyle name="Input 17 2 2 2 3 5 4" xfId="38446"/>
    <cellStyle name="Input 17 2 2 2 3 6" xfId="21707"/>
    <cellStyle name="Input 17 2 2 2 3 6 2" xfId="47229"/>
    <cellStyle name="Input 17 2 2 2 3 6 3" xfId="51135"/>
    <cellStyle name="Input 17 2 2 2 3 7" xfId="41032"/>
    <cellStyle name="Input 17 2 2 2 3 8" xfId="39351"/>
    <cellStyle name="Input 17 2 2 2 4" xfId="14814"/>
    <cellStyle name="Input 17 2 2 2 4 2" xfId="42912"/>
    <cellStyle name="Input 17 2 2 2 4 3" xfId="43644"/>
    <cellStyle name="Input 17 2 2 2 4 4" xfId="32435"/>
    <cellStyle name="Input 17 2 2 2 5" xfId="13089"/>
    <cellStyle name="Input 17 2 2 2 5 2" xfId="42291"/>
    <cellStyle name="Input 17 2 2 2 5 3" xfId="47461"/>
    <cellStyle name="Input 17 2 2 2 5 4" xfId="30724"/>
    <cellStyle name="Input 17 2 2 2 6" xfId="19761"/>
    <cellStyle name="Input 17 2 2 2 6 2" xfId="45283"/>
    <cellStyle name="Input 17 2 2 2 6 3" xfId="49189"/>
    <cellStyle name="Input 17 2 2 2 6 4" xfId="37274"/>
    <cellStyle name="Input 17 2 2 2 7" xfId="12903"/>
    <cellStyle name="Input 17 2 2 2 7 2" xfId="42227"/>
    <cellStyle name="Input 17 2 2 2 7 3" xfId="47581"/>
    <cellStyle name="Input 17 2 2 2 7 4" xfId="30539"/>
    <cellStyle name="Input 17 2 2 2 8" xfId="20607"/>
    <cellStyle name="Input 17 2 2 2 8 2" xfId="46129"/>
    <cellStyle name="Input 17 2 2 2 8 3" xfId="50035"/>
    <cellStyle name="Input 17 2 2 2 9" xfId="39772"/>
    <cellStyle name="Input 17 2 2 3" xfId="52997"/>
    <cellStyle name="Input 17 2 3" xfId="7031"/>
    <cellStyle name="Input 17 2 3 10" xfId="43399"/>
    <cellStyle name="Input 17 2 3 11" xfId="52998"/>
    <cellStyle name="Input 17 2 3 2" xfId="10558"/>
    <cellStyle name="Input 17 2 3 2 2" xfId="18345"/>
    <cellStyle name="Input 17 2 3 2 2 2" xfId="43877"/>
    <cellStyle name="Input 17 2 3 2 2 3" xfId="47786"/>
    <cellStyle name="Input 17 2 3 2 2 4" xfId="35968"/>
    <cellStyle name="Input 17 2 3 2 3" xfId="19744"/>
    <cellStyle name="Input 17 2 3 2 3 2" xfId="45266"/>
    <cellStyle name="Input 17 2 3 2 3 3" xfId="49172"/>
    <cellStyle name="Input 17 2 3 2 3 4" xfId="37257"/>
    <cellStyle name="Input 17 2 3 2 4" xfId="19049"/>
    <cellStyle name="Input 17 2 3 2 4 2" xfId="44571"/>
    <cellStyle name="Input 17 2 3 2 4 3" xfId="48477"/>
    <cellStyle name="Input 17 2 3 2 4 4" xfId="36634"/>
    <cellStyle name="Input 17 2 3 2 5" xfId="20758"/>
    <cellStyle name="Input 17 2 3 2 5 2" xfId="46280"/>
    <cellStyle name="Input 17 2 3 2 5 3" xfId="50186"/>
    <cellStyle name="Input 17 2 3 2 5 4" xfId="38150"/>
    <cellStyle name="Input 17 2 3 2 6" xfId="21411"/>
    <cellStyle name="Input 17 2 3 2 6 2" xfId="46933"/>
    <cellStyle name="Input 17 2 3 2 6 3" xfId="50839"/>
    <cellStyle name="Input 17 2 3 2 7" xfId="40736"/>
    <cellStyle name="Input 17 2 3 2 8" xfId="40574"/>
    <cellStyle name="Input 17 2 3 3" xfId="10853"/>
    <cellStyle name="Input 17 2 3 3 2" xfId="18640"/>
    <cellStyle name="Input 17 2 3 3 2 2" xfId="44172"/>
    <cellStyle name="Input 17 2 3 3 2 3" xfId="48081"/>
    <cellStyle name="Input 17 2 3 3 2 4" xfId="36263"/>
    <cellStyle name="Input 17 2 3 3 3" xfId="13327"/>
    <cellStyle name="Input 17 2 3 3 3 2" xfId="42478"/>
    <cellStyle name="Input 17 2 3 3 3 3" xfId="43651"/>
    <cellStyle name="Input 17 2 3 3 3 4" xfId="30953"/>
    <cellStyle name="Input 17 2 3 3 4" xfId="18948"/>
    <cellStyle name="Input 17 2 3 3 4 2" xfId="44470"/>
    <cellStyle name="Input 17 2 3 3 4 3" xfId="48376"/>
    <cellStyle name="Input 17 2 3 3 4 4" xfId="36560"/>
    <cellStyle name="Input 17 2 3 3 5" xfId="21053"/>
    <cellStyle name="Input 17 2 3 3 5 2" xfId="46575"/>
    <cellStyle name="Input 17 2 3 3 5 3" xfId="50481"/>
    <cellStyle name="Input 17 2 3 3 5 4" xfId="38445"/>
    <cellStyle name="Input 17 2 3 3 6" xfId="21706"/>
    <cellStyle name="Input 17 2 3 3 6 2" xfId="47228"/>
    <cellStyle name="Input 17 2 3 3 6 3" xfId="51134"/>
    <cellStyle name="Input 17 2 3 3 7" xfId="41031"/>
    <cellStyle name="Input 17 2 3 3 8" xfId="40211"/>
    <cellStyle name="Input 17 2 3 4" xfId="14813"/>
    <cellStyle name="Input 17 2 3 4 2" xfId="42911"/>
    <cellStyle name="Input 17 2 3 4 3" xfId="42757"/>
    <cellStyle name="Input 17 2 3 4 4" xfId="32434"/>
    <cellStyle name="Input 17 2 3 5" xfId="13088"/>
    <cellStyle name="Input 17 2 3 5 2" xfId="42290"/>
    <cellStyle name="Input 17 2 3 5 3" xfId="39078"/>
    <cellStyle name="Input 17 2 3 5 4" xfId="30723"/>
    <cellStyle name="Input 17 2 3 6" xfId="12516"/>
    <cellStyle name="Input 17 2 3 6 2" xfId="42005"/>
    <cellStyle name="Input 17 2 3 6 3" xfId="40167"/>
    <cellStyle name="Input 17 2 3 6 4" xfId="30170"/>
    <cellStyle name="Input 17 2 3 7" xfId="19929"/>
    <cellStyle name="Input 17 2 3 7 2" xfId="45451"/>
    <cellStyle name="Input 17 2 3 7 3" xfId="49357"/>
    <cellStyle name="Input 17 2 3 7 4" xfId="37424"/>
    <cellStyle name="Input 17 2 3 8" xfId="19322"/>
    <cellStyle name="Input 17 2 3 8 2" xfId="44844"/>
    <cellStyle name="Input 17 2 3 8 3" xfId="48750"/>
    <cellStyle name="Input 17 2 3 9" xfId="39771"/>
    <cellStyle name="Input 17 2 4" xfId="22425"/>
    <cellStyle name="Input 17 2 5" xfId="52996"/>
    <cellStyle name="Input 17 2_Sheet1" xfId="1841"/>
    <cellStyle name="Input 17 3" xfId="1842"/>
    <cellStyle name="Input 17 3 2" xfId="7033"/>
    <cellStyle name="Input 17 3 2 10" xfId="39389"/>
    <cellStyle name="Input 17 3 2 2" xfId="10560"/>
    <cellStyle name="Input 17 3 2 2 2" xfId="18347"/>
    <cellStyle name="Input 17 3 2 2 2 2" xfId="43879"/>
    <cellStyle name="Input 17 3 2 2 2 3" xfId="47788"/>
    <cellStyle name="Input 17 3 2 2 2 4" xfId="35970"/>
    <cellStyle name="Input 17 3 2 2 3" xfId="12152"/>
    <cellStyle name="Input 17 3 2 2 3 2" xfId="41877"/>
    <cellStyle name="Input 17 3 2 2 3 3" xfId="39639"/>
    <cellStyle name="Input 17 3 2 2 3 4" xfId="29810"/>
    <cellStyle name="Input 17 3 2 2 4" xfId="12751"/>
    <cellStyle name="Input 17 3 2 2 4 2" xfId="42177"/>
    <cellStyle name="Input 17 3 2 2 4 3" xfId="40159"/>
    <cellStyle name="Input 17 3 2 2 4 4" xfId="30395"/>
    <cellStyle name="Input 17 3 2 2 5" xfId="20760"/>
    <cellStyle name="Input 17 3 2 2 5 2" xfId="46282"/>
    <cellStyle name="Input 17 3 2 2 5 3" xfId="50188"/>
    <cellStyle name="Input 17 3 2 2 5 4" xfId="38152"/>
    <cellStyle name="Input 17 3 2 2 6" xfId="21413"/>
    <cellStyle name="Input 17 3 2 2 6 2" xfId="46935"/>
    <cellStyle name="Input 17 3 2 2 6 3" xfId="50841"/>
    <cellStyle name="Input 17 3 2 2 7" xfId="40738"/>
    <cellStyle name="Input 17 3 2 2 8" xfId="42722"/>
    <cellStyle name="Input 17 3 2 3" xfId="10855"/>
    <cellStyle name="Input 17 3 2 3 2" xfId="18642"/>
    <cellStyle name="Input 17 3 2 3 2 2" xfId="44174"/>
    <cellStyle name="Input 17 3 2 3 2 3" xfId="48083"/>
    <cellStyle name="Input 17 3 2 3 2 4" xfId="36265"/>
    <cellStyle name="Input 17 3 2 3 3" xfId="11510"/>
    <cellStyle name="Input 17 3 2 3 3 2" xfId="41501"/>
    <cellStyle name="Input 17 3 2 3 3 3" xfId="42793"/>
    <cellStyle name="Input 17 3 2 3 3 4" xfId="29211"/>
    <cellStyle name="Input 17 3 2 3 4" xfId="19206"/>
    <cellStyle name="Input 17 3 2 3 4 2" xfId="44728"/>
    <cellStyle name="Input 17 3 2 3 4 3" xfId="48634"/>
    <cellStyle name="Input 17 3 2 3 4 4" xfId="36777"/>
    <cellStyle name="Input 17 3 2 3 5" xfId="21055"/>
    <cellStyle name="Input 17 3 2 3 5 2" xfId="46577"/>
    <cellStyle name="Input 17 3 2 3 5 3" xfId="50483"/>
    <cellStyle name="Input 17 3 2 3 5 4" xfId="38447"/>
    <cellStyle name="Input 17 3 2 3 6" xfId="21708"/>
    <cellStyle name="Input 17 3 2 3 6 2" xfId="47230"/>
    <cellStyle name="Input 17 3 2 3 6 3" xfId="51136"/>
    <cellStyle name="Input 17 3 2 3 7" xfId="41033"/>
    <cellStyle name="Input 17 3 2 3 8" xfId="39160"/>
    <cellStyle name="Input 17 3 2 4" xfId="14815"/>
    <cellStyle name="Input 17 3 2 4 2" xfId="42913"/>
    <cellStyle name="Input 17 3 2 4 3" xfId="40503"/>
    <cellStyle name="Input 17 3 2 4 4" xfId="32436"/>
    <cellStyle name="Input 17 3 2 5" xfId="13090"/>
    <cellStyle name="Input 17 3 2 5 2" xfId="42292"/>
    <cellStyle name="Input 17 3 2 5 3" xfId="39077"/>
    <cellStyle name="Input 17 3 2 5 4" xfId="30725"/>
    <cellStyle name="Input 17 3 2 6" xfId="13281"/>
    <cellStyle name="Input 17 3 2 6 2" xfId="42432"/>
    <cellStyle name="Input 17 3 2 6 3" xfId="40296"/>
    <cellStyle name="Input 17 3 2 6 4" xfId="30912"/>
    <cellStyle name="Input 17 3 2 7" xfId="18877"/>
    <cellStyle name="Input 17 3 2 7 2" xfId="44399"/>
    <cellStyle name="Input 17 3 2 7 3" xfId="48305"/>
    <cellStyle name="Input 17 3 2 7 4" xfId="36499"/>
    <cellStyle name="Input 17 3 2 8" xfId="13907"/>
    <cellStyle name="Input 17 3 2 8 2" xfId="42623"/>
    <cellStyle name="Input 17 3 2 8 3" xfId="41271"/>
    <cellStyle name="Input 17 3 2 9" xfId="39773"/>
    <cellStyle name="Input 17 3 3" xfId="52999"/>
    <cellStyle name="Input 17 4" xfId="7030"/>
    <cellStyle name="Input 17 4 10" xfId="42172"/>
    <cellStyle name="Input 17 4 11" xfId="53000"/>
    <cellStyle name="Input 17 4 2" xfId="10557"/>
    <cellStyle name="Input 17 4 2 2" xfId="18344"/>
    <cellStyle name="Input 17 4 2 2 2" xfId="43876"/>
    <cellStyle name="Input 17 4 2 2 3" xfId="47785"/>
    <cellStyle name="Input 17 4 2 2 4" xfId="35967"/>
    <cellStyle name="Input 17 4 2 3" xfId="19122"/>
    <cellStyle name="Input 17 4 2 3 2" xfId="44644"/>
    <cellStyle name="Input 17 4 2 3 3" xfId="48550"/>
    <cellStyle name="Input 17 4 2 3 4" xfId="36703"/>
    <cellStyle name="Input 17 4 2 4" xfId="19855"/>
    <cellStyle name="Input 17 4 2 4 2" xfId="45377"/>
    <cellStyle name="Input 17 4 2 4 3" xfId="49283"/>
    <cellStyle name="Input 17 4 2 4 4" xfId="37355"/>
    <cellStyle name="Input 17 4 2 5" xfId="20757"/>
    <cellStyle name="Input 17 4 2 5 2" xfId="46279"/>
    <cellStyle name="Input 17 4 2 5 3" xfId="50185"/>
    <cellStyle name="Input 17 4 2 5 4" xfId="38149"/>
    <cellStyle name="Input 17 4 2 6" xfId="21410"/>
    <cellStyle name="Input 17 4 2 6 2" xfId="46932"/>
    <cellStyle name="Input 17 4 2 6 3" xfId="50838"/>
    <cellStyle name="Input 17 4 2 7" xfId="40735"/>
    <cellStyle name="Input 17 4 2 8" xfId="43715"/>
    <cellStyle name="Input 17 4 3" xfId="10852"/>
    <cellStyle name="Input 17 4 3 2" xfId="18639"/>
    <cellStyle name="Input 17 4 3 2 2" xfId="44171"/>
    <cellStyle name="Input 17 4 3 2 3" xfId="48080"/>
    <cellStyle name="Input 17 4 3 2 4" xfId="36262"/>
    <cellStyle name="Input 17 4 3 3" xfId="12629"/>
    <cellStyle name="Input 17 4 3 3 2" xfId="42089"/>
    <cellStyle name="Input 17 4 3 3 3" xfId="40311"/>
    <cellStyle name="Input 17 4 3 3 4" xfId="30280"/>
    <cellStyle name="Input 17 4 3 4" xfId="19183"/>
    <cellStyle name="Input 17 4 3 4 2" xfId="44705"/>
    <cellStyle name="Input 17 4 3 4 3" xfId="48611"/>
    <cellStyle name="Input 17 4 3 4 4" xfId="36756"/>
    <cellStyle name="Input 17 4 3 5" xfId="21052"/>
    <cellStyle name="Input 17 4 3 5 2" xfId="46574"/>
    <cellStyle name="Input 17 4 3 5 3" xfId="50480"/>
    <cellStyle name="Input 17 4 3 5 4" xfId="38444"/>
    <cellStyle name="Input 17 4 3 6" xfId="21705"/>
    <cellStyle name="Input 17 4 3 6 2" xfId="47227"/>
    <cellStyle name="Input 17 4 3 6 3" xfId="51133"/>
    <cellStyle name="Input 17 4 3 7" xfId="41030"/>
    <cellStyle name="Input 17 4 3 8" xfId="43349"/>
    <cellStyle name="Input 17 4 4" xfId="14812"/>
    <cellStyle name="Input 17 4 4 2" xfId="42910"/>
    <cellStyle name="Input 17 4 4 3" xfId="40015"/>
    <cellStyle name="Input 17 4 4 4" xfId="32433"/>
    <cellStyle name="Input 17 4 5" xfId="19566"/>
    <cellStyle name="Input 17 4 5 2" xfId="45088"/>
    <cellStyle name="Input 17 4 5 3" xfId="48994"/>
    <cellStyle name="Input 17 4 5 4" xfId="37092"/>
    <cellStyle name="Input 17 4 6" xfId="19229"/>
    <cellStyle name="Input 17 4 6 2" xfId="44751"/>
    <cellStyle name="Input 17 4 6 3" xfId="48657"/>
    <cellStyle name="Input 17 4 6 4" xfId="36793"/>
    <cellStyle name="Input 17 4 7" xfId="11550"/>
    <cellStyle name="Input 17 4 7 2" xfId="41541"/>
    <cellStyle name="Input 17 4 7 3" xfId="43681"/>
    <cellStyle name="Input 17 4 7 4" xfId="29248"/>
    <cellStyle name="Input 17 4 8" xfId="11111"/>
    <cellStyle name="Input 17 4 8 2" xfId="41252"/>
    <cellStyle name="Input 17 4 8 3" xfId="42697"/>
    <cellStyle name="Input 17 4 9" xfId="39770"/>
    <cellStyle name="Input 17 5" xfId="22424"/>
    <cellStyle name="Input 17 6" xfId="52995"/>
    <cellStyle name="Input 17_Sheet1" xfId="1843"/>
    <cellStyle name="Input 18" xfId="1844"/>
    <cellStyle name="Input 18 2" xfId="1845"/>
    <cellStyle name="Input 18 2 2" xfId="1846"/>
    <cellStyle name="Input 18 2 2 2" xfId="7036"/>
    <cellStyle name="Input 18 2 2 2 10" xfId="41700"/>
    <cellStyle name="Input 18 2 2 2 2" xfId="10563"/>
    <cellStyle name="Input 18 2 2 2 2 2" xfId="18350"/>
    <cellStyle name="Input 18 2 2 2 2 2 2" xfId="43882"/>
    <cellStyle name="Input 18 2 2 2 2 2 3" xfId="47791"/>
    <cellStyle name="Input 18 2 2 2 2 2 4" xfId="35973"/>
    <cellStyle name="Input 18 2 2 2 2 3" xfId="19416"/>
    <cellStyle name="Input 18 2 2 2 2 3 2" xfId="44938"/>
    <cellStyle name="Input 18 2 2 2 2 3 3" xfId="48844"/>
    <cellStyle name="Input 18 2 2 2 2 3 4" xfId="36967"/>
    <cellStyle name="Input 18 2 2 2 2 4" xfId="11555"/>
    <cellStyle name="Input 18 2 2 2 2 4 2" xfId="41546"/>
    <cellStyle name="Input 18 2 2 2 2 4 3" xfId="40435"/>
    <cellStyle name="Input 18 2 2 2 2 4 4" xfId="29252"/>
    <cellStyle name="Input 18 2 2 2 2 5" xfId="20763"/>
    <cellStyle name="Input 18 2 2 2 2 5 2" xfId="46285"/>
    <cellStyle name="Input 18 2 2 2 2 5 3" xfId="50191"/>
    <cellStyle name="Input 18 2 2 2 2 5 4" xfId="38155"/>
    <cellStyle name="Input 18 2 2 2 2 6" xfId="21416"/>
    <cellStyle name="Input 18 2 2 2 2 6 2" xfId="46938"/>
    <cellStyle name="Input 18 2 2 2 2 6 3" xfId="50844"/>
    <cellStyle name="Input 18 2 2 2 2 7" xfId="40741"/>
    <cellStyle name="Input 18 2 2 2 2 8" xfId="39579"/>
    <cellStyle name="Input 18 2 2 2 3" xfId="10858"/>
    <cellStyle name="Input 18 2 2 2 3 2" xfId="18645"/>
    <cellStyle name="Input 18 2 2 2 3 2 2" xfId="44177"/>
    <cellStyle name="Input 18 2 2 2 3 2 3" xfId="48086"/>
    <cellStyle name="Input 18 2 2 2 3 2 4" xfId="36268"/>
    <cellStyle name="Input 18 2 2 2 3 3" xfId="13328"/>
    <cellStyle name="Input 18 2 2 2 3 3 2" xfId="42479"/>
    <cellStyle name="Input 18 2 2 2 3 3 3" xfId="40510"/>
    <cellStyle name="Input 18 2 2 2 3 3 4" xfId="30954"/>
    <cellStyle name="Input 18 2 2 2 3 4" xfId="18949"/>
    <cellStyle name="Input 18 2 2 2 3 4 2" xfId="44471"/>
    <cellStyle name="Input 18 2 2 2 3 4 3" xfId="48377"/>
    <cellStyle name="Input 18 2 2 2 3 4 4" xfId="36561"/>
    <cellStyle name="Input 18 2 2 2 3 5" xfId="21058"/>
    <cellStyle name="Input 18 2 2 2 3 5 2" xfId="46580"/>
    <cellStyle name="Input 18 2 2 2 3 5 3" xfId="50486"/>
    <cellStyle name="Input 18 2 2 2 3 5 4" xfId="38450"/>
    <cellStyle name="Input 18 2 2 2 3 6" xfId="21711"/>
    <cellStyle name="Input 18 2 2 2 3 6 2" xfId="47233"/>
    <cellStyle name="Input 18 2 2 2 3 6 3" xfId="51139"/>
    <cellStyle name="Input 18 2 2 2 3 7" xfId="41036"/>
    <cellStyle name="Input 18 2 2 2 3 8" xfId="40063"/>
    <cellStyle name="Input 18 2 2 2 4" xfId="14818"/>
    <cellStyle name="Input 18 2 2 2 4 2" xfId="42916"/>
    <cellStyle name="Input 18 2 2 2 4 3" xfId="43535"/>
    <cellStyle name="Input 18 2 2 2 4 4" xfId="32439"/>
    <cellStyle name="Input 18 2 2 2 5" xfId="12462"/>
    <cellStyle name="Input 18 2 2 2 5 2" xfId="41964"/>
    <cellStyle name="Input 18 2 2 2 5 3" xfId="39290"/>
    <cellStyle name="Input 18 2 2 2 5 4" xfId="30119"/>
    <cellStyle name="Input 18 2 2 2 6" xfId="13286"/>
    <cellStyle name="Input 18 2 2 2 6 2" xfId="42437"/>
    <cellStyle name="Input 18 2 2 2 6 3" xfId="39259"/>
    <cellStyle name="Input 18 2 2 2 6 4" xfId="30916"/>
    <cellStyle name="Input 18 2 2 2 7" xfId="18918"/>
    <cellStyle name="Input 18 2 2 2 7 2" xfId="44440"/>
    <cellStyle name="Input 18 2 2 2 7 3" xfId="48346"/>
    <cellStyle name="Input 18 2 2 2 7 4" xfId="36532"/>
    <cellStyle name="Input 18 2 2 2 8" xfId="19659"/>
    <cellStyle name="Input 18 2 2 2 8 2" xfId="45181"/>
    <cellStyle name="Input 18 2 2 2 8 3" xfId="49087"/>
    <cellStyle name="Input 18 2 2 2 9" xfId="39776"/>
    <cellStyle name="Input 18 2 2 3" xfId="53003"/>
    <cellStyle name="Input 18 2 3" xfId="7035"/>
    <cellStyle name="Input 18 2 3 10" xfId="47576"/>
    <cellStyle name="Input 18 2 3 11" xfId="53004"/>
    <cellStyle name="Input 18 2 3 2" xfId="10562"/>
    <cellStyle name="Input 18 2 3 2 2" xfId="18349"/>
    <cellStyle name="Input 18 2 3 2 2 2" xfId="43881"/>
    <cellStyle name="Input 18 2 3 2 2 3" xfId="47790"/>
    <cellStyle name="Input 18 2 3 2 2 4" xfId="35972"/>
    <cellStyle name="Input 18 2 3 2 3" xfId="20157"/>
    <cellStyle name="Input 18 2 3 2 3 2" xfId="45679"/>
    <cellStyle name="Input 18 2 3 2 3 3" xfId="49585"/>
    <cellStyle name="Input 18 2 3 2 3 4" xfId="37629"/>
    <cellStyle name="Input 18 2 3 2 4" xfId="19077"/>
    <cellStyle name="Input 18 2 3 2 4 2" xfId="44599"/>
    <cellStyle name="Input 18 2 3 2 4 3" xfId="48505"/>
    <cellStyle name="Input 18 2 3 2 4 4" xfId="36659"/>
    <cellStyle name="Input 18 2 3 2 5" xfId="20762"/>
    <cellStyle name="Input 18 2 3 2 5 2" xfId="46284"/>
    <cellStyle name="Input 18 2 3 2 5 3" xfId="50190"/>
    <cellStyle name="Input 18 2 3 2 5 4" xfId="38154"/>
    <cellStyle name="Input 18 2 3 2 6" xfId="21415"/>
    <cellStyle name="Input 18 2 3 2 6 2" xfId="46937"/>
    <cellStyle name="Input 18 2 3 2 6 3" xfId="50843"/>
    <cellStyle name="Input 18 2 3 2 7" xfId="40740"/>
    <cellStyle name="Input 18 2 3 2 8" xfId="40469"/>
    <cellStyle name="Input 18 2 3 3" xfId="10857"/>
    <cellStyle name="Input 18 2 3 3 2" xfId="18644"/>
    <cellStyle name="Input 18 2 3 3 2 2" xfId="44176"/>
    <cellStyle name="Input 18 2 3 3 2 3" xfId="48085"/>
    <cellStyle name="Input 18 2 3 3 2 4" xfId="36267"/>
    <cellStyle name="Input 18 2 3 3 3" xfId="12161"/>
    <cellStyle name="Input 18 2 3 3 3 2" xfId="41886"/>
    <cellStyle name="Input 18 2 3 3 3 3" xfId="41960"/>
    <cellStyle name="Input 18 2 3 3 3 4" xfId="29819"/>
    <cellStyle name="Input 18 2 3 3 4" xfId="19505"/>
    <cellStyle name="Input 18 2 3 3 4 2" xfId="45027"/>
    <cellStyle name="Input 18 2 3 3 4 3" xfId="48933"/>
    <cellStyle name="Input 18 2 3 3 4 4" xfId="37039"/>
    <cellStyle name="Input 18 2 3 3 5" xfId="21057"/>
    <cellStyle name="Input 18 2 3 3 5 2" xfId="46579"/>
    <cellStyle name="Input 18 2 3 3 5 3" xfId="50485"/>
    <cellStyle name="Input 18 2 3 3 5 4" xfId="38449"/>
    <cellStyle name="Input 18 2 3 3 6" xfId="21710"/>
    <cellStyle name="Input 18 2 3 3 6 2" xfId="47232"/>
    <cellStyle name="Input 18 2 3 3 6 3" xfId="51138"/>
    <cellStyle name="Input 18 2 3 3 7" xfId="41035"/>
    <cellStyle name="Input 18 2 3 3 8" xfId="43204"/>
    <cellStyle name="Input 18 2 3 4" xfId="14817"/>
    <cellStyle name="Input 18 2 3 4 2" xfId="42915"/>
    <cellStyle name="Input 18 2 3 4 3" xfId="42647"/>
    <cellStyle name="Input 18 2 3 4 4" xfId="32438"/>
    <cellStyle name="Input 18 2 3 5" xfId="12461"/>
    <cellStyle name="Input 18 2 3 5 2" xfId="41963"/>
    <cellStyle name="Input 18 2 3 5 3" xfId="40168"/>
    <cellStyle name="Input 18 2 3 5 4" xfId="30118"/>
    <cellStyle name="Input 18 2 3 6" xfId="20083"/>
    <cellStyle name="Input 18 2 3 6 2" xfId="45605"/>
    <cellStyle name="Input 18 2 3 6 3" xfId="49511"/>
    <cellStyle name="Input 18 2 3 6 4" xfId="37559"/>
    <cellStyle name="Input 18 2 3 7" xfId="20482"/>
    <cellStyle name="Input 18 2 3 7 2" xfId="46004"/>
    <cellStyle name="Input 18 2 3 7 3" xfId="49910"/>
    <cellStyle name="Input 18 2 3 7 4" xfId="37912"/>
    <cellStyle name="Input 18 2 3 8" xfId="11777"/>
    <cellStyle name="Input 18 2 3 8 2" xfId="41711"/>
    <cellStyle name="Input 18 2 3 8 3" xfId="39129"/>
    <cellStyle name="Input 18 2 3 9" xfId="39775"/>
    <cellStyle name="Input 18 2 4" xfId="22427"/>
    <cellStyle name="Input 18 2 5" xfId="53002"/>
    <cellStyle name="Input 18 2_Sheet1" xfId="1847"/>
    <cellStyle name="Input 18 3" xfId="1848"/>
    <cellStyle name="Input 18 3 2" xfId="7037"/>
    <cellStyle name="Input 18 3 2 10" xfId="43250"/>
    <cellStyle name="Input 18 3 2 2" xfId="10564"/>
    <cellStyle name="Input 18 3 2 2 2" xfId="18351"/>
    <cellStyle name="Input 18 3 2 2 2 2" xfId="43883"/>
    <cellStyle name="Input 18 3 2 2 2 3" xfId="47792"/>
    <cellStyle name="Input 18 3 2 2 2 4" xfId="35974"/>
    <cellStyle name="Input 18 3 2 2 3" xfId="20023"/>
    <cellStyle name="Input 18 3 2 2 3 2" xfId="45545"/>
    <cellStyle name="Input 18 3 2 2 3 3" xfId="49451"/>
    <cellStyle name="Input 18 3 2 2 3 4" xfId="37507"/>
    <cellStyle name="Input 18 3 2 2 4" xfId="13258"/>
    <cellStyle name="Input 18 3 2 2 4 2" xfId="42409"/>
    <cellStyle name="Input 18 3 2 2 4 3" xfId="39515"/>
    <cellStyle name="Input 18 3 2 2 4 4" xfId="30889"/>
    <cellStyle name="Input 18 3 2 2 5" xfId="20764"/>
    <cellStyle name="Input 18 3 2 2 5 2" xfId="46286"/>
    <cellStyle name="Input 18 3 2 2 5 3" xfId="50192"/>
    <cellStyle name="Input 18 3 2 2 5 4" xfId="38156"/>
    <cellStyle name="Input 18 3 2 2 6" xfId="21417"/>
    <cellStyle name="Input 18 3 2 2 6 2" xfId="46939"/>
    <cellStyle name="Input 18 3 2 2 6 3" xfId="50845"/>
    <cellStyle name="Input 18 3 2 2 7" xfId="40742"/>
    <cellStyle name="Input 18 3 2 2 8" xfId="42587"/>
    <cellStyle name="Input 18 3 2 3" xfId="10859"/>
    <cellStyle name="Input 18 3 2 3 2" xfId="18646"/>
    <cellStyle name="Input 18 3 2 3 2 2" xfId="44178"/>
    <cellStyle name="Input 18 3 2 3 2 3" xfId="48087"/>
    <cellStyle name="Input 18 3 2 3 2 4" xfId="36269"/>
    <cellStyle name="Input 18 3 2 3 3" xfId="12162"/>
    <cellStyle name="Input 18 3 2 3 3 2" xfId="41887"/>
    <cellStyle name="Input 18 3 2 3 3 3" xfId="43309"/>
    <cellStyle name="Input 18 3 2 3 3 4" xfId="29820"/>
    <cellStyle name="Input 18 3 2 3 4" xfId="12753"/>
    <cellStyle name="Input 18 3 2 3 4 2" xfId="42179"/>
    <cellStyle name="Input 18 3 2 3 4 3" xfId="39081"/>
    <cellStyle name="Input 18 3 2 3 4 4" xfId="30397"/>
    <cellStyle name="Input 18 3 2 3 5" xfId="21059"/>
    <cellStyle name="Input 18 3 2 3 5 2" xfId="46581"/>
    <cellStyle name="Input 18 3 2 3 5 3" xfId="50487"/>
    <cellStyle name="Input 18 3 2 3 5 4" xfId="38451"/>
    <cellStyle name="Input 18 3 2 3 6" xfId="21712"/>
    <cellStyle name="Input 18 3 2 3 6 2" xfId="47234"/>
    <cellStyle name="Input 18 3 2 3 6 3" xfId="51140"/>
    <cellStyle name="Input 18 3 2 3 7" xfId="41037"/>
    <cellStyle name="Input 18 3 2 3 8" xfId="42811"/>
    <cellStyle name="Input 18 3 2 4" xfId="14819"/>
    <cellStyle name="Input 18 3 2 4 2" xfId="42917"/>
    <cellStyle name="Input 18 3 2 4 3" xfId="40396"/>
    <cellStyle name="Input 18 3 2 4 4" xfId="32440"/>
    <cellStyle name="Input 18 3 2 5" xfId="13092"/>
    <cellStyle name="Input 18 3 2 5 2" xfId="42294"/>
    <cellStyle name="Input 18 3 2 5 3" xfId="41280"/>
    <cellStyle name="Input 18 3 2 5 4" xfId="30727"/>
    <cellStyle name="Input 18 3 2 6" xfId="20322"/>
    <cellStyle name="Input 18 3 2 6 2" xfId="45844"/>
    <cellStyle name="Input 18 3 2 6 3" xfId="49750"/>
    <cellStyle name="Input 18 3 2 6 4" xfId="37772"/>
    <cellStyle name="Input 18 3 2 7" xfId="19645"/>
    <cellStyle name="Input 18 3 2 7 2" xfId="45167"/>
    <cellStyle name="Input 18 3 2 7 3" xfId="49073"/>
    <cellStyle name="Input 18 3 2 7 4" xfId="37165"/>
    <cellStyle name="Input 18 3 2 8" xfId="19561"/>
    <cellStyle name="Input 18 3 2 8 2" xfId="45083"/>
    <cellStyle name="Input 18 3 2 8 3" xfId="48989"/>
    <cellStyle name="Input 18 3 2 9" xfId="39777"/>
    <cellStyle name="Input 18 3 3" xfId="53005"/>
    <cellStyle name="Input 18 4" xfId="7034"/>
    <cellStyle name="Input 18 4 10" xfId="39224"/>
    <cellStyle name="Input 18 4 11" xfId="53006"/>
    <cellStyle name="Input 18 4 2" xfId="10561"/>
    <cellStyle name="Input 18 4 2 2" xfId="18348"/>
    <cellStyle name="Input 18 4 2 2 2" xfId="43880"/>
    <cellStyle name="Input 18 4 2 2 3" xfId="47789"/>
    <cellStyle name="Input 18 4 2 2 4" xfId="35971"/>
    <cellStyle name="Input 18 4 2 3" xfId="19602"/>
    <cellStyle name="Input 18 4 2 3 2" xfId="45124"/>
    <cellStyle name="Input 18 4 2 3 3" xfId="49030"/>
    <cellStyle name="Input 18 4 2 3 4" xfId="37128"/>
    <cellStyle name="Input 18 4 2 4" xfId="19435"/>
    <cellStyle name="Input 18 4 2 4 2" xfId="44957"/>
    <cellStyle name="Input 18 4 2 4 3" xfId="48863"/>
    <cellStyle name="Input 18 4 2 4 4" xfId="36986"/>
    <cellStyle name="Input 18 4 2 5" xfId="20761"/>
    <cellStyle name="Input 18 4 2 5 2" xfId="46283"/>
    <cellStyle name="Input 18 4 2 5 3" xfId="50189"/>
    <cellStyle name="Input 18 4 2 5 4" xfId="38153"/>
    <cellStyle name="Input 18 4 2 6" xfId="21414"/>
    <cellStyle name="Input 18 4 2 6 2" xfId="46936"/>
    <cellStyle name="Input 18 4 2 6 3" xfId="50842"/>
    <cellStyle name="Input 18 4 2 7" xfId="40739"/>
    <cellStyle name="Input 18 4 2 8" xfId="43611"/>
    <cellStyle name="Input 18 4 3" xfId="10856"/>
    <cellStyle name="Input 18 4 3 2" xfId="18643"/>
    <cellStyle name="Input 18 4 3 2 2" xfId="44175"/>
    <cellStyle name="Input 18 4 3 2 3" xfId="48084"/>
    <cellStyle name="Input 18 4 3 2 4" xfId="36266"/>
    <cellStyle name="Input 18 4 3 3" xfId="12630"/>
    <cellStyle name="Input 18 4 3 3 2" xfId="42090"/>
    <cellStyle name="Input 18 4 3 3 3" xfId="39426"/>
    <cellStyle name="Input 18 4 3 3 4" xfId="30281"/>
    <cellStyle name="Input 18 4 3 4" xfId="19654"/>
    <cellStyle name="Input 18 4 3 4 2" xfId="45176"/>
    <cellStyle name="Input 18 4 3 4 3" xfId="49082"/>
    <cellStyle name="Input 18 4 3 4 4" xfId="37174"/>
    <cellStyle name="Input 18 4 3 5" xfId="21056"/>
    <cellStyle name="Input 18 4 3 5 2" xfId="46578"/>
    <cellStyle name="Input 18 4 3 5 3" xfId="50484"/>
    <cellStyle name="Input 18 4 3 5 4" xfId="38448"/>
    <cellStyle name="Input 18 4 3 6" xfId="21709"/>
    <cellStyle name="Input 18 4 3 6 2" xfId="47231"/>
    <cellStyle name="Input 18 4 3 6 3" xfId="51137"/>
    <cellStyle name="Input 18 4 3 7" xfId="41034"/>
    <cellStyle name="Input 18 4 3 8" xfId="41401"/>
    <cellStyle name="Input 18 4 4" xfId="14816"/>
    <cellStyle name="Input 18 4 4 2" xfId="42914"/>
    <cellStyle name="Input 18 4 4 3" xfId="39611"/>
    <cellStyle name="Input 18 4 4 4" xfId="32437"/>
    <cellStyle name="Input 18 4 5" xfId="13091"/>
    <cellStyle name="Input 18 4 5 2" xfId="42293"/>
    <cellStyle name="Input 18 4 5 3" xfId="47580"/>
    <cellStyle name="Input 18 4 5 4" xfId="30726"/>
    <cellStyle name="Input 18 4 6" xfId="20365"/>
    <cellStyle name="Input 18 4 6 2" xfId="45887"/>
    <cellStyle name="Input 18 4 6 3" xfId="49793"/>
    <cellStyle name="Input 18 4 6 4" xfId="37807"/>
    <cellStyle name="Input 18 4 7" xfId="19814"/>
    <cellStyle name="Input 18 4 7 2" xfId="45336"/>
    <cellStyle name="Input 18 4 7 3" xfId="49242"/>
    <cellStyle name="Input 18 4 7 4" xfId="37318"/>
    <cellStyle name="Input 18 4 8" xfId="20067"/>
    <cellStyle name="Input 18 4 8 2" xfId="45589"/>
    <cellStyle name="Input 18 4 8 3" xfId="49495"/>
    <cellStyle name="Input 18 4 9" xfId="39774"/>
    <cellStyle name="Input 18 5" xfId="22426"/>
    <cellStyle name="Input 18 6" xfId="53001"/>
    <cellStyle name="Input 18_Sheet1" xfId="1849"/>
    <cellStyle name="Input 19" xfId="1850"/>
    <cellStyle name="Input 19 2" xfId="1851"/>
    <cellStyle name="Input 19 2 2" xfId="1852"/>
    <cellStyle name="Input 19 2 2 2" xfId="7040"/>
    <cellStyle name="Input 19 2 2 2 10" xfId="43745"/>
    <cellStyle name="Input 19 2 2 2 2" xfId="10567"/>
    <cellStyle name="Input 19 2 2 2 2 2" xfId="18354"/>
    <cellStyle name="Input 19 2 2 2 2 2 2" xfId="43886"/>
    <cellStyle name="Input 19 2 2 2 2 2 3" xfId="47795"/>
    <cellStyle name="Input 19 2 2 2 2 2 4" xfId="35977"/>
    <cellStyle name="Input 19 2 2 2 2 3" xfId="19121"/>
    <cellStyle name="Input 19 2 2 2 2 3 2" xfId="44643"/>
    <cellStyle name="Input 19 2 2 2 2 3 3" xfId="48549"/>
    <cellStyle name="Input 19 2 2 2 2 3 4" xfId="36702"/>
    <cellStyle name="Input 19 2 2 2 2 4" xfId="20246"/>
    <cellStyle name="Input 19 2 2 2 2 4 2" xfId="45768"/>
    <cellStyle name="Input 19 2 2 2 2 4 3" xfId="49674"/>
    <cellStyle name="Input 19 2 2 2 2 4 4" xfId="37703"/>
    <cellStyle name="Input 19 2 2 2 2 5" xfId="20767"/>
    <cellStyle name="Input 19 2 2 2 2 5 2" xfId="46289"/>
    <cellStyle name="Input 19 2 2 2 2 5 3" xfId="50195"/>
    <cellStyle name="Input 19 2 2 2 2 5 4" xfId="38159"/>
    <cellStyle name="Input 19 2 2 2 2 6" xfId="21420"/>
    <cellStyle name="Input 19 2 2 2 2 6 2" xfId="46942"/>
    <cellStyle name="Input 19 2 2 2 2 6 3" xfId="50848"/>
    <cellStyle name="Input 19 2 2 2 2 7" xfId="40745"/>
    <cellStyle name="Input 19 2 2 2 2 8" xfId="39475"/>
    <cellStyle name="Input 19 2 2 2 3" xfId="10862"/>
    <cellStyle name="Input 19 2 2 2 3 2" xfId="18649"/>
    <cellStyle name="Input 19 2 2 2 3 2 2" xfId="44181"/>
    <cellStyle name="Input 19 2 2 2 3 2 3" xfId="48090"/>
    <cellStyle name="Input 19 2 2 2 3 2 4" xfId="36272"/>
    <cellStyle name="Input 19 2 2 2 3 3" xfId="13330"/>
    <cellStyle name="Input 19 2 2 2 3 3 2" xfId="42481"/>
    <cellStyle name="Input 19 2 2 2 3 3 3" xfId="42655"/>
    <cellStyle name="Input 19 2 2 2 3 3 4" xfId="30956"/>
    <cellStyle name="Input 19 2 2 2 3 4" xfId="11605"/>
    <cellStyle name="Input 19 2 2 2 3 4 2" xfId="41596"/>
    <cellStyle name="Input 19 2 2 2 3 4 3" xfId="43184"/>
    <cellStyle name="Input 19 2 2 2 3 4 4" xfId="29294"/>
    <cellStyle name="Input 19 2 2 2 3 5" xfId="21062"/>
    <cellStyle name="Input 19 2 2 2 3 5 2" xfId="46584"/>
    <cellStyle name="Input 19 2 2 2 3 5 3" xfId="50490"/>
    <cellStyle name="Input 19 2 2 2 3 5 4" xfId="38454"/>
    <cellStyle name="Input 19 2 2 2 3 6" xfId="21715"/>
    <cellStyle name="Input 19 2 2 2 3 6 2" xfId="47237"/>
    <cellStyle name="Input 19 2 2 2 3 6 3" xfId="51143"/>
    <cellStyle name="Input 19 2 2 2 3 7" xfId="41040"/>
    <cellStyle name="Input 19 2 2 2 3 8" xfId="39670"/>
    <cellStyle name="Input 19 2 2 2 4" xfId="14822"/>
    <cellStyle name="Input 19 2 2 2 4 2" xfId="42920"/>
    <cellStyle name="Input 19 2 2 2 4 3" xfId="43426"/>
    <cellStyle name="Input 19 2 2 2 4 4" xfId="32443"/>
    <cellStyle name="Input 19 2 2 2 5" xfId="11284"/>
    <cellStyle name="Input 19 2 2 2 5 2" xfId="41311"/>
    <cellStyle name="Input 19 2 2 2 5 3" xfId="42559"/>
    <cellStyle name="Input 19 2 2 2 5 4" xfId="28998"/>
    <cellStyle name="Input 19 2 2 2 6" xfId="12844"/>
    <cellStyle name="Input 19 2 2 2 6 2" xfId="42208"/>
    <cellStyle name="Input 19 2 2 2 6 3" xfId="39279"/>
    <cellStyle name="Input 19 2 2 2 6 4" xfId="30484"/>
    <cellStyle name="Input 19 2 2 2 7" xfId="12136"/>
    <cellStyle name="Input 19 2 2 2 7 2" xfId="41861"/>
    <cellStyle name="Input 19 2 2 2 7 3" xfId="42542"/>
    <cellStyle name="Input 19 2 2 2 7 4" xfId="29794"/>
    <cellStyle name="Input 19 2 2 2 8" xfId="19481"/>
    <cellStyle name="Input 19 2 2 2 8 2" xfId="45003"/>
    <cellStyle name="Input 19 2 2 2 8 3" xfId="48909"/>
    <cellStyle name="Input 19 2 2 2 9" xfId="39780"/>
    <cellStyle name="Input 19 2 2 3" xfId="53009"/>
    <cellStyle name="Input 19 2 3" xfId="7039"/>
    <cellStyle name="Input 19 2 3 10" xfId="43078"/>
    <cellStyle name="Input 19 2 3 11" xfId="53010"/>
    <cellStyle name="Input 19 2 3 2" xfId="10566"/>
    <cellStyle name="Input 19 2 3 2 2" xfId="18353"/>
    <cellStyle name="Input 19 2 3 2 2 2" xfId="43885"/>
    <cellStyle name="Input 19 2 3 2 2 3" xfId="47794"/>
    <cellStyle name="Input 19 2 3 2 2 4" xfId="35976"/>
    <cellStyle name="Input 19 2 3 2 3" xfId="19898"/>
    <cellStyle name="Input 19 2 3 2 3 2" xfId="45420"/>
    <cellStyle name="Input 19 2 3 2 3 3" xfId="49326"/>
    <cellStyle name="Input 19 2 3 2 3 4" xfId="37398"/>
    <cellStyle name="Input 19 2 3 2 4" xfId="19790"/>
    <cellStyle name="Input 19 2 3 2 4 2" xfId="45312"/>
    <cellStyle name="Input 19 2 3 2 4 3" xfId="49218"/>
    <cellStyle name="Input 19 2 3 2 4 4" xfId="37298"/>
    <cellStyle name="Input 19 2 3 2 5" xfId="20766"/>
    <cellStyle name="Input 19 2 3 2 5 2" xfId="46288"/>
    <cellStyle name="Input 19 2 3 2 5 3" xfId="50194"/>
    <cellStyle name="Input 19 2 3 2 5 4" xfId="38158"/>
    <cellStyle name="Input 19 2 3 2 6" xfId="21419"/>
    <cellStyle name="Input 19 2 3 2 6 2" xfId="46941"/>
    <cellStyle name="Input 19 2 3 2 6 3" xfId="50847"/>
    <cellStyle name="Input 19 2 3 2 7" xfId="40744"/>
    <cellStyle name="Input 19 2 3 2 8" xfId="40363"/>
    <cellStyle name="Input 19 2 3 3" xfId="10861"/>
    <cellStyle name="Input 19 2 3 3 2" xfId="18648"/>
    <cellStyle name="Input 19 2 3 3 2 2" xfId="44180"/>
    <cellStyle name="Input 19 2 3 3 2 3" xfId="48089"/>
    <cellStyle name="Input 19 2 3 3 2 4" xfId="36271"/>
    <cellStyle name="Input 19 2 3 3 3" xfId="12163"/>
    <cellStyle name="Input 19 2 3 3 3 2" xfId="41888"/>
    <cellStyle name="Input 19 2 3 3 3 3" xfId="40169"/>
    <cellStyle name="Input 19 2 3 3 3 4" xfId="29821"/>
    <cellStyle name="Input 19 2 3 3 4" xfId="11748"/>
    <cellStyle name="Input 19 2 3 3 4 2" xfId="41705"/>
    <cellStyle name="Input 19 2 3 3 4 3" xfId="47445"/>
    <cellStyle name="Input 19 2 3 3 4 4" xfId="29421"/>
    <cellStyle name="Input 19 2 3 3 5" xfId="21061"/>
    <cellStyle name="Input 19 2 3 3 5 2" xfId="46583"/>
    <cellStyle name="Input 19 2 3 3 5 3" xfId="50489"/>
    <cellStyle name="Input 19 2 3 3 5 4" xfId="38453"/>
    <cellStyle name="Input 19 2 3 3 6" xfId="21714"/>
    <cellStyle name="Input 19 2 3 3 6 2" xfId="47236"/>
    <cellStyle name="Input 19 2 3 3 6 3" xfId="51142"/>
    <cellStyle name="Input 19 2 3 3 7" xfId="41039"/>
    <cellStyle name="Input 19 2 3 3 8" xfId="40559"/>
    <cellStyle name="Input 19 2 3 4" xfId="14821"/>
    <cellStyle name="Input 19 2 3 4 2" xfId="42919"/>
    <cellStyle name="Input 19 2 3 4 3" xfId="42515"/>
    <cellStyle name="Input 19 2 3 4 4" xfId="32442"/>
    <cellStyle name="Input 19 2 3 5" xfId="11283"/>
    <cellStyle name="Input 19 2 3 5 2" xfId="41310"/>
    <cellStyle name="Input 19 2 3 5 3" xfId="39552"/>
    <cellStyle name="Input 19 2 3 5 4" xfId="28997"/>
    <cellStyle name="Input 19 2 3 6" xfId="19154"/>
    <cellStyle name="Input 19 2 3 6 2" xfId="44676"/>
    <cellStyle name="Input 19 2 3 6 3" xfId="48582"/>
    <cellStyle name="Input 19 2 3 6 4" xfId="36732"/>
    <cellStyle name="Input 19 2 3 7" xfId="11167"/>
    <cellStyle name="Input 19 2 3 7 2" xfId="41270"/>
    <cellStyle name="Input 19 2 3 7 3" xfId="42801"/>
    <cellStyle name="Input 19 2 3 7 4" xfId="28881"/>
    <cellStyle name="Input 19 2 3 8" xfId="11635"/>
    <cellStyle name="Input 19 2 3 8 2" xfId="41626"/>
    <cellStyle name="Input 19 2 3 8 3" xfId="47549"/>
    <cellStyle name="Input 19 2 3 9" xfId="39779"/>
    <cellStyle name="Input 19 2 4" xfId="22429"/>
    <cellStyle name="Input 19 2 5" xfId="53008"/>
    <cellStyle name="Input 19 2_Sheet1" xfId="1853"/>
    <cellStyle name="Input 19 3" xfId="1854"/>
    <cellStyle name="Input 19 3 2" xfId="7041"/>
    <cellStyle name="Input 19 3 2 10" xfId="40604"/>
    <cellStyle name="Input 19 3 2 2" xfId="10568"/>
    <cellStyle name="Input 19 3 2 2 2" xfId="18355"/>
    <cellStyle name="Input 19 3 2 2 2 2" xfId="43887"/>
    <cellStyle name="Input 19 3 2 2 2 3" xfId="47796"/>
    <cellStyle name="Input 19 3 2 2 2 4" xfId="35978"/>
    <cellStyle name="Input 19 3 2 2 3" xfId="19743"/>
    <cellStyle name="Input 19 3 2 2 3 2" xfId="45265"/>
    <cellStyle name="Input 19 3 2 2 3 3" xfId="49171"/>
    <cellStyle name="Input 19 3 2 2 3 4" xfId="37256"/>
    <cellStyle name="Input 19 3 2 2 4" xfId="19247"/>
    <cellStyle name="Input 19 3 2 2 4 2" xfId="44769"/>
    <cellStyle name="Input 19 3 2 2 4 3" xfId="48675"/>
    <cellStyle name="Input 19 3 2 2 4 4" xfId="36811"/>
    <cellStyle name="Input 19 3 2 2 5" xfId="20768"/>
    <cellStyle name="Input 19 3 2 2 5 2" xfId="46290"/>
    <cellStyle name="Input 19 3 2 2 5 3" xfId="50196"/>
    <cellStyle name="Input 19 3 2 2 5 4" xfId="38160"/>
    <cellStyle name="Input 19 3 2 2 6" xfId="21421"/>
    <cellStyle name="Input 19 3 2 2 6 2" xfId="46943"/>
    <cellStyle name="Input 19 3 2 2 6 3" xfId="50849"/>
    <cellStyle name="Input 19 3 2 2 7" xfId="40746"/>
    <cellStyle name="Input 19 3 2 2 8" xfId="39370"/>
    <cellStyle name="Input 19 3 2 3" xfId="10863"/>
    <cellStyle name="Input 19 3 2 3 2" xfId="18650"/>
    <cellStyle name="Input 19 3 2 3 2 2" xfId="44182"/>
    <cellStyle name="Input 19 3 2 3 2 3" xfId="48091"/>
    <cellStyle name="Input 19 3 2 3 2 4" xfId="36273"/>
    <cellStyle name="Input 19 3 2 3 3" xfId="12631"/>
    <cellStyle name="Input 19 3 2 3 3 2" xfId="42091"/>
    <cellStyle name="Input 19 3 2 3 3 3" xfId="41953"/>
    <cellStyle name="Input 19 3 2 3 3 4" xfId="30282"/>
    <cellStyle name="Input 19 3 2 3 4" xfId="19836"/>
    <cellStyle name="Input 19 3 2 3 4 2" xfId="45358"/>
    <cellStyle name="Input 19 3 2 3 4 3" xfId="49264"/>
    <cellStyle name="Input 19 3 2 3 4 4" xfId="37338"/>
    <cellStyle name="Input 19 3 2 3 5" xfId="21063"/>
    <cellStyle name="Input 19 3 2 3 5 2" xfId="46585"/>
    <cellStyle name="Input 19 3 2 3 5 3" xfId="50491"/>
    <cellStyle name="Input 19 3 2 3 5 4" xfId="38455"/>
    <cellStyle name="Input 19 3 2 3 6" xfId="21716"/>
    <cellStyle name="Input 19 3 2 3 6 2" xfId="47238"/>
    <cellStyle name="Input 19 3 2 3 6 3" xfId="51144"/>
    <cellStyle name="Input 19 3 2 3 7" xfId="41041"/>
    <cellStyle name="Input 19 3 2 3 8" xfId="42707"/>
    <cellStyle name="Input 19 3 2 4" xfId="14823"/>
    <cellStyle name="Input 19 3 2 4 2" xfId="42921"/>
    <cellStyle name="Input 19 3 2 4 3" xfId="40288"/>
    <cellStyle name="Input 19 3 2 4 4" xfId="32444"/>
    <cellStyle name="Input 19 3 2 5" xfId="13093"/>
    <cellStyle name="Input 19 3 2 5 2" xfId="42295"/>
    <cellStyle name="Input 19 3 2 5 3" xfId="43167"/>
    <cellStyle name="Input 19 3 2 5 4" xfId="30728"/>
    <cellStyle name="Input 19 3 2 6" xfId="19928"/>
    <cellStyle name="Input 19 3 2 6 2" xfId="45450"/>
    <cellStyle name="Input 19 3 2 6 3" xfId="49356"/>
    <cellStyle name="Input 19 3 2 6 4" xfId="37423"/>
    <cellStyle name="Input 19 3 2 7" xfId="11720"/>
    <cellStyle name="Input 19 3 2 7 2" xfId="41687"/>
    <cellStyle name="Input 19 3 2 7 3" xfId="39317"/>
    <cellStyle name="Input 19 3 2 7 4" xfId="29393"/>
    <cellStyle name="Input 19 3 2 8" xfId="11670"/>
    <cellStyle name="Input 19 3 2 8 2" xfId="41661"/>
    <cellStyle name="Input 19 3 2 8 3" xfId="40322"/>
    <cellStyle name="Input 19 3 2 9" xfId="39781"/>
    <cellStyle name="Input 19 3 3" xfId="53011"/>
    <cellStyle name="Input 19 4" xfId="7038"/>
    <cellStyle name="Input 19 4 10" xfId="40109"/>
    <cellStyle name="Input 19 4 11" xfId="53012"/>
    <cellStyle name="Input 19 4 2" xfId="10565"/>
    <cellStyle name="Input 19 4 2 2" xfId="18352"/>
    <cellStyle name="Input 19 4 2 2 2" xfId="43884"/>
    <cellStyle name="Input 19 4 2 2 3" xfId="47793"/>
    <cellStyle name="Input 19 4 2 2 4" xfId="35975"/>
    <cellStyle name="Input 19 4 2 3" xfId="19289"/>
    <cellStyle name="Input 19 4 2 3 2" xfId="44811"/>
    <cellStyle name="Input 19 4 2 3 3" xfId="48717"/>
    <cellStyle name="Input 19 4 2 3 4" xfId="36853"/>
    <cellStyle name="Input 19 4 2 4" xfId="19985"/>
    <cellStyle name="Input 19 4 2 4 2" xfId="45507"/>
    <cellStyle name="Input 19 4 2 4 3" xfId="49413"/>
    <cellStyle name="Input 19 4 2 4 4" xfId="37469"/>
    <cellStyle name="Input 19 4 2 5" xfId="20765"/>
    <cellStyle name="Input 19 4 2 5 2" xfId="46287"/>
    <cellStyle name="Input 19 4 2 5 3" xfId="50193"/>
    <cellStyle name="Input 19 4 2 5 4" xfId="38157"/>
    <cellStyle name="Input 19 4 2 6" xfId="21418"/>
    <cellStyle name="Input 19 4 2 6 2" xfId="46940"/>
    <cellStyle name="Input 19 4 2 6 3" xfId="50846"/>
    <cellStyle name="Input 19 4 2 7" xfId="40743"/>
    <cellStyle name="Input 19 4 2 8" xfId="43500"/>
    <cellStyle name="Input 19 4 3" xfId="10860"/>
    <cellStyle name="Input 19 4 3 2" xfId="18647"/>
    <cellStyle name="Input 19 4 3 2 2" xfId="44179"/>
    <cellStyle name="Input 19 4 3 2 3" xfId="48088"/>
    <cellStyle name="Input 19 4 3 2 4" xfId="36270"/>
    <cellStyle name="Input 19 4 3 3" xfId="13329"/>
    <cellStyle name="Input 19 4 3 3 2" xfId="42480"/>
    <cellStyle name="Input 19 4 3 3 3" xfId="39619"/>
    <cellStyle name="Input 19 4 3 3 4" xfId="30955"/>
    <cellStyle name="Input 19 4 3 4" xfId="11604"/>
    <cellStyle name="Input 19 4 3 4 2" xfId="41595"/>
    <cellStyle name="Input 19 4 3 4 3" xfId="41363"/>
    <cellStyle name="Input 19 4 3 4 4" xfId="29293"/>
    <cellStyle name="Input 19 4 3 5" xfId="21060"/>
    <cellStyle name="Input 19 4 3 5 2" xfId="46582"/>
    <cellStyle name="Input 19 4 3 5 3" xfId="50488"/>
    <cellStyle name="Input 19 4 3 5 4" xfId="38452"/>
    <cellStyle name="Input 19 4 3 6" xfId="21713"/>
    <cellStyle name="Input 19 4 3 6 2" xfId="47235"/>
    <cellStyle name="Input 19 4 3 6 3" xfId="51141"/>
    <cellStyle name="Input 19 4 3 7" xfId="41038"/>
    <cellStyle name="Input 19 4 3 8" xfId="43700"/>
    <cellStyle name="Input 19 4 4" xfId="14820"/>
    <cellStyle name="Input 19 4 4 2" xfId="42918"/>
    <cellStyle name="Input 19 4 4 3" xfId="39505"/>
    <cellStyle name="Input 19 4 4 4" xfId="32441"/>
    <cellStyle name="Input 19 4 5" xfId="12463"/>
    <cellStyle name="Input 19 4 5 2" xfId="41965"/>
    <cellStyle name="Input 19 4 5 3" xfId="39086"/>
    <cellStyle name="Input 19 4 5 4" xfId="30120"/>
    <cellStyle name="Input 19 4 6" xfId="20267"/>
    <cellStyle name="Input 19 4 6 2" xfId="45789"/>
    <cellStyle name="Input 19 4 6 3" xfId="49695"/>
    <cellStyle name="Input 19 4 6 4" xfId="37721"/>
    <cellStyle name="Input 19 4 7" xfId="20498"/>
    <cellStyle name="Input 19 4 7 2" xfId="46020"/>
    <cellStyle name="Input 19 4 7 3" xfId="49926"/>
    <cellStyle name="Input 19 4 7 4" xfId="37920"/>
    <cellStyle name="Input 19 4 8" xfId="12085"/>
    <cellStyle name="Input 19 4 8 2" xfId="41810"/>
    <cellStyle name="Input 19 4 8 3" xfId="39111"/>
    <cellStyle name="Input 19 4 9" xfId="39778"/>
    <cellStyle name="Input 19 5" xfId="22428"/>
    <cellStyle name="Input 19 6" xfId="53007"/>
    <cellStyle name="Input 19_Sheet1" xfId="1855"/>
    <cellStyle name="Input 2" xfId="106"/>
    <cellStyle name="Input 2 10" xfId="1857"/>
    <cellStyle name="Input 2 10 2" xfId="7043"/>
    <cellStyle name="Input 2 10 2 10" xfId="42738"/>
    <cellStyle name="Input 2 10 2 2" xfId="10570"/>
    <cellStyle name="Input 2 10 2 2 2" xfId="18357"/>
    <cellStyle name="Input 2 10 2 2 2 2" xfId="43889"/>
    <cellStyle name="Input 2 10 2 2 2 3" xfId="47798"/>
    <cellStyle name="Input 2 10 2 2 2 4" xfId="35980"/>
    <cellStyle name="Input 2 10 2 2 3" xfId="13315"/>
    <cellStyle name="Input 2 10 2 2 3 2" xfId="42466"/>
    <cellStyle name="Input 2 10 2 2 3 3" xfId="43544"/>
    <cellStyle name="Input 2 10 2 2 3 4" xfId="30941"/>
    <cellStyle name="Input 2 10 2 2 4" xfId="11603"/>
    <cellStyle name="Input 2 10 2 2 4 2" xfId="41594"/>
    <cellStyle name="Input 2 10 2 2 4 3" xfId="47484"/>
    <cellStyle name="Input 2 10 2 2 4 4" xfId="29292"/>
    <cellStyle name="Input 2 10 2 2 5" xfId="20770"/>
    <cellStyle name="Input 2 10 2 2 5 2" xfId="46292"/>
    <cellStyle name="Input 2 10 2 2 5 3" xfId="50198"/>
    <cellStyle name="Input 2 10 2 2 5 4" xfId="38162"/>
    <cellStyle name="Input 2 10 2 2 6" xfId="21423"/>
    <cellStyle name="Input 2 10 2 2 6 2" xfId="46945"/>
    <cellStyle name="Input 2 10 2 2 6 3" xfId="50851"/>
    <cellStyle name="Input 2 10 2 2 7" xfId="40748"/>
    <cellStyle name="Input 2 10 2 2 8" xfId="43217"/>
    <cellStyle name="Input 2 10 2 3" xfId="10865"/>
    <cellStyle name="Input 2 10 2 3 2" xfId="18652"/>
    <cellStyle name="Input 2 10 2 3 2 2" xfId="44184"/>
    <cellStyle name="Input 2 10 2 3 2 3" xfId="48093"/>
    <cellStyle name="Input 2 10 2 3 2 4" xfId="36275"/>
    <cellStyle name="Input 2 10 2 3 3" xfId="11512"/>
    <cellStyle name="Input 2 10 2 3 3 2" xfId="41503"/>
    <cellStyle name="Input 2 10 2 3 3 3" xfId="40540"/>
    <cellStyle name="Input 2 10 2 3 3 4" xfId="29213"/>
    <cellStyle name="Input 2 10 2 3 4" xfId="19521"/>
    <cellStyle name="Input 2 10 2 3 4 2" xfId="45043"/>
    <cellStyle name="Input 2 10 2 3 4 3" xfId="48949"/>
    <cellStyle name="Input 2 10 2 3 4 4" xfId="37054"/>
    <cellStyle name="Input 2 10 2 3 5" xfId="21065"/>
    <cellStyle name="Input 2 10 2 3 5 2" xfId="46587"/>
    <cellStyle name="Input 2 10 2 3 5 3" xfId="50493"/>
    <cellStyle name="Input 2 10 2 3 5 4" xfId="38457"/>
    <cellStyle name="Input 2 10 2 3 6" xfId="21718"/>
    <cellStyle name="Input 2 10 2 3 6 2" xfId="47240"/>
    <cellStyle name="Input 2 10 2 3 6 3" xfId="51146"/>
    <cellStyle name="Input 2 10 2 3 7" xfId="41043"/>
    <cellStyle name="Input 2 10 2 3 8" xfId="40454"/>
    <cellStyle name="Input 2 10 2 4" xfId="14825"/>
    <cellStyle name="Input 2 10 2 4 2" xfId="42923"/>
    <cellStyle name="Input 2 10 2 4 3" xfId="41920"/>
    <cellStyle name="Input 2 10 2 4 4" xfId="32446"/>
    <cellStyle name="Input 2 10 2 5" xfId="13095"/>
    <cellStyle name="Input 2 10 2 5 2" xfId="42297"/>
    <cellStyle name="Input 2 10 2 5 3" xfId="42768"/>
    <cellStyle name="Input 2 10 2 5 4" xfId="30730"/>
    <cellStyle name="Input 2 10 2 6" xfId="19921"/>
    <cellStyle name="Input 2 10 2 6 2" xfId="45443"/>
    <cellStyle name="Input 2 10 2 6 3" xfId="49349"/>
    <cellStyle name="Input 2 10 2 6 4" xfId="37418"/>
    <cellStyle name="Input 2 10 2 7" xfId="18878"/>
    <cellStyle name="Input 2 10 2 7 2" xfId="44400"/>
    <cellStyle name="Input 2 10 2 7 3" xfId="48306"/>
    <cellStyle name="Input 2 10 2 7 4" xfId="36500"/>
    <cellStyle name="Input 2 10 2 8" xfId="19932"/>
    <cellStyle name="Input 2 10 2 8 2" xfId="45454"/>
    <cellStyle name="Input 2 10 2 8 3" xfId="49360"/>
    <cellStyle name="Input 2 10 2 9" xfId="39783"/>
    <cellStyle name="Input 2 10 3" xfId="53014"/>
    <cellStyle name="Input 2 11" xfId="1858"/>
    <cellStyle name="Input 2 11 2" xfId="7044"/>
    <cellStyle name="Input 2 11 2 10" xfId="43626"/>
    <cellStyle name="Input 2 11 2 2" xfId="10571"/>
    <cellStyle name="Input 2 11 2 2 2" xfId="18358"/>
    <cellStyle name="Input 2 11 2 2 2 2" xfId="43890"/>
    <cellStyle name="Input 2 11 2 2 2 3" xfId="47799"/>
    <cellStyle name="Input 2 11 2 2 2 4" xfId="35981"/>
    <cellStyle name="Input 2 11 2 2 3" xfId="19742"/>
    <cellStyle name="Input 2 11 2 2 3 2" xfId="45264"/>
    <cellStyle name="Input 2 11 2 2 3 3" xfId="49170"/>
    <cellStyle name="Input 2 11 2 2 3 4" xfId="37255"/>
    <cellStyle name="Input 2 11 2 2 4" xfId="19053"/>
    <cellStyle name="Input 2 11 2 2 4 2" xfId="44575"/>
    <cellStyle name="Input 2 11 2 2 4 3" xfId="48481"/>
    <cellStyle name="Input 2 11 2 2 4 4" xfId="36638"/>
    <cellStyle name="Input 2 11 2 2 5" xfId="20771"/>
    <cellStyle name="Input 2 11 2 2 5 2" xfId="46293"/>
    <cellStyle name="Input 2 11 2 2 5 3" xfId="50199"/>
    <cellStyle name="Input 2 11 2 2 5 4" xfId="38163"/>
    <cellStyle name="Input 2 11 2 2 6" xfId="21424"/>
    <cellStyle name="Input 2 11 2 2 6 2" xfId="46946"/>
    <cellStyle name="Input 2 11 2 2 6 3" xfId="50852"/>
    <cellStyle name="Input 2 11 2 2 7" xfId="40749"/>
    <cellStyle name="Input 2 11 2 2 8" xfId="40076"/>
    <cellStyle name="Input 2 11 2 3" xfId="10866"/>
    <cellStyle name="Input 2 11 2 3 2" xfId="18653"/>
    <cellStyle name="Input 2 11 2 3 2 2" xfId="44185"/>
    <cellStyle name="Input 2 11 2 3 2 3" xfId="48094"/>
    <cellStyle name="Input 2 11 2 3 2 4" xfId="36276"/>
    <cellStyle name="Input 2 11 2 3 3" xfId="12164"/>
    <cellStyle name="Input 2 11 2 3 3 2" xfId="41889"/>
    <cellStyle name="Input 2 11 2 3 3 3" xfId="39293"/>
    <cellStyle name="Input 2 11 2 3 3 4" xfId="29822"/>
    <cellStyle name="Input 2 11 2 3 4" xfId="12754"/>
    <cellStyle name="Input 2 11 2 3 4 2" xfId="42180"/>
    <cellStyle name="Input 2 11 2 3 4 3" xfId="41948"/>
    <cellStyle name="Input 2 11 2 3 4 4" xfId="30398"/>
    <cellStyle name="Input 2 11 2 3 5" xfId="21066"/>
    <cellStyle name="Input 2 11 2 3 5 2" xfId="46588"/>
    <cellStyle name="Input 2 11 2 3 5 3" xfId="50494"/>
    <cellStyle name="Input 2 11 2 3 5 4" xfId="38458"/>
    <cellStyle name="Input 2 11 2 3 6" xfId="21719"/>
    <cellStyle name="Input 2 11 2 3 6 2" xfId="47241"/>
    <cellStyle name="Input 2 11 2 3 6 3" xfId="51147"/>
    <cellStyle name="Input 2 11 2 3 7" xfId="41044"/>
    <cellStyle name="Input 2 11 2 3 8" xfId="39564"/>
    <cellStyle name="Input 2 11 2 4" xfId="14826"/>
    <cellStyle name="Input 2 11 2 4 2" xfId="42924"/>
    <cellStyle name="Input 2 11 2 4 3" xfId="43274"/>
    <cellStyle name="Input 2 11 2 4 4" xfId="32447"/>
    <cellStyle name="Input 2 11 2 5" xfId="13096"/>
    <cellStyle name="Input 2 11 2 5 2" xfId="42298"/>
    <cellStyle name="Input 2 11 2 5 3" xfId="43656"/>
    <cellStyle name="Input 2 11 2 5 4" xfId="30731"/>
    <cellStyle name="Input 2 11 2 6" xfId="11355"/>
    <cellStyle name="Input 2 11 2 6 2" xfId="41371"/>
    <cellStyle name="Input 2 11 2 6 3" xfId="42797"/>
    <cellStyle name="Input 2 11 2 6 4" xfId="29064"/>
    <cellStyle name="Input 2 11 2 7" xfId="11784"/>
    <cellStyle name="Input 2 11 2 7 2" xfId="41716"/>
    <cellStyle name="Input 2 11 2 7 3" xfId="39311"/>
    <cellStyle name="Input 2 11 2 7 4" xfId="29456"/>
    <cellStyle name="Input 2 11 2 8" xfId="11699"/>
    <cellStyle name="Input 2 11 2 8 2" xfId="41677"/>
    <cellStyle name="Input 2 11 2 8 3" xfId="47446"/>
    <cellStyle name="Input 2 11 2 9" xfId="39784"/>
    <cellStyle name="Input 2 11 3" xfId="53015"/>
    <cellStyle name="Input 2 12" xfId="1859"/>
    <cellStyle name="Input 2 12 2" xfId="7045"/>
    <cellStyle name="Input 2 12 2 10" xfId="40484"/>
    <cellStyle name="Input 2 12 2 2" xfId="10572"/>
    <cellStyle name="Input 2 12 2 2 2" xfId="18359"/>
    <cellStyle name="Input 2 12 2 2 2 2" xfId="43891"/>
    <cellStyle name="Input 2 12 2 2 2 3" xfId="47800"/>
    <cellStyle name="Input 2 12 2 2 2 4" xfId="35982"/>
    <cellStyle name="Input 2 12 2 2 3" xfId="12616"/>
    <cellStyle name="Input 2 12 2 2 3 2" xfId="42076"/>
    <cellStyle name="Input 2 12 2 2 3 3" xfId="41286"/>
    <cellStyle name="Input 2 12 2 2 3 4" xfId="30267"/>
    <cellStyle name="Input 2 12 2 2 4" xfId="19344"/>
    <cellStyle name="Input 2 12 2 2 4 2" xfId="44866"/>
    <cellStyle name="Input 2 12 2 2 4 3" xfId="48772"/>
    <cellStyle name="Input 2 12 2 2 4 4" xfId="36899"/>
    <cellStyle name="Input 2 12 2 2 5" xfId="20772"/>
    <cellStyle name="Input 2 12 2 2 5 2" xfId="46294"/>
    <cellStyle name="Input 2 12 2 2 5 3" xfId="50200"/>
    <cellStyle name="Input 2 12 2 2 5 4" xfId="38164"/>
    <cellStyle name="Input 2 12 2 2 6" xfId="21425"/>
    <cellStyle name="Input 2 12 2 2 6 2" xfId="46947"/>
    <cellStyle name="Input 2 12 2 2 6 3" xfId="50853"/>
    <cellStyle name="Input 2 12 2 2 7" xfId="40750"/>
    <cellStyle name="Input 2 12 2 2 8" xfId="42825"/>
    <cellStyle name="Input 2 12 2 3" xfId="10867"/>
    <cellStyle name="Input 2 12 2 3 2" xfId="18654"/>
    <cellStyle name="Input 2 12 2 3 2 2" xfId="44186"/>
    <cellStyle name="Input 2 12 2 3 2 3" xfId="48095"/>
    <cellStyle name="Input 2 12 2 3 2 4" xfId="36277"/>
    <cellStyle name="Input 2 12 2 3 3" xfId="13331"/>
    <cellStyle name="Input 2 12 2 3 3 2" xfId="42482"/>
    <cellStyle name="Input 2 12 2 3 3 3" xfId="43543"/>
    <cellStyle name="Input 2 12 2 3 3 4" xfId="30957"/>
    <cellStyle name="Input 2 12 2 3 4" xfId="18947"/>
    <cellStyle name="Input 2 12 2 3 4 2" xfId="44469"/>
    <cellStyle name="Input 2 12 2 3 4 3" xfId="48375"/>
    <cellStyle name="Input 2 12 2 3 4 4" xfId="36559"/>
    <cellStyle name="Input 2 12 2 3 5" xfId="21067"/>
    <cellStyle name="Input 2 12 2 3 5 2" xfId="46589"/>
    <cellStyle name="Input 2 12 2 3 5 3" xfId="50495"/>
    <cellStyle name="Input 2 12 2 3 5 4" xfId="38459"/>
    <cellStyle name="Input 2 12 2 3 6" xfId="21720"/>
    <cellStyle name="Input 2 12 2 3 6 2" xfId="47242"/>
    <cellStyle name="Input 2 12 2 3 6 3" xfId="51148"/>
    <cellStyle name="Input 2 12 2 3 7" xfId="41045"/>
    <cellStyle name="Input 2 12 2 3 8" xfId="42572"/>
    <cellStyle name="Input 2 12 2 4" xfId="14827"/>
    <cellStyle name="Input 2 12 2 4 2" xfId="42925"/>
    <cellStyle name="Input 2 12 2 4 3" xfId="40133"/>
    <cellStyle name="Input 2 12 2 4 4" xfId="32448"/>
    <cellStyle name="Input 2 12 2 5" xfId="13097"/>
    <cellStyle name="Input 2 12 2 5 2" xfId="42299"/>
    <cellStyle name="Input 2 12 2 5 3" xfId="40514"/>
    <cellStyle name="Input 2 12 2 5 4" xfId="30732"/>
    <cellStyle name="Input 2 12 2 6" xfId="12609"/>
    <cellStyle name="Input 2 12 2 6 2" xfId="42069"/>
    <cellStyle name="Input 2 12 2 6 3" xfId="40312"/>
    <cellStyle name="Input 2 12 2 6 4" xfId="30260"/>
    <cellStyle name="Input 2 12 2 7" xfId="19461"/>
    <cellStyle name="Input 2 12 2 7 2" xfId="44983"/>
    <cellStyle name="Input 2 12 2 7 3" xfId="48889"/>
    <cellStyle name="Input 2 12 2 7 4" xfId="37005"/>
    <cellStyle name="Input 2 12 2 8" xfId="19970"/>
    <cellStyle name="Input 2 12 2 8 2" xfId="45492"/>
    <cellStyle name="Input 2 12 2 8 3" xfId="49398"/>
    <cellStyle name="Input 2 12 2 9" xfId="39785"/>
    <cellStyle name="Input 2 12 3" xfId="53016"/>
    <cellStyle name="Input 2 13" xfId="1860"/>
    <cellStyle name="Input 2 13 2" xfId="7046"/>
    <cellStyle name="Input 2 13 2 10" xfId="39594"/>
    <cellStyle name="Input 2 13 2 2" xfId="10573"/>
    <cellStyle name="Input 2 13 2 2 2" xfId="18360"/>
    <cellStyle name="Input 2 13 2 2 2 2" xfId="43892"/>
    <cellStyle name="Input 2 13 2 2 2 3" xfId="47801"/>
    <cellStyle name="Input 2 13 2 2 2 4" xfId="35983"/>
    <cellStyle name="Input 2 13 2 2 3" xfId="19741"/>
    <cellStyle name="Input 2 13 2 2 3 2" xfId="45263"/>
    <cellStyle name="Input 2 13 2 2 3 3" xfId="49169"/>
    <cellStyle name="Input 2 13 2 2 3 4" xfId="37254"/>
    <cellStyle name="Input 2 13 2 2 4" xfId="19245"/>
    <cellStyle name="Input 2 13 2 2 4 2" xfId="44767"/>
    <cellStyle name="Input 2 13 2 2 4 3" xfId="48673"/>
    <cellStyle name="Input 2 13 2 2 4 4" xfId="36809"/>
    <cellStyle name="Input 2 13 2 2 5" xfId="20773"/>
    <cellStyle name="Input 2 13 2 2 5 2" xfId="46295"/>
    <cellStyle name="Input 2 13 2 2 5 3" xfId="50201"/>
    <cellStyle name="Input 2 13 2 2 5 4" xfId="38165"/>
    <cellStyle name="Input 2 13 2 2 6" xfId="21426"/>
    <cellStyle name="Input 2 13 2 2 6 2" xfId="46948"/>
    <cellStyle name="Input 2 13 2 2 6 3" xfId="50854"/>
    <cellStyle name="Input 2 13 2 2 7" xfId="40751"/>
    <cellStyle name="Input 2 13 2 2 8" xfId="43714"/>
    <cellStyle name="Input 2 13 2 3" xfId="10868"/>
    <cellStyle name="Input 2 13 2 3 2" xfId="18655"/>
    <cellStyle name="Input 2 13 2 3 2 2" xfId="44187"/>
    <cellStyle name="Input 2 13 2 3 2 3" xfId="48096"/>
    <cellStyle name="Input 2 13 2 3 2 4" xfId="36278"/>
    <cellStyle name="Input 2 13 2 3 3" xfId="12165"/>
    <cellStyle name="Input 2 13 2 3 3 2" xfId="41890"/>
    <cellStyle name="Input 2 13 2 3 3 3" xfId="39295"/>
    <cellStyle name="Input 2 13 2 3 3 4" xfId="29823"/>
    <cellStyle name="Input 2 13 2 3 4" xfId="20345"/>
    <cellStyle name="Input 2 13 2 3 4 2" xfId="45867"/>
    <cellStyle name="Input 2 13 2 3 4 3" xfId="49773"/>
    <cellStyle name="Input 2 13 2 3 4 4" xfId="37787"/>
    <cellStyle name="Input 2 13 2 3 5" xfId="21068"/>
    <cellStyle name="Input 2 13 2 3 5 2" xfId="46590"/>
    <cellStyle name="Input 2 13 2 3 5 3" xfId="50496"/>
    <cellStyle name="Input 2 13 2 3 5 4" xfId="38460"/>
    <cellStyle name="Input 2 13 2 3 6" xfId="21721"/>
    <cellStyle name="Input 2 13 2 3 6 2" xfId="47243"/>
    <cellStyle name="Input 2 13 2 3 6 3" xfId="51149"/>
    <cellStyle name="Input 2 13 2 3 7" xfId="41046"/>
    <cellStyle name="Input 2 13 2 3 8" xfId="43485"/>
    <cellStyle name="Input 2 13 2 4" xfId="14828"/>
    <cellStyle name="Input 2 13 2 4 2" xfId="42926"/>
    <cellStyle name="Input 2 13 2 4 3" xfId="39247"/>
    <cellStyle name="Input 2 13 2 4 4" xfId="32449"/>
    <cellStyle name="Input 2 13 2 5" xfId="13098"/>
    <cellStyle name="Input 2 13 2 5 2" xfId="42300"/>
    <cellStyle name="Input 2 13 2 5 3" xfId="39624"/>
    <cellStyle name="Input 2 13 2 5 4" xfId="30733"/>
    <cellStyle name="Input 2 13 2 6" xfId="19634"/>
    <cellStyle name="Input 2 13 2 6 2" xfId="45156"/>
    <cellStyle name="Input 2 13 2 6 3" xfId="49062"/>
    <cellStyle name="Input 2 13 2 6 4" xfId="37156"/>
    <cellStyle name="Input 2 13 2 7" xfId="20454"/>
    <cellStyle name="Input 2 13 2 7 2" xfId="45976"/>
    <cellStyle name="Input 2 13 2 7 3" xfId="49882"/>
    <cellStyle name="Input 2 13 2 7 4" xfId="37893"/>
    <cellStyle name="Input 2 13 2 8" xfId="12858"/>
    <cellStyle name="Input 2 13 2 8 2" xfId="42222"/>
    <cellStyle name="Input 2 13 2 8 3" xfId="43443"/>
    <cellStyle name="Input 2 13 2 9" xfId="39786"/>
    <cellStyle name="Input 2 13 3" xfId="22430"/>
    <cellStyle name="Input 2 14" xfId="1861"/>
    <cellStyle name="Input 2 14 2" xfId="7047"/>
    <cellStyle name="Input 2 14 2 10" xfId="42602"/>
    <cellStyle name="Input 2 14 2 2" xfId="10574"/>
    <cellStyle name="Input 2 14 2 2 2" xfId="18361"/>
    <cellStyle name="Input 2 14 2 2 2 2" xfId="43893"/>
    <cellStyle name="Input 2 14 2 2 2 3" xfId="47802"/>
    <cellStyle name="Input 2 14 2 2 2 4" xfId="35984"/>
    <cellStyle name="Input 2 14 2 2 3" xfId="11487"/>
    <cellStyle name="Input 2 14 2 2 3 2" xfId="41478"/>
    <cellStyle name="Input 2 14 2 2 3 3" xfId="41368"/>
    <cellStyle name="Input 2 14 2 2 3 4" xfId="29188"/>
    <cellStyle name="Input 2 14 2 2 4" xfId="20082"/>
    <cellStyle name="Input 2 14 2 2 4 2" xfId="45604"/>
    <cellStyle name="Input 2 14 2 2 4 3" xfId="49510"/>
    <cellStyle name="Input 2 14 2 2 4 4" xfId="37558"/>
    <cellStyle name="Input 2 14 2 2 5" xfId="20774"/>
    <cellStyle name="Input 2 14 2 2 5 2" xfId="46296"/>
    <cellStyle name="Input 2 14 2 2 5 3" xfId="50202"/>
    <cellStyle name="Input 2 14 2 2 5 4" xfId="38166"/>
    <cellStyle name="Input 2 14 2 2 6" xfId="21427"/>
    <cellStyle name="Input 2 14 2 2 6 2" xfId="46949"/>
    <cellStyle name="Input 2 14 2 2 6 3" xfId="50855"/>
    <cellStyle name="Input 2 14 2 2 7" xfId="40752"/>
    <cellStyle name="Input 2 14 2 2 8" xfId="40573"/>
    <cellStyle name="Input 2 14 2 3" xfId="10869"/>
    <cellStyle name="Input 2 14 2 3 2" xfId="18656"/>
    <cellStyle name="Input 2 14 2 3 2 2" xfId="44188"/>
    <cellStyle name="Input 2 14 2 3 2 3" xfId="48097"/>
    <cellStyle name="Input 2 14 2 3 2 4" xfId="36279"/>
    <cellStyle name="Input 2 14 2 3 3" xfId="13332"/>
    <cellStyle name="Input 2 14 2 3 3 2" xfId="42483"/>
    <cellStyle name="Input 2 14 2 3 3 3" xfId="40404"/>
    <cellStyle name="Input 2 14 2 3 3 4" xfId="30958"/>
    <cellStyle name="Input 2 14 2 3 4" xfId="11606"/>
    <cellStyle name="Input 2 14 2 3 4 2" xfId="41597"/>
    <cellStyle name="Input 2 14 2 3 4 3" xfId="40043"/>
    <cellStyle name="Input 2 14 2 3 4 4" xfId="29295"/>
    <cellStyle name="Input 2 14 2 3 5" xfId="21069"/>
    <cellStyle name="Input 2 14 2 3 5 2" xfId="46591"/>
    <cellStyle name="Input 2 14 2 3 5 3" xfId="50497"/>
    <cellStyle name="Input 2 14 2 3 5 4" xfId="38461"/>
    <cellStyle name="Input 2 14 2 3 6" xfId="21722"/>
    <cellStyle name="Input 2 14 2 3 6 2" xfId="47244"/>
    <cellStyle name="Input 2 14 2 3 6 3" xfId="51150"/>
    <cellStyle name="Input 2 14 2 3 7" xfId="41047"/>
    <cellStyle name="Input 2 14 2 3 8" xfId="40348"/>
    <cellStyle name="Input 2 14 2 4" xfId="14829"/>
    <cellStyle name="Input 2 14 2 4 2" xfId="42927"/>
    <cellStyle name="Input 2 14 2 4 3" xfId="39034"/>
    <cellStyle name="Input 2 14 2 4 4" xfId="32450"/>
    <cellStyle name="Input 2 14 2 5" xfId="11285"/>
    <cellStyle name="Input 2 14 2 5 2" xfId="41312"/>
    <cellStyle name="Input 2 14 2 5 3" xfId="43473"/>
    <cellStyle name="Input 2 14 2 5 4" xfId="28999"/>
    <cellStyle name="Input 2 14 2 6" xfId="20379"/>
    <cellStyle name="Input 2 14 2 6 2" xfId="45901"/>
    <cellStyle name="Input 2 14 2 6 3" xfId="49807"/>
    <cellStyle name="Input 2 14 2 6 4" xfId="37819"/>
    <cellStyle name="Input 2 14 2 7" xfId="19140"/>
    <cellStyle name="Input 2 14 2 7 2" xfId="44662"/>
    <cellStyle name="Input 2 14 2 7 3" xfId="48568"/>
    <cellStyle name="Input 2 14 2 7 4" xfId="36720"/>
    <cellStyle name="Input 2 14 2 8" xfId="19347"/>
    <cellStyle name="Input 2 14 2 8 2" xfId="44869"/>
    <cellStyle name="Input 2 14 2 8 3" xfId="48775"/>
    <cellStyle name="Input 2 14 2 9" xfId="39787"/>
    <cellStyle name="Input 2 14 3" xfId="53017"/>
    <cellStyle name="Input 2 15" xfId="4228"/>
    <cellStyle name="Input 2 15 2" xfId="7048"/>
    <cellStyle name="Input 2 15 2 10" xfId="43515"/>
    <cellStyle name="Input 2 15 2 2" xfId="10575"/>
    <cellStyle name="Input 2 15 2 2 2" xfId="18362"/>
    <cellStyle name="Input 2 15 2 2 2 2" xfId="43894"/>
    <cellStyle name="Input 2 15 2 2 2 3" xfId="47803"/>
    <cellStyle name="Input 2 15 2 2 2 4" xfId="35985"/>
    <cellStyle name="Input 2 15 2 2 3" xfId="19601"/>
    <cellStyle name="Input 2 15 2 2 3 2" xfId="45123"/>
    <cellStyle name="Input 2 15 2 2 3 3" xfId="49029"/>
    <cellStyle name="Input 2 15 2 2 3 4" xfId="37127"/>
    <cellStyle name="Input 2 15 2 2 4" xfId="12049"/>
    <cellStyle name="Input 2 15 2 2 4 2" xfId="41783"/>
    <cellStyle name="Input 2 15 2 2 4 3" xfId="41901"/>
    <cellStyle name="Input 2 15 2 2 4 4" xfId="29714"/>
    <cellStyle name="Input 2 15 2 2 5" xfId="20775"/>
    <cellStyle name="Input 2 15 2 2 5 2" xfId="46297"/>
    <cellStyle name="Input 2 15 2 2 5 3" xfId="50203"/>
    <cellStyle name="Input 2 15 2 2 5 4" xfId="38167"/>
    <cellStyle name="Input 2 15 2 2 6" xfId="21428"/>
    <cellStyle name="Input 2 15 2 2 6 2" xfId="46950"/>
    <cellStyle name="Input 2 15 2 2 6 3" xfId="50856"/>
    <cellStyle name="Input 2 15 2 2 7" xfId="40753"/>
    <cellStyle name="Input 2 15 2 2 8" xfId="39684"/>
    <cellStyle name="Input 2 15 2 3" xfId="10870"/>
    <cellStyle name="Input 2 15 2 3 2" xfId="18657"/>
    <cellStyle name="Input 2 15 2 3 2 2" xfId="44189"/>
    <cellStyle name="Input 2 15 2 3 2 3" xfId="48098"/>
    <cellStyle name="Input 2 15 2 3 2 4" xfId="36280"/>
    <cellStyle name="Input 2 15 2 3 3" xfId="12166"/>
    <cellStyle name="Input 2 15 2 3 3 2" xfId="41891"/>
    <cellStyle name="Input 2 15 2 3 3 3" xfId="41961"/>
    <cellStyle name="Input 2 15 2 3 3 4" xfId="29824"/>
    <cellStyle name="Input 2 15 2 3 4" xfId="11607"/>
    <cellStyle name="Input 2 15 2 3 4 2" xfId="41598"/>
    <cellStyle name="Input 2 15 2 3 4 3" xfId="42788"/>
    <cellStyle name="Input 2 15 2 3 4 4" xfId="29296"/>
    <cellStyle name="Input 2 15 2 3 5" xfId="21070"/>
    <cellStyle name="Input 2 15 2 3 5 2" xfId="46592"/>
    <cellStyle name="Input 2 15 2 3 5 3" xfId="50498"/>
    <cellStyle name="Input 2 15 2 3 5 4" xfId="38462"/>
    <cellStyle name="Input 2 15 2 3 6" xfId="21723"/>
    <cellStyle name="Input 2 15 2 3 6 2" xfId="47245"/>
    <cellStyle name="Input 2 15 2 3 6 3" xfId="51151"/>
    <cellStyle name="Input 2 15 2 3 7" xfId="41048"/>
    <cellStyle name="Input 2 15 2 3 8" xfId="39460"/>
    <cellStyle name="Input 2 15 2 4" xfId="14830"/>
    <cellStyle name="Input 2 15 2 4 2" xfId="42928"/>
    <cellStyle name="Input 2 15 2 4 3" xfId="41261"/>
    <cellStyle name="Input 2 15 2 4 4" xfId="32451"/>
    <cellStyle name="Input 2 15 2 5" xfId="12464"/>
    <cellStyle name="Input 2 15 2 5 2" xfId="41966"/>
    <cellStyle name="Input 2 15 2 5 3" xfId="41287"/>
    <cellStyle name="Input 2 15 2 5 4" xfId="30121"/>
    <cellStyle name="Input 2 15 2 6" xfId="11334"/>
    <cellStyle name="Input 2 15 2 6 2" xfId="41353"/>
    <cellStyle name="Input 2 15 2 6 3" xfId="42798"/>
    <cellStyle name="Input 2 15 2 6 4" xfId="29046"/>
    <cellStyle name="Input 2 15 2 7" xfId="19064"/>
    <cellStyle name="Input 2 15 2 7 2" xfId="44586"/>
    <cellStyle name="Input 2 15 2 7 3" xfId="48492"/>
    <cellStyle name="Input 2 15 2 7 4" xfId="36646"/>
    <cellStyle name="Input 2 15 2 8" xfId="11655"/>
    <cellStyle name="Input 2 15 2 8 2" xfId="41646"/>
    <cellStyle name="Input 2 15 2 8 3" xfId="39135"/>
    <cellStyle name="Input 2 15 2 9" xfId="39788"/>
    <cellStyle name="Input 2 16" xfId="4229"/>
    <cellStyle name="Input 2 16 2" xfId="7049"/>
    <cellStyle name="Input 2 16 2 10" xfId="40378"/>
    <cellStyle name="Input 2 16 2 2" xfId="10576"/>
    <cellStyle name="Input 2 16 2 2 2" xfId="18363"/>
    <cellStyle name="Input 2 16 2 2 2 2" xfId="43895"/>
    <cellStyle name="Input 2 16 2 2 2 3" xfId="47804"/>
    <cellStyle name="Input 2 16 2 2 2 4" xfId="35986"/>
    <cellStyle name="Input 2 16 2 2 3" xfId="20156"/>
    <cellStyle name="Input 2 16 2 2 3 2" xfId="45678"/>
    <cellStyle name="Input 2 16 2 2 3 3" xfId="49584"/>
    <cellStyle name="Input 2 16 2 2 3 4" xfId="37628"/>
    <cellStyle name="Input 2 16 2 2 4" xfId="11614"/>
    <cellStyle name="Input 2 16 2 2 4 2" xfId="41605"/>
    <cellStyle name="Input 2 16 2 2 4 3" xfId="39542"/>
    <cellStyle name="Input 2 16 2 2 4 4" xfId="29303"/>
    <cellStyle name="Input 2 16 2 2 5" xfId="20776"/>
    <cellStyle name="Input 2 16 2 2 5 2" xfId="46298"/>
    <cellStyle name="Input 2 16 2 2 5 3" xfId="50204"/>
    <cellStyle name="Input 2 16 2 2 5 4" xfId="38168"/>
    <cellStyle name="Input 2 16 2 2 6" xfId="21429"/>
    <cellStyle name="Input 2 16 2 2 6 2" xfId="46951"/>
    <cellStyle name="Input 2 16 2 2 6 3" xfId="50857"/>
    <cellStyle name="Input 2 16 2 2 7" xfId="40754"/>
    <cellStyle name="Input 2 16 2 2 8" xfId="42721"/>
    <cellStyle name="Input 2 16 2 3" xfId="10871"/>
    <cellStyle name="Input 2 16 2 3 2" xfId="18658"/>
    <cellStyle name="Input 2 16 2 3 2 2" xfId="44190"/>
    <cellStyle name="Input 2 16 2 3 2 3" xfId="48099"/>
    <cellStyle name="Input 2 16 2 3 2 4" xfId="36281"/>
    <cellStyle name="Input 2 16 2 3 3" xfId="12167"/>
    <cellStyle name="Input 2 16 2 3 3 2" xfId="41892"/>
    <cellStyle name="Input 2 16 2 3 3 3" xfId="43310"/>
    <cellStyle name="Input 2 16 2 3 3 4" xfId="29825"/>
    <cellStyle name="Input 2 16 2 3 4" xfId="18945"/>
    <cellStyle name="Input 2 16 2 3 4 2" xfId="44467"/>
    <cellStyle name="Input 2 16 2 3 4 3" xfId="48373"/>
    <cellStyle name="Input 2 16 2 3 4 4" xfId="36557"/>
    <cellStyle name="Input 2 16 2 3 5" xfId="21071"/>
    <cellStyle name="Input 2 16 2 3 5 2" xfId="46593"/>
    <cellStyle name="Input 2 16 2 3 5 3" xfId="50499"/>
    <cellStyle name="Input 2 16 2 3 5 4" xfId="38463"/>
    <cellStyle name="Input 2 16 2 3 6" xfId="21724"/>
    <cellStyle name="Input 2 16 2 3 6 2" xfId="47246"/>
    <cellStyle name="Input 2 16 2 3 6 3" xfId="51152"/>
    <cellStyle name="Input 2 16 2 3 7" xfId="41049"/>
    <cellStyle name="Input 2 16 2 3 8" xfId="42028"/>
    <cellStyle name="Input 2 16 2 4" xfId="14831"/>
    <cellStyle name="Input 2 16 2 4 2" xfId="42929"/>
    <cellStyle name="Input 2 16 2 4 3" xfId="43154"/>
    <cellStyle name="Input 2 16 2 4 4" xfId="32452"/>
    <cellStyle name="Input 2 16 2 5" xfId="12465"/>
    <cellStyle name="Input 2 16 2 5 2" xfId="41967"/>
    <cellStyle name="Input 2 16 2 5 3" xfId="43174"/>
    <cellStyle name="Input 2 16 2 5 4" xfId="30122"/>
    <cellStyle name="Input 2 16 2 6" xfId="19764"/>
    <cellStyle name="Input 2 16 2 6 2" xfId="45286"/>
    <cellStyle name="Input 2 16 2 6 3" xfId="49192"/>
    <cellStyle name="Input 2 16 2 6 4" xfId="37277"/>
    <cellStyle name="Input 2 16 2 7" xfId="20354"/>
    <cellStyle name="Input 2 16 2 7 2" xfId="45876"/>
    <cellStyle name="Input 2 16 2 7 3" xfId="49782"/>
    <cellStyle name="Input 2 16 2 7 4" xfId="37796"/>
    <cellStyle name="Input 2 16 2 8" xfId="19789"/>
    <cellStyle name="Input 2 16 2 8 2" xfId="45311"/>
    <cellStyle name="Input 2 16 2 8 3" xfId="49217"/>
    <cellStyle name="Input 2 16 2 9" xfId="39789"/>
    <cellStyle name="Input 2 17" xfId="4230"/>
    <cellStyle name="Input 2 17 2" xfId="10454"/>
    <cellStyle name="Input 2 17 2 2" xfId="18241"/>
    <cellStyle name="Input 2 17 2 2 2" xfId="43773"/>
    <cellStyle name="Input 2 17 2 2 3" xfId="47682"/>
    <cellStyle name="Input 2 17 2 2 4" xfId="35864"/>
    <cellStyle name="Input 2 17 2 3" xfId="11476"/>
    <cellStyle name="Input 2 17 2 3 2" xfId="41467"/>
    <cellStyle name="Input 2 17 2 3 3" xfId="40438"/>
    <cellStyle name="Input 2 17 2 3 4" xfId="29177"/>
    <cellStyle name="Input 2 17 2 4" xfId="12673"/>
    <cellStyle name="Input 2 17 2 4 2" xfId="42133"/>
    <cellStyle name="Input 2 17 2 4 3" xfId="40161"/>
    <cellStyle name="Input 2 17 2 4 4" xfId="30321"/>
    <cellStyle name="Input 2 17 2 5" xfId="20654"/>
    <cellStyle name="Input 2 17 2 5 2" xfId="46176"/>
    <cellStyle name="Input 2 17 2 5 3" xfId="50082"/>
    <cellStyle name="Input 2 17 2 5 4" xfId="38046"/>
    <cellStyle name="Input 2 17 2 6" xfId="21307"/>
    <cellStyle name="Input 2 17 2 6 2" xfId="46829"/>
    <cellStyle name="Input 2 17 2 6 3" xfId="50735"/>
    <cellStyle name="Input 2 17 2 7" xfId="40632"/>
    <cellStyle name="Input 2 17 2 8" xfId="43719"/>
    <cellStyle name="Input 2 17 3" xfId="8457"/>
    <cellStyle name="Input 2 17 3 2" xfId="16247"/>
    <cellStyle name="Input 2 17 3 2 2" xfId="43382"/>
    <cellStyle name="Input 2 17 3 2 3" xfId="40490"/>
    <cellStyle name="Input 2 17 3 2 4" xfId="33868"/>
    <cellStyle name="Input 2 17 3 3" xfId="13283"/>
    <cellStyle name="Input 2 17 3 3 2" xfId="42434"/>
    <cellStyle name="Input 2 17 3 3 3" xfId="41936"/>
    <cellStyle name="Input 2 17 3 3 4" xfId="30914"/>
    <cellStyle name="Input 2 17 3 4" xfId="11782"/>
    <cellStyle name="Input 2 17 3 4 2" xfId="41715"/>
    <cellStyle name="Input 2 17 3 4 3" xfId="39127"/>
    <cellStyle name="Input 2 17 3 4 4" xfId="29454"/>
    <cellStyle name="Input 2 17 3 5" xfId="20062"/>
    <cellStyle name="Input 2 17 3 5 2" xfId="45584"/>
    <cellStyle name="Input 2 17 3 5 3" xfId="49490"/>
    <cellStyle name="Input 2 17 3 5 4" xfId="37542"/>
    <cellStyle name="Input 2 17 3 6" xfId="12784"/>
    <cellStyle name="Input 2 17 3 6 2" xfId="42186"/>
    <cellStyle name="Input 2 17 3 6 3" xfId="39281"/>
    <cellStyle name="Input 2 17 3 7" xfId="40244"/>
    <cellStyle name="Input 2 17 3 8" xfId="39202"/>
    <cellStyle name="Input 2 18" xfId="7042"/>
    <cellStyle name="Input 2 18 10" xfId="39938"/>
    <cellStyle name="Input 2 18 2" xfId="10569"/>
    <cellStyle name="Input 2 18 2 2" xfId="18356"/>
    <cellStyle name="Input 2 18 2 2 2" xfId="43888"/>
    <cellStyle name="Input 2 18 2 2 3" xfId="47797"/>
    <cellStyle name="Input 2 18 2 2 4" xfId="35979"/>
    <cellStyle name="Input 2 18 2 3" xfId="11486"/>
    <cellStyle name="Input 2 18 2 3 2" xfId="41477"/>
    <cellStyle name="Input 2 18 2 3 3" xfId="39144"/>
    <cellStyle name="Input 2 18 2 3 4" xfId="29187"/>
    <cellStyle name="Input 2 18 2 4" xfId="18970"/>
    <cellStyle name="Input 2 18 2 4 2" xfId="44492"/>
    <cellStyle name="Input 2 18 2 4 3" xfId="48398"/>
    <cellStyle name="Input 2 18 2 4 4" xfId="36580"/>
    <cellStyle name="Input 2 18 2 5" xfId="20769"/>
    <cellStyle name="Input 2 18 2 5 2" xfId="46291"/>
    <cellStyle name="Input 2 18 2 5 3" xfId="50197"/>
    <cellStyle name="Input 2 18 2 5 4" xfId="38161"/>
    <cellStyle name="Input 2 18 2 6" xfId="21422"/>
    <cellStyle name="Input 2 18 2 6 2" xfId="46944"/>
    <cellStyle name="Input 2 18 2 6 3" xfId="50850"/>
    <cellStyle name="Input 2 18 2 7" xfId="40747"/>
    <cellStyle name="Input 2 18 2 8" xfId="41414"/>
    <cellStyle name="Input 2 18 3" xfId="10864"/>
    <cellStyle name="Input 2 18 3 2" xfId="18651"/>
    <cellStyle name="Input 2 18 3 2 2" xfId="44183"/>
    <cellStyle name="Input 2 18 3 2 3" xfId="48092"/>
    <cellStyle name="Input 2 18 3 2 4" xfId="36274"/>
    <cellStyle name="Input 2 18 3 3" xfId="11511"/>
    <cellStyle name="Input 2 18 3 3 2" xfId="41502"/>
    <cellStyle name="Input 2 18 3 3 3" xfId="43682"/>
    <cellStyle name="Input 2 18 3 3 4" xfId="29212"/>
    <cellStyle name="Input 2 18 3 4" xfId="18968"/>
    <cellStyle name="Input 2 18 3 4 2" xfId="44490"/>
    <cellStyle name="Input 2 18 3 4 3" xfId="48396"/>
    <cellStyle name="Input 2 18 3 4 4" xfId="36578"/>
    <cellStyle name="Input 2 18 3 5" xfId="21064"/>
    <cellStyle name="Input 2 18 3 5 2" xfId="46586"/>
    <cellStyle name="Input 2 18 3 5 3" xfId="50492"/>
    <cellStyle name="Input 2 18 3 5 4" xfId="38456"/>
    <cellStyle name="Input 2 18 3 6" xfId="21717"/>
    <cellStyle name="Input 2 18 3 6 2" xfId="47239"/>
    <cellStyle name="Input 2 18 3 6 3" xfId="51145"/>
    <cellStyle name="Input 2 18 3 7" xfId="41042"/>
    <cellStyle name="Input 2 18 3 8" xfId="43596"/>
    <cellStyle name="Input 2 18 4" xfId="14824"/>
    <cellStyle name="Input 2 18 4 2" xfId="42922"/>
    <cellStyle name="Input 2 18 4 3" xfId="39405"/>
    <cellStyle name="Input 2 18 4 4" xfId="32445"/>
    <cellStyle name="Input 2 18 5" xfId="13094"/>
    <cellStyle name="Input 2 18 5 2" xfId="42296"/>
    <cellStyle name="Input 2 18 5 3" xfId="40026"/>
    <cellStyle name="Input 2 18 5 4" xfId="30729"/>
    <cellStyle name="Input 2 18 6" xfId="11842"/>
    <cellStyle name="Input 2 18 6 2" xfId="41740"/>
    <cellStyle name="Input 2 18 6 3" xfId="47562"/>
    <cellStyle name="Input 2 18 6 4" xfId="29512"/>
    <cellStyle name="Input 2 18 7" xfId="19348"/>
    <cellStyle name="Input 2 18 7 2" xfId="44870"/>
    <cellStyle name="Input 2 18 7 3" xfId="48776"/>
    <cellStyle name="Input 2 18 7 4" xfId="36902"/>
    <cellStyle name="Input 2 18 8" xfId="20606"/>
    <cellStyle name="Input 2 18 8 2" xfId="46128"/>
    <cellStyle name="Input 2 18 8 3" xfId="50034"/>
    <cellStyle name="Input 2 18 9" xfId="39782"/>
    <cellStyle name="Input 2 19" xfId="1856"/>
    <cellStyle name="Input 2 2" xfId="1862"/>
    <cellStyle name="Input 2 2 2" xfId="1863"/>
    <cellStyle name="Input 2 2 2 2" xfId="7051"/>
    <cellStyle name="Input 2 2 2 2 10" xfId="42171"/>
    <cellStyle name="Input 2 2 2 2 2" xfId="10578"/>
    <cellStyle name="Input 2 2 2 2 2 2" xfId="18365"/>
    <cellStyle name="Input 2 2 2 2 2 2 2" xfId="43897"/>
    <cellStyle name="Input 2 2 2 2 2 2 3" xfId="47806"/>
    <cellStyle name="Input 2 2 2 2 2 2 4" xfId="35988"/>
    <cellStyle name="Input 2 2 2 2 2 3" xfId="20022"/>
    <cellStyle name="Input 2 2 2 2 2 3 2" xfId="45544"/>
    <cellStyle name="Input 2 2 2 2 2 3 3" xfId="49450"/>
    <cellStyle name="Input 2 2 2 2 2 3 4" xfId="37506"/>
    <cellStyle name="Input 2 2 2 2 2 4" xfId="20279"/>
    <cellStyle name="Input 2 2 2 2 2 4 2" xfId="45801"/>
    <cellStyle name="Input 2 2 2 2 2 4 3" xfId="49707"/>
    <cellStyle name="Input 2 2 2 2 2 4 4" xfId="37732"/>
    <cellStyle name="Input 2 2 2 2 2 5" xfId="20778"/>
    <cellStyle name="Input 2 2 2 2 2 5 2" xfId="46300"/>
    <cellStyle name="Input 2 2 2 2 2 5 3" xfId="50206"/>
    <cellStyle name="Input 2 2 2 2 2 5 4" xfId="38170"/>
    <cellStyle name="Input 2 2 2 2 2 6" xfId="21431"/>
    <cellStyle name="Input 2 2 2 2 2 6 2" xfId="46953"/>
    <cellStyle name="Input 2 2 2 2 2 6 3" xfId="50859"/>
    <cellStyle name="Input 2 2 2 2 2 7" xfId="40756"/>
    <cellStyle name="Input 2 2 2 2 2 8" xfId="40468"/>
    <cellStyle name="Input 2 2 2 2 3" xfId="10873"/>
    <cellStyle name="Input 2 2 2 2 3 2" xfId="18660"/>
    <cellStyle name="Input 2 2 2 2 3 2 2" xfId="44192"/>
    <cellStyle name="Input 2 2 2 2 3 2 3" xfId="48101"/>
    <cellStyle name="Input 2 2 2 2 3 2 4" xfId="36283"/>
    <cellStyle name="Input 2 2 2 2 3 3" xfId="13334"/>
    <cellStyle name="Input 2 2 2 2 3 3 2" xfId="42485"/>
    <cellStyle name="Input 2 2 2 2 3 3 3" xfId="42521"/>
    <cellStyle name="Input 2 2 2 2 3 3 4" xfId="30960"/>
    <cellStyle name="Input 2 2 2 2 3 4" xfId="11608"/>
    <cellStyle name="Input 2 2 2 2 3 4 2" xfId="41599"/>
    <cellStyle name="Input 2 2 2 2 3 4 3" xfId="43677"/>
    <cellStyle name="Input 2 2 2 2 3 4 4" xfId="29297"/>
    <cellStyle name="Input 2 2 2 2 3 5" xfId="21073"/>
    <cellStyle name="Input 2 2 2 2 3 5 2" xfId="46595"/>
    <cellStyle name="Input 2 2 2 2 3 5 3" xfId="50501"/>
    <cellStyle name="Input 2 2 2 2 3 5 4" xfId="38465"/>
    <cellStyle name="Input 2 2 2 2 3 6" xfId="21726"/>
    <cellStyle name="Input 2 2 2 2 3 6 2" xfId="47248"/>
    <cellStyle name="Input 2 2 2 2 3 6 3" xfId="51154"/>
    <cellStyle name="Input 2 2 2 2 3 7" xfId="41051"/>
    <cellStyle name="Input 2 2 2 2 3 8" xfId="40209"/>
    <cellStyle name="Input 2 2 2 2 4" xfId="14833"/>
    <cellStyle name="Input 2 2 2 2 4 2" xfId="42931"/>
    <cellStyle name="Input 2 2 2 2 4 3" xfId="42754"/>
    <cellStyle name="Input 2 2 2 2 4 4" xfId="32454"/>
    <cellStyle name="Input 2 2 2 2 5" xfId="13100"/>
    <cellStyle name="Input 2 2 2 2 5 2" xfId="42302"/>
    <cellStyle name="Input 2 2 2 2 5 3" xfId="43549"/>
    <cellStyle name="Input 2 2 2 2 5 4" xfId="30735"/>
    <cellStyle name="Input 2 2 2 2 6" xfId="20264"/>
    <cellStyle name="Input 2 2 2 2 6 2" xfId="45786"/>
    <cellStyle name="Input 2 2 2 2 6 3" xfId="49692"/>
    <cellStyle name="Input 2 2 2 2 6 4" xfId="37718"/>
    <cellStyle name="Input 2 2 2 2 7" xfId="11563"/>
    <cellStyle name="Input 2 2 2 2 7 2" xfId="41554"/>
    <cellStyle name="Input 2 2 2 2 7 3" xfId="43187"/>
    <cellStyle name="Input 2 2 2 2 7 4" xfId="29260"/>
    <cellStyle name="Input 2 2 2 2 8" xfId="19483"/>
    <cellStyle name="Input 2 2 2 2 8 2" xfId="45005"/>
    <cellStyle name="Input 2 2 2 2 8 3" xfId="48911"/>
    <cellStyle name="Input 2 2 2 2 9" xfId="39791"/>
    <cellStyle name="Input 2 2 2 3" xfId="53019"/>
    <cellStyle name="Input 2 2 3" xfId="1864"/>
    <cellStyle name="Input 2 2 3 2" xfId="7052"/>
    <cellStyle name="Input 2 2 3 2 10" xfId="43398"/>
    <cellStyle name="Input 2 2 3 2 2" xfId="10579"/>
    <cellStyle name="Input 2 2 3 2 2 2" xfId="18366"/>
    <cellStyle name="Input 2 2 3 2 2 2 2" xfId="43898"/>
    <cellStyle name="Input 2 2 3 2 2 2 3" xfId="47807"/>
    <cellStyle name="Input 2 2 3 2 2 2 4" xfId="35989"/>
    <cellStyle name="Input 2 2 3 2 2 3" xfId="19288"/>
    <cellStyle name="Input 2 2 3 2 2 3 2" xfId="44810"/>
    <cellStyle name="Input 2 2 3 2 2 3 3" xfId="48716"/>
    <cellStyle name="Input 2 2 3 2 2 3 4" xfId="36852"/>
    <cellStyle name="Input 2 2 3 2 2 4" xfId="19223"/>
    <cellStyle name="Input 2 2 3 2 2 4 2" xfId="44745"/>
    <cellStyle name="Input 2 2 3 2 2 4 3" xfId="48651"/>
    <cellStyle name="Input 2 2 3 2 2 4 4" xfId="36790"/>
    <cellStyle name="Input 2 2 3 2 2 5" xfId="20779"/>
    <cellStyle name="Input 2 2 3 2 2 5 2" xfId="46301"/>
    <cellStyle name="Input 2 2 3 2 2 5 3" xfId="50207"/>
    <cellStyle name="Input 2 2 3 2 2 5 4" xfId="38171"/>
    <cellStyle name="Input 2 2 3 2 2 6" xfId="21432"/>
    <cellStyle name="Input 2 2 3 2 2 6 2" xfId="46954"/>
    <cellStyle name="Input 2 2 3 2 2 6 3" xfId="50860"/>
    <cellStyle name="Input 2 2 3 2 2 7" xfId="40757"/>
    <cellStyle name="Input 2 2 3 2 2 8" xfId="39578"/>
    <cellStyle name="Input 2 2 3 2 3" xfId="10874"/>
    <cellStyle name="Input 2 2 3 2 3 2" xfId="18661"/>
    <cellStyle name="Input 2 2 3 2 3 2 2" xfId="44193"/>
    <cellStyle name="Input 2 2 3 2 3 2 3" xfId="48102"/>
    <cellStyle name="Input 2 2 3 2 3 2 4" xfId="36284"/>
    <cellStyle name="Input 2 2 3 2 3 3" xfId="12169"/>
    <cellStyle name="Input 2 2 3 2 3 3 2" xfId="41894"/>
    <cellStyle name="Input 2 2 3 2 3 3 3" xfId="39294"/>
    <cellStyle name="Input 2 2 3 2 3 3 4" xfId="29827"/>
    <cellStyle name="Input 2 2 3 2 3 4" xfId="20348"/>
    <cellStyle name="Input 2 2 3 2 3 4 2" xfId="45870"/>
    <cellStyle name="Input 2 2 3 2 3 4 3" xfId="49776"/>
    <cellStyle name="Input 2 2 3 2 3 4 4" xfId="37790"/>
    <cellStyle name="Input 2 2 3 2 3 5" xfId="21074"/>
    <cellStyle name="Input 2 2 3 2 3 5 2" xfId="46596"/>
    <cellStyle name="Input 2 2 3 2 3 5 3" xfId="50502"/>
    <cellStyle name="Input 2 2 3 2 3 5 4" xfId="38466"/>
    <cellStyle name="Input 2 2 3 2 3 6" xfId="21727"/>
    <cellStyle name="Input 2 2 3 2 3 6 2" xfId="47249"/>
    <cellStyle name="Input 2 2 3 2 3 6 3" xfId="51155"/>
    <cellStyle name="Input 2 2 3 2 3 7" xfId="41052"/>
    <cellStyle name="Input 2 2 3 2 3 8" xfId="39349"/>
    <cellStyle name="Input 2 2 3 2 4" xfId="14834"/>
    <cellStyle name="Input 2 2 3 2 4 2" xfId="42932"/>
    <cellStyle name="Input 2 2 3 2 4 3" xfId="43641"/>
    <cellStyle name="Input 2 2 3 2 4 4" xfId="32455"/>
    <cellStyle name="Input 2 2 3 2 5" xfId="13101"/>
    <cellStyle name="Input 2 2 3 2 5 2" xfId="42303"/>
    <cellStyle name="Input 2 2 3 2 5 3" xfId="40410"/>
    <cellStyle name="Input 2 2 3 2 5 4" xfId="30736"/>
    <cellStyle name="Input 2 2 3 2 6" xfId="19153"/>
    <cellStyle name="Input 2 2 3 2 6 2" xfId="44675"/>
    <cellStyle name="Input 2 2 3 2 6 3" xfId="48581"/>
    <cellStyle name="Input 2 2 3 2 6 4" xfId="36731"/>
    <cellStyle name="Input 2 2 3 2 7" xfId="11686"/>
    <cellStyle name="Input 2 2 3 2 7 2" xfId="41673"/>
    <cellStyle name="Input 2 2 3 2 7 3" xfId="43568"/>
    <cellStyle name="Input 2 2 3 2 7 4" xfId="29365"/>
    <cellStyle name="Input 2 2 3 2 8" xfId="20603"/>
    <cellStyle name="Input 2 2 3 2 8 2" xfId="46125"/>
    <cellStyle name="Input 2 2 3 2 8 3" xfId="50031"/>
    <cellStyle name="Input 2 2 3 2 9" xfId="39792"/>
    <cellStyle name="Input 2 2 3 3" xfId="22909"/>
    <cellStyle name="Input 2 2 3 3 2" xfId="47591"/>
    <cellStyle name="Input 2 2 3 3 3" xfId="51406"/>
    <cellStyle name="Input 2 2 3 3 4" xfId="39005"/>
    <cellStyle name="Input 2 2 3 4" xfId="23049"/>
    <cellStyle name="Input 2 2 3 4 2" xfId="47635"/>
    <cellStyle name="Input 2 2 3 4 3" xfId="51446"/>
    <cellStyle name="Input 2 2 3 5" xfId="53020"/>
    <cellStyle name="Input 2 2 4" xfId="4231"/>
    <cellStyle name="Input 2 2 4 2" xfId="7053"/>
    <cellStyle name="Input 2 2 4 2 10" xfId="40260"/>
    <cellStyle name="Input 2 2 4 2 2" xfId="10580"/>
    <cellStyle name="Input 2 2 4 2 2 2" xfId="18367"/>
    <cellStyle name="Input 2 2 4 2 2 2 2" xfId="43899"/>
    <cellStyle name="Input 2 2 4 2 2 2 3" xfId="47808"/>
    <cellStyle name="Input 2 2 4 2 2 2 4" xfId="35990"/>
    <cellStyle name="Input 2 2 4 2 2 3" xfId="19897"/>
    <cellStyle name="Input 2 2 4 2 2 3 2" xfId="45419"/>
    <cellStyle name="Input 2 2 4 2 2 3 3" xfId="49325"/>
    <cellStyle name="Input 2 2 4 2 2 3 4" xfId="37397"/>
    <cellStyle name="Input 2 2 4 2 2 4" xfId="12050"/>
    <cellStyle name="Input 2 2 4 2 2 4 2" xfId="41784"/>
    <cellStyle name="Input 2 2 4 2 2 4 3" xfId="43257"/>
    <cellStyle name="Input 2 2 4 2 2 4 4" xfId="29715"/>
    <cellStyle name="Input 2 2 4 2 2 5" xfId="20780"/>
    <cellStyle name="Input 2 2 4 2 2 5 2" xfId="46302"/>
    <cellStyle name="Input 2 2 4 2 2 5 3" xfId="50208"/>
    <cellStyle name="Input 2 2 4 2 2 5 4" xfId="38172"/>
    <cellStyle name="Input 2 2 4 2 2 6" xfId="21433"/>
    <cellStyle name="Input 2 2 4 2 2 6 2" xfId="46955"/>
    <cellStyle name="Input 2 2 4 2 2 6 3" xfId="50861"/>
    <cellStyle name="Input 2 2 4 2 2 7" xfId="40758"/>
    <cellStyle name="Input 2 2 4 2 2 8" xfId="42586"/>
    <cellStyle name="Input 2 2 4 2 3" xfId="10875"/>
    <cellStyle name="Input 2 2 4 2 3 2" xfId="18662"/>
    <cellStyle name="Input 2 2 4 2 3 2 2" xfId="44194"/>
    <cellStyle name="Input 2 2 4 2 3 2 3" xfId="48103"/>
    <cellStyle name="Input 2 2 4 2 3 2 4" xfId="36285"/>
    <cellStyle name="Input 2 2 4 2 3 3" xfId="13335"/>
    <cellStyle name="Input 2 2 4 2 3 3 2" xfId="42486"/>
    <cellStyle name="Input 2 2 4 2 3 3 3" xfId="43432"/>
    <cellStyle name="Input 2 2 4 2 3 3 4" xfId="30961"/>
    <cellStyle name="Input 2 2 4 2 3 4" xfId="20287"/>
    <cellStyle name="Input 2 2 4 2 3 4 2" xfId="45809"/>
    <cellStyle name="Input 2 2 4 2 3 4 3" xfId="49715"/>
    <cellStyle name="Input 2 2 4 2 3 4 4" xfId="37739"/>
    <cellStyle name="Input 2 2 4 2 3 5" xfId="21075"/>
    <cellStyle name="Input 2 2 4 2 3 5 2" xfId="46597"/>
    <cellStyle name="Input 2 2 4 2 3 5 3" xfId="50503"/>
    <cellStyle name="Input 2 2 4 2 3 5 4" xfId="38467"/>
    <cellStyle name="Input 2 2 4 2 3 6" xfId="21728"/>
    <cellStyle name="Input 2 2 4 2 3 6 2" xfId="47250"/>
    <cellStyle name="Input 2 2 4 2 3 6 3" xfId="51156"/>
    <cellStyle name="Input 2 2 4 2 3 7" xfId="41053"/>
    <cellStyle name="Input 2 2 4 2 3 8" xfId="39159"/>
    <cellStyle name="Input 2 2 4 2 4" xfId="14835"/>
    <cellStyle name="Input 2 2 4 2 4 2" xfId="42933"/>
    <cellStyle name="Input 2 2 4 2 4 3" xfId="40500"/>
    <cellStyle name="Input 2 2 4 2 4 4" xfId="32456"/>
    <cellStyle name="Input 2 2 4 2 5" xfId="13102"/>
    <cellStyle name="Input 2 2 4 2 5 2" xfId="42304"/>
    <cellStyle name="Input 2 2 4 2 5 3" xfId="39517"/>
    <cellStyle name="Input 2 2 4 2 5 4" xfId="30737"/>
    <cellStyle name="Input 2 2 4 2 6" xfId="11164"/>
    <cellStyle name="Input 2 2 4 2 6 2" xfId="41267"/>
    <cellStyle name="Input 2 2 4 2 6 3" xfId="41391"/>
    <cellStyle name="Input 2 2 4 2 6 4" xfId="28878"/>
    <cellStyle name="Input 2 2 4 2 7" xfId="19679"/>
    <cellStyle name="Input 2 2 4 2 7 2" xfId="45201"/>
    <cellStyle name="Input 2 2 4 2 7 3" xfId="49107"/>
    <cellStyle name="Input 2 2 4 2 7 4" xfId="37196"/>
    <cellStyle name="Input 2 2 4 2 8" xfId="20302"/>
    <cellStyle name="Input 2 2 4 2 8 2" xfId="45824"/>
    <cellStyle name="Input 2 2 4 2 8 3" xfId="49730"/>
    <cellStyle name="Input 2 2 4 2 9" xfId="39793"/>
    <cellStyle name="Input 2 2 4 3" xfId="22431"/>
    <cellStyle name="Input 2 2 4 3 2" xfId="47502"/>
    <cellStyle name="Input 2 2 4 3 3" xfId="51356"/>
    <cellStyle name="Input 2 2 4 3 4" xfId="38806"/>
    <cellStyle name="Input 2 2 4 4" xfId="23022"/>
    <cellStyle name="Input 2 2 4 4 2" xfId="47609"/>
    <cellStyle name="Input 2 2 4 4 3" xfId="51420"/>
    <cellStyle name="Input 2 2 4 5" xfId="53021"/>
    <cellStyle name="Input 2 2 5" xfId="4232"/>
    <cellStyle name="Input 2 2 5 2" xfId="10455"/>
    <cellStyle name="Input 2 2 5 2 2" xfId="18242"/>
    <cellStyle name="Input 2 2 5 2 2 2" xfId="43774"/>
    <cellStyle name="Input 2 2 5 2 2 3" xfId="47683"/>
    <cellStyle name="Input 2 2 5 2 2 4" xfId="35865"/>
    <cellStyle name="Input 2 2 5 2 3" xfId="13310"/>
    <cellStyle name="Input 2 2 5 2 3 2" xfId="42461"/>
    <cellStyle name="Input 2 2 5 2 3 3" xfId="42765"/>
    <cellStyle name="Input 2 2 5 2 3 4" xfId="30936"/>
    <cellStyle name="Input 2 2 5 2 4" xfId="20353"/>
    <cellStyle name="Input 2 2 5 2 4 2" xfId="45875"/>
    <cellStyle name="Input 2 2 5 2 4 3" xfId="49781"/>
    <cellStyle name="Input 2 2 5 2 4 4" xfId="37795"/>
    <cellStyle name="Input 2 2 5 2 5" xfId="20655"/>
    <cellStyle name="Input 2 2 5 2 5 2" xfId="46177"/>
    <cellStyle name="Input 2 2 5 2 5 3" xfId="50083"/>
    <cellStyle name="Input 2 2 5 2 5 4" xfId="38047"/>
    <cellStyle name="Input 2 2 5 2 6" xfId="21308"/>
    <cellStyle name="Input 2 2 5 2 6 2" xfId="46830"/>
    <cellStyle name="Input 2 2 5 2 6 3" xfId="50736"/>
    <cellStyle name="Input 2 2 5 2 7" xfId="40633"/>
    <cellStyle name="Input 2 2 5 2 8" xfId="40578"/>
    <cellStyle name="Input 2 2 5 3" xfId="8458"/>
    <cellStyle name="Input 2 2 5 3 2" xfId="16248"/>
    <cellStyle name="Input 2 2 5 3 2 2" xfId="43383"/>
    <cellStyle name="Input 2 2 5 3 2 3" xfId="39600"/>
    <cellStyle name="Input 2 2 5 3 2 4" xfId="33869"/>
    <cellStyle name="Input 2 2 5 3 3" xfId="13891"/>
    <cellStyle name="Input 2 2 5 3 3 2" xfId="42607"/>
    <cellStyle name="Input 2 2 5 3 3 3" xfId="39616"/>
    <cellStyle name="Input 2 2 5 3 3 4" xfId="31517"/>
    <cellStyle name="Input 2 2 5 3 4" xfId="12677"/>
    <cellStyle name="Input 2 2 5 3 4 2" xfId="42137"/>
    <cellStyle name="Input 2 2 5 3 4 3" xfId="40162"/>
    <cellStyle name="Input 2 2 5 3 4 4" xfId="30324"/>
    <cellStyle name="Input 2 2 5 3 5" xfId="12086"/>
    <cellStyle name="Input 2 2 5 3 5 2" xfId="41811"/>
    <cellStyle name="Input 2 2 5 3 5 3" xfId="39110"/>
    <cellStyle name="Input 2 2 5 3 5 4" xfId="29745"/>
    <cellStyle name="Input 2 2 5 3 6" xfId="19809"/>
    <cellStyle name="Input 2 2 5 3 6 2" xfId="45331"/>
    <cellStyle name="Input 2 2 5 3 6 3" xfId="49237"/>
    <cellStyle name="Input 2 2 5 3 7" xfId="40245"/>
    <cellStyle name="Input 2 2 5 3 8" xfId="39201"/>
    <cellStyle name="Input 2 2 6" xfId="7050"/>
    <cellStyle name="Input 2 2 6 10" xfId="39490"/>
    <cellStyle name="Input 2 2 6 2" xfId="10577"/>
    <cellStyle name="Input 2 2 6 2 2" xfId="18364"/>
    <cellStyle name="Input 2 2 6 2 2 2" xfId="43896"/>
    <cellStyle name="Input 2 2 6 2 2 3" xfId="47805"/>
    <cellStyle name="Input 2 2 6 2 2 4" xfId="35987"/>
    <cellStyle name="Input 2 2 6 2 3" xfId="19415"/>
    <cellStyle name="Input 2 2 6 2 3 2" xfId="44937"/>
    <cellStyle name="Input 2 2 6 2 3 3" xfId="48843"/>
    <cellStyle name="Input 2 2 6 2 3 4" xfId="36966"/>
    <cellStyle name="Input 2 2 6 2 4" xfId="20371"/>
    <cellStyle name="Input 2 2 6 2 4 2" xfId="45893"/>
    <cellStyle name="Input 2 2 6 2 4 3" xfId="49799"/>
    <cellStyle name="Input 2 2 6 2 4 4" xfId="37811"/>
    <cellStyle name="Input 2 2 6 2 5" xfId="20777"/>
    <cellStyle name="Input 2 2 6 2 5 2" xfId="46299"/>
    <cellStyle name="Input 2 2 6 2 5 3" xfId="50205"/>
    <cellStyle name="Input 2 2 6 2 5 4" xfId="38169"/>
    <cellStyle name="Input 2 2 6 2 6" xfId="21430"/>
    <cellStyle name="Input 2 2 6 2 6 2" xfId="46952"/>
    <cellStyle name="Input 2 2 6 2 6 3" xfId="50858"/>
    <cellStyle name="Input 2 2 6 2 7" xfId="40755"/>
    <cellStyle name="Input 2 2 6 2 8" xfId="43610"/>
    <cellStyle name="Input 2 2 6 3" xfId="10872"/>
    <cellStyle name="Input 2 2 6 3 2" xfId="18659"/>
    <cellStyle name="Input 2 2 6 3 2 2" xfId="44191"/>
    <cellStyle name="Input 2 2 6 3 2 3" xfId="48100"/>
    <cellStyle name="Input 2 2 6 3 2 4" xfId="36282"/>
    <cellStyle name="Input 2 2 6 3 3" xfId="12168"/>
    <cellStyle name="Input 2 2 6 3 3 2" xfId="41893"/>
    <cellStyle name="Input 2 2 6 3 3 3" xfId="40170"/>
    <cellStyle name="Input 2 2 6 3 3 4" xfId="29826"/>
    <cellStyle name="Input 2 2 6 3 4" xfId="19499"/>
    <cellStyle name="Input 2 2 6 3 4 2" xfId="45021"/>
    <cellStyle name="Input 2 2 6 3 4 3" xfId="48927"/>
    <cellStyle name="Input 2 2 6 3 4 4" xfId="37033"/>
    <cellStyle name="Input 2 2 6 3 5" xfId="21072"/>
    <cellStyle name="Input 2 2 6 3 5 2" xfId="46594"/>
    <cellStyle name="Input 2 2 6 3 5 3" xfId="50500"/>
    <cellStyle name="Input 2 2 6 3 5 4" xfId="38464"/>
    <cellStyle name="Input 2 2 6 3 6" xfId="21725"/>
    <cellStyle name="Input 2 2 6 3 6 2" xfId="47247"/>
    <cellStyle name="Input 2 2 6 3 6 3" xfId="51153"/>
    <cellStyle name="Input 2 2 6 3 7" xfId="41050"/>
    <cellStyle name="Input 2 2 6 3 8" xfId="43347"/>
    <cellStyle name="Input 2 2 6 4" xfId="14832"/>
    <cellStyle name="Input 2 2 6 4 2" xfId="42930"/>
    <cellStyle name="Input 2 2 6 4 3" xfId="40013"/>
    <cellStyle name="Input 2 2 6 4 4" xfId="32453"/>
    <cellStyle name="Input 2 2 6 5" xfId="13099"/>
    <cellStyle name="Input 2 2 6 5 2" xfId="42301"/>
    <cellStyle name="Input 2 2 6 5 3" xfId="42661"/>
    <cellStyle name="Input 2 2 6 5 4" xfId="30734"/>
    <cellStyle name="Input 2 2 6 6" xfId="20308"/>
    <cellStyle name="Input 2 2 6 6 2" xfId="45830"/>
    <cellStyle name="Input 2 2 6 6 3" xfId="49736"/>
    <cellStyle name="Input 2 2 6 6 4" xfId="37758"/>
    <cellStyle name="Input 2 2 6 7" xfId="19658"/>
    <cellStyle name="Input 2 2 6 7 2" xfId="45180"/>
    <cellStyle name="Input 2 2 6 7 3" xfId="49086"/>
    <cellStyle name="Input 2 2 6 7 4" xfId="37178"/>
    <cellStyle name="Input 2 2 6 8" xfId="19486"/>
    <cellStyle name="Input 2 2 6 8 2" xfId="45008"/>
    <cellStyle name="Input 2 2 6 8 3" xfId="48914"/>
    <cellStyle name="Input 2 2 6 9" xfId="39790"/>
    <cellStyle name="Input 2 2 7" xfId="53018"/>
    <cellStyle name="Input 2 2_Sheet1" xfId="1865"/>
    <cellStyle name="Input 2 20" xfId="52728"/>
    <cellStyle name="Input 2 21" xfId="52712"/>
    <cellStyle name="Input 2 22" xfId="52725"/>
    <cellStyle name="Input 2 23" xfId="52714"/>
    <cellStyle name="Input 2 24" xfId="52747"/>
    <cellStyle name="Input 2 25" xfId="52710"/>
    <cellStyle name="Input 2 26" xfId="52723"/>
    <cellStyle name="Input 2 27" xfId="52749"/>
    <cellStyle name="Input 2 28" xfId="52789"/>
    <cellStyle name="Input 2 29" xfId="52767"/>
    <cellStyle name="Input 2 3" xfId="1866"/>
    <cellStyle name="Input 2 3 2" xfId="7054"/>
    <cellStyle name="Input 2 3 2 10" xfId="39794"/>
    <cellStyle name="Input 2 3 2 11" xfId="39388"/>
    <cellStyle name="Input 2 3 2 2" xfId="10581"/>
    <cellStyle name="Input 2 3 2 2 2" xfId="18368"/>
    <cellStyle name="Input 2 3 2 2 2 2" xfId="43900"/>
    <cellStyle name="Input 2 3 2 2 2 3" xfId="47809"/>
    <cellStyle name="Input 2 3 2 2 2 4" xfId="35991"/>
    <cellStyle name="Input 2 3 2 2 3" xfId="19120"/>
    <cellStyle name="Input 2 3 2 2 3 2" xfId="44642"/>
    <cellStyle name="Input 2 3 2 2 3 3" xfId="48548"/>
    <cellStyle name="Input 2 3 2 2 3 4" xfId="36701"/>
    <cellStyle name="Input 2 3 2 2 4" xfId="19547"/>
    <cellStyle name="Input 2 3 2 2 4 2" xfId="45069"/>
    <cellStyle name="Input 2 3 2 2 4 3" xfId="48975"/>
    <cellStyle name="Input 2 3 2 2 4 4" xfId="37074"/>
    <cellStyle name="Input 2 3 2 2 5" xfId="20781"/>
    <cellStyle name="Input 2 3 2 2 5 2" xfId="46303"/>
    <cellStyle name="Input 2 3 2 2 5 3" xfId="50209"/>
    <cellStyle name="Input 2 3 2 2 5 4" xfId="38173"/>
    <cellStyle name="Input 2 3 2 2 6" xfId="21434"/>
    <cellStyle name="Input 2 3 2 2 6 2" xfId="46956"/>
    <cellStyle name="Input 2 3 2 2 6 3" xfId="50862"/>
    <cellStyle name="Input 2 3 2 2 7" xfId="40759"/>
    <cellStyle name="Input 2 3 2 2 8" xfId="43499"/>
    <cellStyle name="Input 2 3 2 3" xfId="10876"/>
    <cellStyle name="Input 2 3 2 3 2" xfId="18663"/>
    <cellStyle name="Input 2 3 2 3 2 2" xfId="44195"/>
    <cellStyle name="Input 2 3 2 3 2 3" xfId="48104"/>
    <cellStyle name="Input 2 3 2 3 2 4" xfId="36286"/>
    <cellStyle name="Input 2 3 2 3 3" xfId="13336"/>
    <cellStyle name="Input 2 3 2 3 3 2" xfId="42487"/>
    <cellStyle name="Input 2 3 2 3 3 3" xfId="40294"/>
    <cellStyle name="Input 2 3 2 3 3 4" xfId="30962"/>
    <cellStyle name="Input 2 3 2 3 4" xfId="11791"/>
    <cellStyle name="Input 2 3 2 3 4 2" xfId="41721"/>
    <cellStyle name="Input 2 3 2 3 4 3" xfId="39122"/>
    <cellStyle name="Input 2 3 2 3 4 4" xfId="29463"/>
    <cellStyle name="Input 2 3 2 3 5" xfId="21076"/>
    <cellStyle name="Input 2 3 2 3 5 2" xfId="46598"/>
    <cellStyle name="Input 2 3 2 3 5 3" xfId="50504"/>
    <cellStyle name="Input 2 3 2 3 5 4" xfId="38468"/>
    <cellStyle name="Input 2 3 2 3 6" xfId="21729"/>
    <cellStyle name="Input 2 3 2 3 6 2" xfId="47251"/>
    <cellStyle name="Input 2 3 2 3 6 3" xfId="51157"/>
    <cellStyle name="Input 2 3 2 3 7" xfId="41054"/>
    <cellStyle name="Input 2 3 2 3 8" xfId="41400"/>
    <cellStyle name="Input 2 3 2 4" xfId="14836"/>
    <cellStyle name="Input 2 3 2 4 2" xfId="42934"/>
    <cellStyle name="Input 2 3 2 4 3" xfId="39608"/>
    <cellStyle name="Input 2 3 2 4 4" xfId="32457"/>
    <cellStyle name="Input 2 3 2 5" xfId="13103"/>
    <cellStyle name="Input 2 3 2 5 2" xfId="42305"/>
    <cellStyle name="Input 2 3 2 5 3" xfId="42527"/>
    <cellStyle name="Input 2 3 2 5 4" xfId="30738"/>
    <cellStyle name="Input 2 3 2 6" xfId="19144"/>
    <cellStyle name="Input 2 3 2 6 2" xfId="44666"/>
    <cellStyle name="Input 2 3 2 6 3" xfId="48572"/>
    <cellStyle name="Input 2 3 2 6 4" xfId="36722"/>
    <cellStyle name="Input 2 3 2 7" xfId="20504"/>
    <cellStyle name="Input 2 3 2 7 2" xfId="46026"/>
    <cellStyle name="Input 2 3 2 7 3" xfId="49932"/>
    <cellStyle name="Input 2 3 2 7 4" xfId="37924"/>
    <cellStyle name="Input 2 3 2 8" xfId="11369"/>
    <cellStyle name="Input 2 3 2 8 2" xfId="41385"/>
    <cellStyle name="Input 2 3 2 8 3" xfId="40192"/>
    <cellStyle name="Input 2 3 2 9" xfId="22433"/>
    <cellStyle name="Input 2 3 3" xfId="22910"/>
    <cellStyle name="Input 2 3 3 2" xfId="23050"/>
    <cellStyle name="Input 2 3 3 2 2" xfId="47636"/>
    <cellStyle name="Input 2 3 3 2 3" xfId="51447"/>
    <cellStyle name="Input 2 3 3 3" xfId="47592"/>
    <cellStyle name="Input 2 3 3 4" xfId="51407"/>
    <cellStyle name="Input 2 3 3 5" xfId="53023"/>
    <cellStyle name="Input 2 3 4" xfId="22432"/>
    <cellStyle name="Input 2 3 5" xfId="53022"/>
    <cellStyle name="Input 2 30" xfId="52792"/>
    <cellStyle name="Input 2 31" xfId="52807"/>
    <cellStyle name="Input 2 32" xfId="52752"/>
    <cellStyle name="Input 2 33" xfId="52763"/>
    <cellStyle name="Input 2 34" xfId="52787"/>
    <cellStyle name="Input 2 35" xfId="52804"/>
    <cellStyle name="Input 2 36" xfId="52754"/>
    <cellStyle name="Input 2 37" xfId="52806"/>
    <cellStyle name="Input 2 38" xfId="52795"/>
    <cellStyle name="Input 2 39" xfId="52769"/>
    <cellStyle name="Input 2 4" xfId="1867"/>
    <cellStyle name="Input 2 4 2" xfId="7055"/>
    <cellStyle name="Input 2 4 2 10" xfId="39223"/>
    <cellStyle name="Input 2 4 2 11" xfId="53025"/>
    <cellStyle name="Input 2 4 2 2" xfId="10582"/>
    <cellStyle name="Input 2 4 2 2 2" xfId="18369"/>
    <cellStyle name="Input 2 4 2 2 2 2" xfId="43901"/>
    <cellStyle name="Input 2 4 2 2 2 3" xfId="47810"/>
    <cellStyle name="Input 2 4 2 2 2 4" xfId="35992"/>
    <cellStyle name="Input 2 4 2 2 3" xfId="19739"/>
    <cellStyle name="Input 2 4 2 2 3 2" xfId="45261"/>
    <cellStyle name="Input 2 4 2 2 3 3" xfId="49167"/>
    <cellStyle name="Input 2 4 2 2 3 4" xfId="37252"/>
    <cellStyle name="Input 2 4 2 2 4" xfId="19246"/>
    <cellStyle name="Input 2 4 2 2 4 2" xfId="44768"/>
    <cellStyle name="Input 2 4 2 2 4 3" xfId="48674"/>
    <cellStyle name="Input 2 4 2 2 4 4" xfId="36810"/>
    <cellStyle name="Input 2 4 2 2 5" xfId="20782"/>
    <cellStyle name="Input 2 4 2 2 5 2" xfId="46304"/>
    <cellStyle name="Input 2 4 2 2 5 3" xfId="50210"/>
    <cellStyle name="Input 2 4 2 2 5 4" xfId="38174"/>
    <cellStyle name="Input 2 4 2 2 6" xfId="21435"/>
    <cellStyle name="Input 2 4 2 2 6 2" xfId="46957"/>
    <cellStyle name="Input 2 4 2 2 6 3" xfId="50863"/>
    <cellStyle name="Input 2 4 2 2 7" xfId="40760"/>
    <cellStyle name="Input 2 4 2 2 8" xfId="40362"/>
    <cellStyle name="Input 2 4 2 3" xfId="10877"/>
    <cellStyle name="Input 2 4 2 3 2" xfId="18664"/>
    <cellStyle name="Input 2 4 2 3 2 2" xfId="44196"/>
    <cellStyle name="Input 2 4 2 3 2 3" xfId="48105"/>
    <cellStyle name="Input 2 4 2 3 2 4" xfId="36287"/>
    <cellStyle name="Input 2 4 2 3 3" xfId="13915"/>
    <cellStyle name="Input 2 4 2 3 3 2" xfId="42631"/>
    <cellStyle name="Input 2 4 2 3 3 3" xfId="43539"/>
    <cellStyle name="Input 2 4 2 3 3 4" xfId="31537"/>
    <cellStyle name="Input 2 4 2 3 4" xfId="20284"/>
    <cellStyle name="Input 2 4 2 3 4 2" xfId="45806"/>
    <cellStyle name="Input 2 4 2 3 4 3" xfId="49712"/>
    <cellStyle name="Input 2 4 2 3 4 4" xfId="37736"/>
    <cellStyle name="Input 2 4 2 3 5" xfId="21077"/>
    <cellStyle name="Input 2 4 2 3 5 2" xfId="46599"/>
    <cellStyle name="Input 2 4 2 3 5 3" xfId="50505"/>
    <cellStyle name="Input 2 4 2 3 5 4" xfId="38469"/>
    <cellStyle name="Input 2 4 2 3 6" xfId="21730"/>
    <cellStyle name="Input 2 4 2 3 6 2" xfId="47252"/>
    <cellStyle name="Input 2 4 2 3 6 3" xfId="51158"/>
    <cellStyle name="Input 2 4 2 3 7" xfId="41055"/>
    <cellStyle name="Input 2 4 2 3 8" xfId="43203"/>
    <cellStyle name="Input 2 4 2 4" xfId="14837"/>
    <cellStyle name="Input 2 4 2 4 2" xfId="42935"/>
    <cellStyle name="Input 2 4 2 4 3" xfId="42644"/>
    <cellStyle name="Input 2 4 2 4 4" xfId="32458"/>
    <cellStyle name="Input 2 4 2 5" xfId="13104"/>
    <cellStyle name="Input 2 4 2 5 2" xfId="42306"/>
    <cellStyle name="Input 2 4 2 5 3" xfId="43438"/>
    <cellStyle name="Input 2 4 2 5 4" xfId="30739"/>
    <cellStyle name="Input 2 4 2 6" xfId="12032"/>
    <cellStyle name="Input 2 4 2 6 2" xfId="41768"/>
    <cellStyle name="Input 2 4 2 6 3" xfId="40531"/>
    <cellStyle name="Input 2 4 2 6 4" xfId="29697"/>
    <cellStyle name="Input 2 4 2 7" xfId="20063"/>
    <cellStyle name="Input 2 4 2 7 2" xfId="45585"/>
    <cellStyle name="Input 2 4 2 7 3" xfId="49491"/>
    <cellStyle name="Input 2 4 2 7 4" xfId="37543"/>
    <cellStyle name="Input 2 4 2 8" xfId="19003"/>
    <cellStyle name="Input 2 4 2 8 2" xfId="44525"/>
    <cellStyle name="Input 2 4 2 8 3" xfId="48431"/>
    <cellStyle name="Input 2 4 2 9" xfId="39795"/>
    <cellStyle name="Input 2 4 3" xfId="22434"/>
    <cellStyle name="Input 2 4 4" xfId="53024"/>
    <cellStyle name="Input 2 40" xfId="52809"/>
    <cellStyle name="Input 2 41" xfId="52771"/>
    <cellStyle name="Input 2 42" xfId="52813"/>
    <cellStyle name="Input 2 43" xfId="52773"/>
    <cellStyle name="Input 2 44" xfId="52759"/>
    <cellStyle name="Input 2 45" xfId="52851"/>
    <cellStyle name="Input 2 46" xfId="52830"/>
    <cellStyle name="Input 2 47" xfId="52849"/>
    <cellStyle name="Input 2 48" xfId="52828"/>
    <cellStyle name="Input 2 49" xfId="52847"/>
    <cellStyle name="Input 2 5" xfId="1868"/>
    <cellStyle name="Input 2 5 2" xfId="7056"/>
    <cellStyle name="Input 2 5 2 10" xfId="47575"/>
    <cellStyle name="Input 2 5 2 2" xfId="10583"/>
    <cellStyle name="Input 2 5 2 2 2" xfId="18370"/>
    <cellStyle name="Input 2 5 2 2 2 2" xfId="43902"/>
    <cellStyle name="Input 2 5 2 2 2 3" xfId="47811"/>
    <cellStyle name="Input 2 5 2 2 2 4" xfId="35993"/>
    <cellStyle name="Input 2 5 2 2 3" xfId="11489"/>
    <cellStyle name="Input 2 5 2 2 3 2" xfId="41480"/>
    <cellStyle name="Input 2 5 2 2 3 3" xfId="40048"/>
    <cellStyle name="Input 2 5 2 2 3 4" xfId="29190"/>
    <cellStyle name="Input 2 5 2 2 4" xfId="19677"/>
    <cellStyle name="Input 2 5 2 2 4 2" xfId="45199"/>
    <cellStyle name="Input 2 5 2 2 4 3" xfId="49105"/>
    <cellStyle name="Input 2 5 2 2 4 4" xfId="37194"/>
    <cellStyle name="Input 2 5 2 2 5" xfId="20783"/>
    <cellStyle name="Input 2 5 2 2 5 2" xfId="46305"/>
    <cellStyle name="Input 2 5 2 2 5 3" xfId="50211"/>
    <cellStyle name="Input 2 5 2 2 5 4" xfId="38175"/>
    <cellStyle name="Input 2 5 2 2 6" xfId="21436"/>
    <cellStyle name="Input 2 5 2 2 6 2" xfId="46958"/>
    <cellStyle name="Input 2 5 2 2 6 3" xfId="50864"/>
    <cellStyle name="Input 2 5 2 2 7" xfId="40761"/>
    <cellStyle name="Input 2 5 2 2 8" xfId="39474"/>
    <cellStyle name="Input 2 5 2 3" xfId="10878"/>
    <cellStyle name="Input 2 5 2 3 2" xfId="18665"/>
    <cellStyle name="Input 2 5 2 3 2 2" xfId="44197"/>
    <cellStyle name="Input 2 5 2 3 2 3" xfId="48106"/>
    <cellStyle name="Input 2 5 2 3 2 4" xfId="36288"/>
    <cellStyle name="Input 2 5 2 3 3" xfId="13333"/>
    <cellStyle name="Input 2 5 2 3 3 2" xfId="42484"/>
    <cellStyle name="Input 2 5 2 3 3 3" xfId="39512"/>
    <cellStyle name="Input 2 5 2 3 3 4" xfId="30959"/>
    <cellStyle name="Input 2 5 2 3 4" xfId="11609"/>
    <cellStyle name="Input 2 5 2 3 4 2" xfId="41600"/>
    <cellStyle name="Input 2 5 2 3 4 3" xfId="40535"/>
    <cellStyle name="Input 2 5 2 3 4 4" xfId="29298"/>
    <cellStyle name="Input 2 5 2 3 5" xfId="21078"/>
    <cellStyle name="Input 2 5 2 3 5 2" xfId="46600"/>
    <cellStyle name="Input 2 5 2 3 5 3" xfId="50506"/>
    <cellStyle name="Input 2 5 2 3 5 4" xfId="38470"/>
    <cellStyle name="Input 2 5 2 3 6" xfId="21731"/>
    <cellStyle name="Input 2 5 2 3 6 2" xfId="47253"/>
    <cellStyle name="Input 2 5 2 3 6 3" xfId="51159"/>
    <cellStyle name="Input 2 5 2 3 7" xfId="41056"/>
    <cellStyle name="Input 2 5 2 3 8" xfId="40062"/>
    <cellStyle name="Input 2 5 2 4" xfId="14838"/>
    <cellStyle name="Input 2 5 2 4 2" xfId="42936"/>
    <cellStyle name="Input 2 5 2 4 3" xfId="43532"/>
    <cellStyle name="Input 2 5 2 4 4" xfId="32459"/>
    <cellStyle name="Input 2 5 2 5" xfId="13105"/>
    <cellStyle name="Input 2 5 2 5 2" xfId="42307"/>
    <cellStyle name="Input 2 5 2 5 3" xfId="40300"/>
    <cellStyle name="Input 2 5 2 5 4" xfId="30740"/>
    <cellStyle name="Input 2 5 2 6" xfId="13308"/>
    <cellStyle name="Input 2 5 2 6 2" xfId="42459"/>
    <cellStyle name="Input 2 5 2 6 3" xfId="43285"/>
    <cellStyle name="Input 2 5 2 6 4" xfId="30934"/>
    <cellStyle name="Input 2 5 2 7" xfId="19660"/>
    <cellStyle name="Input 2 5 2 7 2" xfId="45182"/>
    <cellStyle name="Input 2 5 2 7 3" xfId="49088"/>
    <cellStyle name="Input 2 5 2 7 4" xfId="37179"/>
    <cellStyle name="Input 2 5 2 8" xfId="20195"/>
    <cellStyle name="Input 2 5 2 8 2" xfId="45717"/>
    <cellStyle name="Input 2 5 2 8 3" xfId="49623"/>
    <cellStyle name="Input 2 5 2 9" xfId="39796"/>
    <cellStyle name="Input 2 5 3" xfId="53026"/>
    <cellStyle name="Input 2 50" xfId="52862"/>
    <cellStyle name="Input 2 51" xfId="52867"/>
    <cellStyle name="Input 2 52" xfId="52861"/>
    <cellStyle name="Input 2 53" xfId="52854"/>
    <cellStyle name="Input 2 54" xfId="52835"/>
    <cellStyle name="Input 2 55" xfId="52825"/>
    <cellStyle name="Input 2 56" xfId="52833"/>
    <cellStyle name="Input 2 57" xfId="52820"/>
    <cellStyle name="Input 2 58" xfId="52873"/>
    <cellStyle name="Input 2 59" xfId="53013"/>
    <cellStyle name="Input 2 6" xfId="1869"/>
    <cellStyle name="Input 2 6 2" xfId="7057"/>
    <cellStyle name="Input 2 6 2 10" xfId="41699"/>
    <cellStyle name="Input 2 6 2 2" xfId="10584"/>
    <cellStyle name="Input 2 6 2 2 2" xfId="18371"/>
    <cellStyle name="Input 2 6 2 2 2 2" xfId="43903"/>
    <cellStyle name="Input 2 6 2 2 2 3" xfId="47812"/>
    <cellStyle name="Input 2 6 2 2 2 4" xfId="35994"/>
    <cellStyle name="Input 2 6 2 2 3" xfId="19740"/>
    <cellStyle name="Input 2 6 2 2 3 2" xfId="45262"/>
    <cellStyle name="Input 2 6 2 2 3 3" xfId="49168"/>
    <cellStyle name="Input 2 6 2 2 3 4" xfId="37253"/>
    <cellStyle name="Input 2 6 2 2 4" xfId="19051"/>
    <cellStyle name="Input 2 6 2 2 4 2" xfId="44573"/>
    <cellStyle name="Input 2 6 2 2 4 3" xfId="48479"/>
    <cellStyle name="Input 2 6 2 2 4 4" xfId="36636"/>
    <cellStyle name="Input 2 6 2 2 5" xfId="20784"/>
    <cellStyle name="Input 2 6 2 2 5 2" xfId="46306"/>
    <cellStyle name="Input 2 6 2 2 5 3" xfId="50212"/>
    <cellStyle name="Input 2 6 2 2 5 4" xfId="38176"/>
    <cellStyle name="Input 2 6 2 2 6" xfId="21437"/>
    <cellStyle name="Input 2 6 2 2 6 2" xfId="46959"/>
    <cellStyle name="Input 2 6 2 2 6 3" xfId="50865"/>
    <cellStyle name="Input 2 6 2 2 7" xfId="40762"/>
    <cellStyle name="Input 2 6 2 2 8" xfId="42048"/>
    <cellStyle name="Input 2 6 2 3" xfId="10879"/>
    <cellStyle name="Input 2 6 2 3 2" xfId="18666"/>
    <cellStyle name="Input 2 6 2 3 2 2" xfId="44198"/>
    <cellStyle name="Input 2 6 2 3 2 3" xfId="48107"/>
    <cellStyle name="Input 2 6 2 3 2 4" xfId="36289"/>
    <cellStyle name="Input 2 6 2 3 3" xfId="12170"/>
    <cellStyle name="Input 2 6 2 3 3 2" xfId="41895"/>
    <cellStyle name="Input 2 6 2 3 3 3" xfId="47462"/>
    <cellStyle name="Input 2 6 2 3 3 4" xfId="29828"/>
    <cellStyle name="Input 2 6 2 3 4" xfId="18942"/>
    <cellStyle name="Input 2 6 2 3 4 2" xfId="44464"/>
    <cellStyle name="Input 2 6 2 3 4 3" xfId="48370"/>
    <cellStyle name="Input 2 6 2 3 4 4" xfId="36554"/>
    <cellStyle name="Input 2 6 2 3 5" xfId="21079"/>
    <cellStyle name="Input 2 6 2 3 5 2" xfId="46601"/>
    <cellStyle name="Input 2 6 2 3 5 3" xfId="50507"/>
    <cellStyle name="Input 2 6 2 3 5 4" xfId="38471"/>
    <cellStyle name="Input 2 6 2 3 6" xfId="21732"/>
    <cellStyle name="Input 2 6 2 3 6 2" xfId="47254"/>
    <cellStyle name="Input 2 6 2 3 6 3" xfId="51160"/>
    <cellStyle name="Input 2 6 2 3 7" xfId="41057"/>
    <cellStyle name="Input 2 6 2 3 8" xfId="42810"/>
    <cellStyle name="Input 2 6 2 4" xfId="14839"/>
    <cellStyle name="Input 2 6 2 4 2" xfId="42937"/>
    <cellStyle name="Input 2 6 2 4 3" xfId="40393"/>
    <cellStyle name="Input 2 6 2 4 4" xfId="32460"/>
    <cellStyle name="Input 2 6 2 5" xfId="13106"/>
    <cellStyle name="Input 2 6 2 5 2" xfId="42308"/>
    <cellStyle name="Input 2 6 2 5 3" xfId="39417"/>
    <cellStyle name="Input 2 6 2 5 4" xfId="30741"/>
    <cellStyle name="Input 2 6 2 6" xfId="20197"/>
    <cellStyle name="Input 2 6 2 6 2" xfId="45719"/>
    <cellStyle name="Input 2 6 2 6 3" xfId="49625"/>
    <cellStyle name="Input 2 6 2 6 4" xfId="37662"/>
    <cellStyle name="Input 2 6 2 7" xfId="20095"/>
    <cellStyle name="Input 2 6 2 7 2" xfId="45617"/>
    <cellStyle name="Input 2 6 2 7 3" xfId="49523"/>
    <cellStyle name="Input 2 6 2 7 4" xfId="37569"/>
    <cellStyle name="Input 2 6 2 8" xfId="20477"/>
    <cellStyle name="Input 2 6 2 8 2" xfId="45999"/>
    <cellStyle name="Input 2 6 2 8 3" xfId="49905"/>
    <cellStyle name="Input 2 6 2 9" xfId="39797"/>
    <cellStyle name="Input 2 6 3" xfId="53027"/>
    <cellStyle name="Input 2 7" xfId="1870"/>
    <cellStyle name="Input 2 7 2" xfId="7058"/>
    <cellStyle name="Input 2 7 2 10" xfId="43249"/>
    <cellStyle name="Input 2 7 2 2" xfId="10585"/>
    <cellStyle name="Input 2 7 2 2 2" xfId="18372"/>
    <cellStyle name="Input 2 7 2 2 2 2" xfId="43904"/>
    <cellStyle name="Input 2 7 2 2 2 3" xfId="47813"/>
    <cellStyle name="Input 2 7 2 2 2 4" xfId="35995"/>
    <cellStyle name="Input 2 7 2 2 3" xfId="11488"/>
    <cellStyle name="Input 2 7 2 2 3 2" xfId="41479"/>
    <cellStyle name="Input 2 7 2 2 3 3" xfId="43189"/>
    <cellStyle name="Input 2 7 2 2 3 4" xfId="29189"/>
    <cellStyle name="Input 2 7 2 2 4" xfId="11591"/>
    <cellStyle name="Input 2 7 2 2 4 2" xfId="41582"/>
    <cellStyle name="Input 2 7 2 2 4 3" xfId="43572"/>
    <cellStyle name="Input 2 7 2 2 4 4" xfId="29284"/>
    <cellStyle name="Input 2 7 2 2 5" xfId="20785"/>
    <cellStyle name="Input 2 7 2 2 5 2" xfId="46307"/>
    <cellStyle name="Input 2 7 2 2 5 3" xfId="50213"/>
    <cellStyle name="Input 2 7 2 2 5 4" xfId="38177"/>
    <cellStyle name="Input 2 7 2 2 6" xfId="21438"/>
    <cellStyle name="Input 2 7 2 2 6 2" xfId="46960"/>
    <cellStyle name="Input 2 7 2 2 6 3" xfId="50866"/>
    <cellStyle name="Input 2 7 2 2 7" xfId="40763"/>
    <cellStyle name="Input 2 7 2 2 8" xfId="43367"/>
    <cellStyle name="Input 2 7 2 3" xfId="10880"/>
    <cellStyle name="Input 2 7 2 3 2" xfId="18667"/>
    <cellStyle name="Input 2 7 2 3 2 2" xfId="44199"/>
    <cellStyle name="Input 2 7 2 3 2 3" xfId="48108"/>
    <cellStyle name="Input 2 7 2 3 2 4" xfId="36290"/>
    <cellStyle name="Input 2 7 2 3 3" xfId="12171"/>
    <cellStyle name="Input 2 7 2 3 3 2" xfId="41896"/>
    <cellStyle name="Input 2 7 2 3 3 3" xfId="39089"/>
    <cellStyle name="Input 2 7 2 3 3 4" xfId="29829"/>
    <cellStyle name="Input 2 7 2 3 4" xfId="20346"/>
    <cellStyle name="Input 2 7 2 3 4 2" xfId="45868"/>
    <cellStyle name="Input 2 7 2 3 4 3" xfId="49774"/>
    <cellStyle name="Input 2 7 2 3 4 4" xfId="37788"/>
    <cellStyle name="Input 2 7 2 3 5" xfId="21080"/>
    <cellStyle name="Input 2 7 2 3 5 2" xfId="46602"/>
    <cellStyle name="Input 2 7 2 3 5 3" xfId="50508"/>
    <cellStyle name="Input 2 7 2 3 5 4" xfId="38472"/>
    <cellStyle name="Input 2 7 2 3 6" xfId="21733"/>
    <cellStyle name="Input 2 7 2 3 6 2" xfId="47255"/>
    <cellStyle name="Input 2 7 2 3 6 3" xfId="51161"/>
    <cellStyle name="Input 2 7 2 3 7" xfId="41058"/>
    <cellStyle name="Input 2 7 2 3 8" xfId="43699"/>
    <cellStyle name="Input 2 7 2 4" xfId="14840"/>
    <cellStyle name="Input 2 7 2 4 2" xfId="42938"/>
    <cellStyle name="Input 2 7 2 4 3" xfId="39502"/>
    <cellStyle name="Input 2 7 2 4 4" xfId="32461"/>
    <cellStyle name="Input 2 7 2 5" xfId="13107"/>
    <cellStyle name="Input 2 7 2 5 2" xfId="42309"/>
    <cellStyle name="Input 2 7 2 5 3" xfId="41943"/>
    <cellStyle name="Input 2 7 2 5 4" xfId="30742"/>
    <cellStyle name="Input 2 7 2 6" xfId="19519"/>
    <cellStyle name="Input 2 7 2 6 2" xfId="45041"/>
    <cellStyle name="Input 2 7 2 6 3" xfId="48947"/>
    <cellStyle name="Input 2 7 2 6 4" xfId="37052"/>
    <cellStyle name="Input 2 7 2 7" xfId="12785"/>
    <cellStyle name="Input 2 7 2 7 2" xfId="42187"/>
    <cellStyle name="Input 2 7 2 7 3" xfId="39080"/>
    <cellStyle name="Input 2 7 2 7 4" xfId="30428"/>
    <cellStyle name="Input 2 7 2 8" xfId="12930"/>
    <cellStyle name="Input 2 7 2 8 2" xfId="42231"/>
    <cellStyle name="Input 2 7 2 8 3" xfId="40518"/>
    <cellStyle name="Input 2 7 2 9" xfId="39798"/>
    <cellStyle name="Input 2 7 3" xfId="53028"/>
    <cellStyle name="Input 2 8" xfId="1871"/>
    <cellStyle name="Input 2 8 2" xfId="7059"/>
    <cellStyle name="Input 2 8 2 10" xfId="40108"/>
    <cellStyle name="Input 2 8 2 2" xfId="10586"/>
    <cellStyle name="Input 2 8 2 2 2" xfId="18373"/>
    <cellStyle name="Input 2 8 2 2 2 2" xfId="43905"/>
    <cellStyle name="Input 2 8 2 2 2 3" xfId="47814"/>
    <cellStyle name="Input 2 8 2 2 2 4" xfId="35996"/>
    <cellStyle name="Input 2 8 2 2 3" xfId="12153"/>
    <cellStyle name="Input 2 8 2 2 3 2" xfId="41878"/>
    <cellStyle name="Input 2 8 2 2 3 3" xfId="42676"/>
    <cellStyle name="Input 2 8 2 2 3 4" xfId="29811"/>
    <cellStyle name="Input 2 8 2 2 4" xfId="20349"/>
    <cellStyle name="Input 2 8 2 2 4 2" xfId="45871"/>
    <cellStyle name="Input 2 8 2 2 4 3" xfId="49777"/>
    <cellStyle name="Input 2 8 2 2 4 4" xfId="37791"/>
    <cellStyle name="Input 2 8 2 2 5" xfId="20786"/>
    <cellStyle name="Input 2 8 2 2 5 2" xfId="46308"/>
    <cellStyle name="Input 2 8 2 2 5 3" xfId="50214"/>
    <cellStyle name="Input 2 8 2 2 5 4" xfId="38178"/>
    <cellStyle name="Input 2 8 2 2 6" xfId="21439"/>
    <cellStyle name="Input 2 8 2 2 6 2" xfId="46961"/>
    <cellStyle name="Input 2 8 2 2 6 3" xfId="50867"/>
    <cellStyle name="Input 2 8 2 2 7" xfId="40764"/>
    <cellStyle name="Input 2 8 2 2 8" xfId="40229"/>
    <cellStyle name="Input 2 8 2 3" xfId="10881"/>
    <cellStyle name="Input 2 8 2 3 2" xfId="18668"/>
    <cellStyle name="Input 2 8 2 3 2 2" xfId="44200"/>
    <cellStyle name="Input 2 8 2 3 2 3" xfId="48109"/>
    <cellStyle name="Input 2 8 2 3 2 4" xfId="36291"/>
    <cellStyle name="Input 2 8 2 3 3" xfId="11513"/>
    <cellStyle name="Input 2 8 2 3 3 2" xfId="41504"/>
    <cellStyle name="Input 2 8 2 3 3 3" xfId="39651"/>
    <cellStyle name="Input 2 8 2 3 3 4" xfId="29214"/>
    <cellStyle name="Input 2 8 2 3 4" xfId="20215"/>
    <cellStyle name="Input 2 8 2 3 4 2" xfId="45737"/>
    <cellStyle name="Input 2 8 2 3 4 3" xfId="49643"/>
    <cellStyle name="Input 2 8 2 3 4 4" xfId="37676"/>
    <cellStyle name="Input 2 8 2 3 5" xfId="21081"/>
    <cellStyle name="Input 2 8 2 3 5 2" xfId="46603"/>
    <cellStyle name="Input 2 8 2 3 5 3" xfId="50509"/>
    <cellStyle name="Input 2 8 2 3 5 4" xfId="38473"/>
    <cellStyle name="Input 2 8 2 3 6" xfId="21734"/>
    <cellStyle name="Input 2 8 2 3 6 2" xfId="47256"/>
    <cellStyle name="Input 2 8 2 3 6 3" xfId="51162"/>
    <cellStyle name="Input 2 8 2 3 7" xfId="41059"/>
    <cellStyle name="Input 2 8 2 3 8" xfId="40558"/>
    <cellStyle name="Input 2 8 2 4" xfId="14841"/>
    <cellStyle name="Input 2 8 2 4 2" xfId="42939"/>
    <cellStyle name="Input 2 8 2 4 3" xfId="42512"/>
    <cellStyle name="Input 2 8 2 4 4" xfId="32462"/>
    <cellStyle name="Input 2 8 2 5" xfId="13108"/>
    <cellStyle name="Input 2 8 2 5 2" xfId="42310"/>
    <cellStyle name="Input 2 8 2 5 3" xfId="43291"/>
    <cellStyle name="Input 2 8 2 5 4" xfId="30743"/>
    <cellStyle name="Input 2 8 2 6" xfId="19479"/>
    <cellStyle name="Input 2 8 2 6 2" xfId="45001"/>
    <cellStyle name="Input 2 8 2 6 3" xfId="48907"/>
    <cellStyle name="Input 2 8 2 6 4" xfId="37021"/>
    <cellStyle name="Input 2 8 2 7" xfId="12131"/>
    <cellStyle name="Input 2 8 2 7 2" xfId="41856"/>
    <cellStyle name="Input 2 8 2 7 3" xfId="42675"/>
    <cellStyle name="Input 2 8 2 7 4" xfId="29789"/>
    <cellStyle name="Input 2 8 2 8" xfId="19024"/>
    <cellStyle name="Input 2 8 2 8 2" xfId="44546"/>
    <cellStyle name="Input 2 8 2 8 3" xfId="48452"/>
    <cellStyle name="Input 2 8 2 9" xfId="39799"/>
    <cellStyle name="Input 2 8 3" xfId="53029"/>
    <cellStyle name="Input 2 9" xfId="1872"/>
    <cellStyle name="Input 2 9 2" xfId="7060"/>
    <cellStyle name="Input 2 9 2 10" xfId="43077"/>
    <cellStyle name="Input 2 9 2 2" xfId="10587"/>
    <cellStyle name="Input 2 9 2 2 2" xfId="18374"/>
    <cellStyle name="Input 2 9 2 2 2 2" xfId="43906"/>
    <cellStyle name="Input 2 9 2 2 2 3" xfId="47815"/>
    <cellStyle name="Input 2 9 2 2 2 4" xfId="35997"/>
    <cellStyle name="Input 2 9 2 2 3" xfId="19600"/>
    <cellStyle name="Input 2 9 2 2 3 2" xfId="45122"/>
    <cellStyle name="Input 2 9 2 2 3 3" xfId="49028"/>
    <cellStyle name="Input 2 9 2 2 3 4" xfId="37126"/>
    <cellStyle name="Input 2 9 2 2 4" xfId="19043"/>
    <cellStyle name="Input 2 9 2 2 4 2" xfId="44565"/>
    <cellStyle name="Input 2 9 2 2 4 3" xfId="48471"/>
    <cellStyle name="Input 2 9 2 2 4 4" xfId="36629"/>
    <cellStyle name="Input 2 9 2 2 5" xfId="20787"/>
    <cellStyle name="Input 2 9 2 2 5 2" xfId="46309"/>
    <cellStyle name="Input 2 9 2 2 5 3" xfId="50215"/>
    <cellStyle name="Input 2 9 2 2 5 4" xfId="38179"/>
    <cellStyle name="Input 2 9 2 2 6" xfId="21440"/>
    <cellStyle name="Input 2 9 2 2 6 2" xfId="46962"/>
    <cellStyle name="Input 2 9 2 2 6 3" xfId="50868"/>
    <cellStyle name="Input 2 9 2 2 7" xfId="40765"/>
    <cellStyle name="Input 2 9 2 2 8" xfId="39369"/>
    <cellStyle name="Input 2 9 2 3" xfId="10882"/>
    <cellStyle name="Input 2 9 2 3 2" xfId="18669"/>
    <cellStyle name="Input 2 9 2 3 2 2" xfId="44201"/>
    <cellStyle name="Input 2 9 2 3 2 3" xfId="48110"/>
    <cellStyle name="Input 2 9 2 3 2 4" xfId="36292"/>
    <cellStyle name="Input 2 9 2 3 3" xfId="11514"/>
    <cellStyle name="Input 2 9 2 3 3 2" xfId="41505"/>
    <cellStyle name="Input 2 9 2 3 3 3" xfId="42688"/>
    <cellStyle name="Input 2 9 2 3 3 4" xfId="29215"/>
    <cellStyle name="Input 2 9 2 3 4" xfId="12675"/>
    <cellStyle name="Input 2 9 2 3 4 2" xfId="42135"/>
    <cellStyle name="Input 2 9 2 3 4 3" xfId="41951"/>
    <cellStyle name="Input 2 9 2 3 4 4" xfId="30323"/>
    <cellStyle name="Input 2 9 2 3 5" xfId="21082"/>
    <cellStyle name="Input 2 9 2 3 5 2" xfId="46604"/>
    <cellStyle name="Input 2 9 2 3 5 3" xfId="50510"/>
    <cellStyle name="Input 2 9 2 3 5 4" xfId="38474"/>
    <cellStyle name="Input 2 9 2 3 6" xfId="21735"/>
    <cellStyle name="Input 2 9 2 3 6 2" xfId="47257"/>
    <cellStyle name="Input 2 9 2 3 6 3" xfId="51163"/>
    <cellStyle name="Input 2 9 2 3 7" xfId="41060"/>
    <cellStyle name="Input 2 9 2 3 8" xfId="39669"/>
    <cellStyle name="Input 2 9 2 4" xfId="14842"/>
    <cellStyle name="Input 2 9 2 4 2" xfId="42940"/>
    <cellStyle name="Input 2 9 2 4 3" xfId="43423"/>
    <cellStyle name="Input 2 9 2 4 4" xfId="32463"/>
    <cellStyle name="Input 2 9 2 5" xfId="13109"/>
    <cellStyle name="Input 2 9 2 5 2" xfId="42311"/>
    <cellStyle name="Input 2 9 2 5 3" xfId="40151"/>
    <cellStyle name="Input 2 9 2 5 4" xfId="30744"/>
    <cellStyle name="Input 2 9 2 6" xfId="19777"/>
    <cellStyle name="Input 2 9 2 6 2" xfId="45299"/>
    <cellStyle name="Input 2 9 2 6 3" xfId="49205"/>
    <cellStyle name="Input 2 9 2 6 4" xfId="37287"/>
    <cellStyle name="Input 2 9 2 7" xfId="18879"/>
    <cellStyle name="Input 2 9 2 7 2" xfId="44401"/>
    <cellStyle name="Input 2 9 2 7 3" xfId="48307"/>
    <cellStyle name="Input 2 9 2 7 4" xfId="36501"/>
    <cellStyle name="Input 2 9 2 8" xfId="12582"/>
    <cellStyle name="Input 2 9 2 8 2" xfId="42058"/>
    <cellStyle name="Input 2 9 2 8 3" xfId="39532"/>
    <cellStyle name="Input 2 9 2 9" xfId="39800"/>
    <cellStyle name="Input 2 9 3" xfId="53030"/>
    <cellStyle name="Input 2_BallGrid" xfId="1873"/>
    <cellStyle name="Input 20" xfId="1874"/>
    <cellStyle name="Input 20 2" xfId="1875"/>
    <cellStyle name="Input 20 2 2" xfId="1876"/>
    <cellStyle name="Input 20 2 2 2" xfId="7063"/>
    <cellStyle name="Input 20 2 2 2 10" xfId="39937"/>
    <cellStyle name="Input 20 2 2 2 2" xfId="10590"/>
    <cellStyle name="Input 20 2 2 2 2 2" xfId="18377"/>
    <cellStyle name="Input 20 2 2 2 2 2 2" xfId="43909"/>
    <cellStyle name="Input 20 2 2 2 2 2 3" xfId="47818"/>
    <cellStyle name="Input 20 2 2 2 2 2 4" xfId="36000"/>
    <cellStyle name="Input 20 2 2 2 2 3" xfId="20021"/>
    <cellStyle name="Input 20 2 2 2 2 3 2" xfId="45543"/>
    <cellStyle name="Input 20 2 2 2 2 3 3" xfId="49449"/>
    <cellStyle name="Input 20 2 2 2 2 3 4" xfId="37505"/>
    <cellStyle name="Input 20 2 2 2 2 4" xfId="19160"/>
    <cellStyle name="Input 20 2 2 2 2 4 2" xfId="44682"/>
    <cellStyle name="Input 20 2 2 2 2 4 3" xfId="48588"/>
    <cellStyle name="Input 20 2 2 2 2 4 4" xfId="36737"/>
    <cellStyle name="Input 20 2 2 2 2 5" xfId="20790"/>
    <cellStyle name="Input 20 2 2 2 2 5 2" xfId="46312"/>
    <cellStyle name="Input 20 2 2 2 2 5 3" xfId="50218"/>
    <cellStyle name="Input 20 2 2 2 2 5 4" xfId="38182"/>
    <cellStyle name="Input 20 2 2 2 2 6" xfId="21443"/>
    <cellStyle name="Input 20 2 2 2 2 6 2" xfId="46965"/>
    <cellStyle name="Input 20 2 2 2 2 6 3" xfId="50871"/>
    <cellStyle name="Input 20 2 2 2 2 7" xfId="40768"/>
    <cellStyle name="Input 20 2 2 2 2 8" xfId="47566"/>
    <cellStyle name="Input 20 2 2 2 3" xfId="10885"/>
    <cellStyle name="Input 20 2 2 2 3 2" xfId="18672"/>
    <cellStyle name="Input 20 2 2 2 3 2 2" xfId="44204"/>
    <cellStyle name="Input 20 2 2 2 3 2 3" xfId="48113"/>
    <cellStyle name="Input 20 2 2 2 3 2 4" xfId="36295"/>
    <cellStyle name="Input 20 2 2 2 3 3" xfId="13338"/>
    <cellStyle name="Input 20 2 2 2 3 3 2" xfId="42489"/>
    <cellStyle name="Input 20 2 2 2 3 3 3" xfId="41934"/>
    <cellStyle name="Input 20 2 2 2 3 3 4" xfId="30964"/>
    <cellStyle name="Input 20 2 2 2 3 4" xfId="18943"/>
    <cellStyle name="Input 20 2 2 2 3 4 2" xfId="44465"/>
    <cellStyle name="Input 20 2 2 2 3 4 3" xfId="48371"/>
    <cellStyle name="Input 20 2 2 2 3 4 4" xfId="36555"/>
    <cellStyle name="Input 20 2 2 2 3 5" xfId="21085"/>
    <cellStyle name="Input 20 2 2 2 3 5 2" xfId="46607"/>
    <cellStyle name="Input 20 2 2 2 3 5 3" xfId="50513"/>
    <cellStyle name="Input 20 2 2 2 3 5 4" xfId="38477"/>
    <cellStyle name="Input 20 2 2 2 3 6" xfId="21738"/>
    <cellStyle name="Input 20 2 2 2 3 6 2" xfId="47260"/>
    <cellStyle name="Input 20 2 2 2 3 6 3" xfId="51166"/>
    <cellStyle name="Input 20 2 2 2 3 7" xfId="41063"/>
    <cellStyle name="Input 20 2 2 2 3 8" xfId="40453"/>
    <cellStyle name="Input 20 2 2 2 4" xfId="14845"/>
    <cellStyle name="Input 20 2 2 2 4 2" xfId="42943"/>
    <cellStyle name="Input 20 2 2 2 4 3" xfId="41917"/>
    <cellStyle name="Input 20 2 2 2 4 4" xfId="32466"/>
    <cellStyle name="Input 20 2 2 2 5" xfId="12016"/>
    <cellStyle name="Input 20 2 2 2 5 2" xfId="41753"/>
    <cellStyle name="Input 20 2 2 2 5 3" xfId="39117"/>
    <cellStyle name="Input 20 2 2 2 5 4" xfId="29684"/>
    <cellStyle name="Input 20 2 2 2 6" xfId="12033"/>
    <cellStyle name="Input 20 2 2 2 6 2" xfId="41769"/>
    <cellStyle name="Input 20 2 2 2 6 3" xfId="39640"/>
    <cellStyle name="Input 20 2 2 2 6 4" xfId="29698"/>
    <cellStyle name="Input 20 2 2 2 7" xfId="12238"/>
    <cellStyle name="Input 20 2 2 2 7 2" xfId="41907"/>
    <cellStyle name="Input 20 2 2 2 7 3" xfId="43668"/>
    <cellStyle name="Input 20 2 2 2 7 4" xfId="29895"/>
    <cellStyle name="Input 20 2 2 2 8" xfId="20198"/>
    <cellStyle name="Input 20 2 2 2 8 2" xfId="45720"/>
    <cellStyle name="Input 20 2 2 2 8 3" xfId="49626"/>
    <cellStyle name="Input 20 2 2 2 9" xfId="39803"/>
    <cellStyle name="Input 20 2 2 3" xfId="53033"/>
    <cellStyle name="Input 20 2 3" xfId="7062"/>
    <cellStyle name="Input 20 2 3 10" xfId="40603"/>
    <cellStyle name="Input 20 2 3 11" xfId="53034"/>
    <cellStyle name="Input 20 2 3 2" xfId="10589"/>
    <cellStyle name="Input 20 2 3 2 2" xfId="18376"/>
    <cellStyle name="Input 20 2 3 2 2 2" xfId="43908"/>
    <cellStyle name="Input 20 2 3 2 2 3" xfId="47817"/>
    <cellStyle name="Input 20 2 3 2 2 4" xfId="35999"/>
    <cellStyle name="Input 20 2 3 2 3" xfId="19414"/>
    <cellStyle name="Input 20 2 3 2 3 2" xfId="44936"/>
    <cellStyle name="Input 20 2 3 2 3 3" xfId="48842"/>
    <cellStyle name="Input 20 2 3 2 3 4" xfId="36965"/>
    <cellStyle name="Input 20 2 3 2 4" xfId="20312"/>
    <cellStyle name="Input 20 2 3 2 4 2" xfId="45834"/>
    <cellStyle name="Input 20 2 3 2 4 3" xfId="49740"/>
    <cellStyle name="Input 20 2 3 2 4 4" xfId="37762"/>
    <cellStyle name="Input 20 2 3 2 5" xfId="20789"/>
    <cellStyle name="Input 20 2 3 2 5 2" xfId="46311"/>
    <cellStyle name="Input 20 2 3 2 5 3" xfId="50217"/>
    <cellStyle name="Input 20 2 3 2 5 4" xfId="38181"/>
    <cellStyle name="Input 20 2 3 2 6" xfId="21442"/>
    <cellStyle name="Input 20 2 3 2 6 2" xfId="46964"/>
    <cellStyle name="Input 20 2 3 2 6 3" xfId="50870"/>
    <cellStyle name="Input 20 2 3 2 7" xfId="40767"/>
    <cellStyle name="Input 20 2 3 2 8" xfId="39171"/>
    <cellStyle name="Input 20 2 3 3" xfId="10884"/>
    <cellStyle name="Input 20 2 3 3 2" xfId="18671"/>
    <cellStyle name="Input 20 2 3 3 2 2" xfId="44203"/>
    <cellStyle name="Input 20 2 3 3 2 3" xfId="48112"/>
    <cellStyle name="Input 20 2 3 3 2 4" xfId="36294"/>
    <cellStyle name="Input 20 2 3 3 3" xfId="13340"/>
    <cellStyle name="Input 20 2 3 3 3 2" xfId="42491"/>
    <cellStyle name="Input 20 2 3 3 3 3" xfId="40143"/>
    <cellStyle name="Input 20 2 3 3 3 4" xfId="30966"/>
    <cellStyle name="Input 20 2 3 3 4" xfId="11750"/>
    <cellStyle name="Input 20 2 3 3 4 2" xfId="41706"/>
    <cellStyle name="Input 20 2 3 3 4 3" xfId="39315"/>
    <cellStyle name="Input 20 2 3 3 4 4" xfId="29423"/>
    <cellStyle name="Input 20 2 3 3 5" xfId="21084"/>
    <cellStyle name="Input 20 2 3 3 5 2" xfId="46606"/>
    <cellStyle name="Input 20 2 3 3 5 3" xfId="50512"/>
    <cellStyle name="Input 20 2 3 3 5 4" xfId="38476"/>
    <cellStyle name="Input 20 2 3 3 6" xfId="21737"/>
    <cellStyle name="Input 20 2 3 3 6 2" xfId="47259"/>
    <cellStyle name="Input 20 2 3 3 6 3" xfId="51165"/>
    <cellStyle name="Input 20 2 3 3 7" xfId="41062"/>
    <cellStyle name="Input 20 2 3 3 8" xfId="43595"/>
    <cellStyle name="Input 20 2 3 4" xfId="14844"/>
    <cellStyle name="Input 20 2 3 4 2" xfId="42942"/>
    <cellStyle name="Input 20 2 3 4 3" xfId="39402"/>
    <cellStyle name="Input 20 2 3 4 4" xfId="32465"/>
    <cellStyle name="Input 20 2 3 5" xfId="13111"/>
    <cellStyle name="Input 20 2 3 5 2" xfId="42313"/>
    <cellStyle name="Input 20 2 3 5 3" xfId="39076"/>
    <cellStyle name="Input 20 2 3 5 4" xfId="30746"/>
    <cellStyle name="Input 20 2 3 6" xfId="19770"/>
    <cellStyle name="Input 20 2 3 6 2" xfId="45292"/>
    <cellStyle name="Input 20 2 3 6 3" xfId="49198"/>
    <cellStyle name="Input 20 2 3 6 4" xfId="37282"/>
    <cellStyle name="Input 20 2 3 7" xfId="12495"/>
    <cellStyle name="Input 20 2 3 7 2" xfId="41989"/>
    <cellStyle name="Input 20 2 3 7 3" xfId="43453"/>
    <cellStyle name="Input 20 2 3 7 4" xfId="30149"/>
    <cellStyle name="Input 20 2 3 8" xfId="11584"/>
    <cellStyle name="Input 20 2 3 8 2" xfId="41575"/>
    <cellStyle name="Input 20 2 3 8 3" xfId="43185"/>
    <cellStyle name="Input 20 2 3 9" xfId="39802"/>
    <cellStyle name="Input 20 2 4" xfId="22436"/>
    <cellStyle name="Input 20 2 5" xfId="53032"/>
    <cellStyle name="Input 20 2_Sheet1" xfId="1877"/>
    <cellStyle name="Input 20 3" xfId="1878"/>
    <cellStyle name="Input 20 3 2" xfId="7064"/>
    <cellStyle name="Input 20 3 2 10" xfId="42737"/>
    <cellStyle name="Input 20 3 2 2" xfId="10591"/>
    <cellStyle name="Input 20 3 2 2 2" xfId="18378"/>
    <cellStyle name="Input 20 3 2 2 2 2" xfId="43910"/>
    <cellStyle name="Input 20 3 2 2 2 3" xfId="47819"/>
    <cellStyle name="Input 20 3 2 2 2 4" xfId="36001"/>
    <cellStyle name="Input 20 3 2 2 3" xfId="19287"/>
    <cellStyle name="Input 20 3 2 2 3 2" xfId="44809"/>
    <cellStyle name="Input 20 3 2 2 3 3" xfId="48715"/>
    <cellStyle name="Input 20 3 2 2 3 4" xfId="36851"/>
    <cellStyle name="Input 20 3 2 2 4" xfId="19860"/>
    <cellStyle name="Input 20 3 2 2 4 2" xfId="45382"/>
    <cellStyle name="Input 20 3 2 2 4 3" xfId="49288"/>
    <cellStyle name="Input 20 3 2 2 4 4" xfId="37360"/>
    <cellStyle name="Input 20 3 2 2 5" xfId="20791"/>
    <cellStyle name="Input 20 3 2 2 5 2" xfId="46313"/>
    <cellStyle name="Input 20 3 2 2 5 3" xfId="50219"/>
    <cellStyle name="Input 20 3 2 2 5 4" xfId="38183"/>
    <cellStyle name="Input 20 3 2 2 6" xfId="21444"/>
    <cellStyle name="Input 20 3 2 2 6 2" xfId="46966"/>
    <cellStyle name="Input 20 3 2 2 6 3" xfId="50872"/>
    <cellStyle name="Input 20 3 2 2 7" xfId="40769"/>
    <cellStyle name="Input 20 3 2 2 8" xfId="41412"/>
    <cellStyle name="Input 20 3 2 3" xfId="10886"/>
    <cellStyle name="Input 20 3 2 3 2" xfId="18673"/>
    <cellStyle name="Input 20 3 2 3 2 2" xfId="44205"/>
    <cellStyle name="Input 20 3 2 3 2 3" xfId="48114"/>
    <cellStyle name="Input 20 3 2 3 2 4" xfId="36296"/>
    <cellStyle name="Input 20 3 2 3 3" xfId="11515"/>
    <cellStyle name="Input 20 3 2 3 3 2" xfId="41506"/>
    <cellStyle name="Input 20 3 2 3 3 3" xfId="43576"/>
    <cellStyle name="Input 20 3 2 3 3 4" xfId="29216"/>
    <cellStyle name="Input 20 3 2 3 4" xfId="20080"/>
    <cellStyle name="Input 20 3 2 3 4 2" xfId="45602"/>
    <cellStyle name="Input 20 3 2 3 4 3" xfId="49508"/>
    <cellStyle name="Input 20 3 2 3 4 4" xfId="37556"/>
    <cellStyle name="Input 20 3 2 3 5" xfId="21086"/>
    <cellStyle name="Input 20 3 2 3 5 2" xfId="46608"/>
    <cellStyle name="Input 20 3 2 3 5 3" xfId="50514"/>
    <cellStyle name="Input 20 3 2 3 5 4" xfId="38478"/>
    <cellStyle name="Input 20 3 2 3 6" xfId="21739"/>
    <cellStyle name="Input 20 3 2 3 6 2" xfId="47261"/>
    <cellStyle name="Input 20 3 2 3 6 3" xfId="51167"/>
    <cellStyle name="Input 20 3 2 3 7" xfId="41064"/>
    <cellStyle name="Input 20 3 2 3 8" xfId="39563"/>
    <cellStyle name="Input 20 3 2 4" xfId="14846"/>
    <cellStyle name="Input 20 3 2 4 2" xfId="42944"/>
    <cellStyle name="Input 20 3 2 4 3" xfId="43271"/>
    <cellStyle name="Input 20 3 2 4 4" xfId="32467"/>
    <cellStyle name="Input 20 3 2 5" xfId="13112"/>
    <cellStyle name="Input 20 3 2 5 2" xfId="42314"/>
    <cellStyle name="Input 20 3 2 5 3" xfId="47444"/>
    <cellStyle name="Input 20 3 2 5 4" xfId="30747"/>
    <cellStyle name="Input 20 3 2 6" xfId="19613"/>
    <cellStyle name="Input 20 3 2 6 2" xfId="45135"/>
    <cellStyle name="Input 20 3 2 6 3" xfId="49041"/>
    <cellStyle name="Input 20 3 2 6 4" xfId="37139"/>
    <cellStyle name="Input 20 3 2 7" xfId="12841"/>
    <cellStyle name="Input 20 3 2 7 2" xfId="42205"/>
    <cellStyle name="Input 20 3 2 7 3" xfId="41947"/>
    <cellStyle name="Input 20 3 2 7 4" xfId="30482"/>
    <cellStyle name="Input 20 3 2 8" xfId="20520"/>
    <cellStyle name="Input 20 3 2 8 2" xfId="46042"/>
    <cellStyle name="Input 20 3 2 8 3" xfId="49948"/>
    <cellStyle name="Input 20 3 2 9" xfId="39804"/>
    <cellStyle name="Input 20 3 3" xfId="53035"/>
    <cellStyle name="Input 20 4" xfId="7061"/>
    <cellStyle name="Input 20 4 10" xfId="43744"/>
    <cellStyle name="Input 20 4 11" xfId="53036"/>
    <cellStyle name="Input 20 4 2" xfId="10588"/>
    <cellStyle name="Input 20 4 2 2" xfId="18375"/>
    <cellStyle name="Input 20 4 2 2 2" xfId="43907"/>
    <cellStyle name="Input 20 4 2 2 3" xfId="47816"/>
    <cellStyle name="Input 20 4 2 2 4" xfId="35998"/>
    <cellStyle name="Input 20 4 2 3" xfId="20155"/>
    <cellStyle name="Input 20 4 2 3 2" xfId="45677"/>
    <cellStyle name="Input 20 4 2 3 3" xfId="49583"/>
    <cellStyle name="Input 20 4 2 3 4" xfId="37627"/>
    <cellStyle name="Input 20 4 2 4" xfId="18939"/>
    <cellStyle name="Input 20 4 2 4 2" xfId="44461"/>
    <cellStyle name="Input 20 4 2 4 3" xfId="48367"/>
    <cellStyle name="Input 20 4 2 4 4" xfId="36551"/>
    <cellStyle name="Input 20 4 2 5" xfId="20788"/>
    <cellStyle name="Input 20 4 2 5 2" xfId="46310"/>
    <cellStyle name="Input 20 4 2 5 3" xfId="50216"/>
    <cellStyle name="Input 20 4 2 5 4" xfId="38180"/>
    <cellStyle name="Input 20 4 2 6" xfId="21441"/>
    <cellStyle name="Input 20 4 2 6 2" xfId="46963"/>
    <cellStyle name="Input 20 4 2 6 3" xfId="50869"/>
    <cellStyle name="Input 20 4 2 7" xfId="40766"/>
    <cellStyle name="Input 20 4 2 8" xfId="39172"/>
    <cellStyle name="Input 20 4 3" xfId="10883"/>
    <cellStyle name="Input 20 4 3 2" xfId="18670"/>
    <cellStyle name="Input 20 4 3 2 2" xfId="44202"/>
    <cellStyle name="Input 20 4 3 2 3" xfId="48111"/>
    <cellStyle name="Input 20 4 3 2 4" xfId="36293"/>
    <cellStyle name="Input 20 4 3 3" xfId="13339"/>
    <cellStyle name="Input 20 4 3 3 2" xfId="42490"/>
    <cellStyle name="Input 20 4 3 3 3" xfId="43284"/>
    <cellStyle name="Input 20 4 3 3 4" xfId="30965"/>
    <cellStyle name="Input 20 4 3 4" xfId="20285"/>
    <cellStyle name="Input 20 4 3 4 2" xfId="45807"/>
    <cellStyle name="Input 20 4 3 4 3" xfId="49713"/>
    <cellStyle name="Input 20 4 3 4 4" xfId="37737"/>
    <cellStyle name="Input 20 4 3 5" xfId="21083"/>
    <cellStyle name="Input 20 4 3 5 2" xfId="46605"/>
    <cellStyle name="Input 20 4 3 5 3" xfId="50511"/>
    <cellStyle name="Input 20 4 3 5 4" xfId="38475"/>
    <cellStyle name="Input 20 4 3 6" xfId="21736"/>
    <cellStyle name="Input 20 4 3 6 2" xfId="47258"/>
    <cellStyle name="Input 20 4 3 6 3" xfId="51164"/>
    <cellStyle name="Input 20 4 3 7" xfId="41061"/>
    <cellStyle name="Input 20 4 3 8" xfId="42706"/>
    <cellStyle name="Input 20 4 4" xfId="14843"/>
    <cellStyle name="Input 20 4 4 2" xfId="42941"/>
    <cellStyle name="Input 20 4 4 3" xfId="40285"/>
    <cellStyle name="Input 20 4 4 4" xfId="32464"/>
    <cellStyle name="Input 20 4 5" xfId="13110"/>
    <cellStyle name="Input 20 4 5 2" xfId="42312"/>
    <cellStyle name="Input 20 4 5 3" xfId="39274"/>
    <cellStyle name="Input 20 4 5 4" xfId="30745"/>
    <cellStyle name="Input 20 4 6" xfId="12314"/>
    <cellStyle name="Input 20 4 6 2" xfId="41928"/>
    <cellStyle name="Input 20 4 6 3" xfId="40527"/>
    <cellStyle name="Input 20 4 6 4" xfId="29971"/>
    <cellStyle name="Input 20 4 7" xfId="19186"/>
    <cellStyle name="Input 20 4 7 2" xfId="44708"/>
    <cellStyle name="Input 20 4 7 3" xfId="48614"/>
    <cellStyle name="Input 20 4 7 4" xfId="36758"/>
    <cellStyle name="Input 20 4 8" xfId="20605"/>
    <cellStyle name="Input 20 4 8 2" xfId="46127"/>
    <cellStyle name="Input 20 4 8 3" xfId="50033"/>
    <cellStyle name="Input 20 4 9" xfId="39801"/>
    <cellStyle name="Input 20 5" xfId="22435"/>
    <cellStyle name="Input 20 6" xfId="53031"/>
    <cellStyle name="Input 20_Sheet1" xfId="1879"/>
    <cellStyle name="Input 21" xfId="1880"/>
    <cellStyle name="Input 21 2" xfId="1881"/>
    <cellStyle name="Input 21 2 2" xfId="1882"/>
    <cellStyle name="Input 21 2 2 2" xfId="7067"/>
    <cellStyle name="Input 21 2 2 2 10" xfId="39593"/>
    <cellStyle name="Input 21 2 2 2 2" xfId="10594"/>
    <cellStyle name="Input 21 2 2 2 2 2" xfId="18381"/>
    <cellStyle name="Input 21 2 2 2 2 2 2" xfId="43913"/>
    <cellStyle name="Input 21 2 2 2 2 2 3" xfId="47822"/>
    <cellStyle name="Input 21 2 2 2 2 2 4" xfId="36004"/>
    <cellStyle name="Input 21 2 2 2 2 3" xfId="19738"/>
    <cellStyle name="Input 21 2 2 2 2 3 2" xfId="45260"/>
    <cellStyle name="Input 21 2 2 2 2 3 3" xfId="49166"/>
    <cellStyle name="Input 21 2 2 2 2 3 4" xfId="37251"/>
    <cellStyle name="Input 21 2 2 2 2 4" xfId="19052"/>
    <cellStyle name="Input 21 2 2 2 2 4 2" xfId="44574"/>
    <cellStyle name="Input 21 2 2 2 2 4 3" xfId="48480"/>
    <cellStyle name="Input 21 2 2 2 2 4 4" xfId="36637"/>
    <cellStyle name="Input 21 2 2 2 2 5" xfId="20794"/>
    <cellStyle name="Input 21 2 2 2 2 5 2" xfId="46316"/>
    <cellStyle name="Input 21 2 2 2 2 5 3" xfId="50222"/>
    <cellStyle name="Input 21 2 2 2 2 5 4" xfId="38186"/>
    <cellStyle name="Input 21 2 2 2 2 6" xfId="21447"/>
    <cellStyle name="Input 21 2 2 2 2 6 2" xfId="46969"/>
    <cellStyle name="Input 21 2 2 2 2 6 3" xfId="50875"/>
    <cellStyle name="Input 21 2 2 2 2 7" xfId="40772"/>
    <cellStyle name="Input 21 2 2 2 2 8" xfId="42823"/>
    <cellStyle name="Input 21 2 2 2 3" xfId="10889"/>
    <cellStyle name="Input 21 2 2 2 3 2" xfId="18676"/>
    <cellStyle name="Input 21 2 2 2 3 2 2" xfId="44208"/>
    <cellStyle name="Input 21 2 2 2 3 2 3" xfId="48117"/>
    <cellStyle name="Input 21 2 2 2 3 2 4" xfId="36299"/>
    <cellStyle name="Input 21 2 2 2 3 3" xfId="12172"/>
    <cellStyle name="Input 21 2 2 2 3 3 2" xfId="41897"/>
    <cellStyle name="Input 21 2 2 2 3 3 3" xfId="39292"/>
    <cellStyle name="Input 21 2 2 2 3 3 4" xfId="29830"/>
    <cellStyle name="Input 21 2 2 2 3 4" xfId="20347"/>
    <cellStyle name="Input 21 2 2 2 3 4 2" xfId="45869"/>
    <cellStyle name="Input 21 2 2 2 3 4 3" xfId="49775"/>
    <cellStyle name="Input 21 2 2 2 3 4 4" xfId="37789"/>
    <cellStyle name="Input 21 2 2 2 3 5" xfId="21089"/>
    <cellStyle name="Input 21 2 2 2 3 5 2" xfId="46611"/>
    <cellStyle name="Input 21 2 2 2 3 5 3" xfId="50517"/>
    <cellStyle name="Input 21 2 2 2 3 5 4" xfId="38481"/>
    <cellStyle name="Input 21 2 2 2 3 6" xfId="21742"/>
    <cellStyle name="Input 21 2 2 2 3 6 2" xfId="47264"/>
    <cellStyle name="Input 21 2 2 2 3 6 3" xfId="51170"/>
    <cellStyle name="Input 21 2 2 2 3 7" xfId="41067"/>
    <cellStyle name="Input 21 2 2 2 3 8" xfId="40347"/>
    <cellStyle name="Input 21 2 2 2 4" xfId="14849"/>
    <cellStyle name="Input 21 2 2 2 4 2" xfId="42947"/>
    <cellStyle name="Input 21 2 2 2 4 3" xfId="41919"/>
    <cellStyle name="Input 21 2 2 2 4 4" xfId="32470"/>
    <cellStyle name="Input 21 2 2 2 5" xfId="13113"/>
    <cellStyle name="Input 21 2 2 2 5 2" xfId="42315"/>
    <cellStyle name="Input 21 2 2 2 5 3" xfId="41279"/>
    <cellStyle name="Input 21 2 2 2 5 4" xfId="30748"/>
    <cellStyle name="Input 21 2 2 2 6" xfId="19460"/>
    <cellStyle name="Input 21 2 2 2 6 2" xfId="44982"/>
    <cellStyle name="Input 21 2 2 2 6 3" xfId="48888"/>
    <cellStyle name="Input 21 2 2 2 6 4" xfId="37004"/>
    <cellStyle name="Input 21 2 2 2 7" xfId="11560"/>
    <cellStyle name="Input 21 2 2 2 7 2" xfId="41551"/>
    <cellStyle name="Input 21 2 2 2 7 3" xfId="39440"/>
    <cellStyle name="Input 21 2 2 2 7 4" xfId="29257"/>
    <cellStyle name="Input 21 2 2 2 8" xfId="19440"/>
    <cellStyle name="Input 21 2 2 2 8 2" xfId="44962"/>
    <cellStyle name="Input 21 2 2 2 8 3" xfId="48868"/>
    <cellStyle name="Input 21 2 2 2 9" xfId="39807"/>
    <cellStyle name="Input 21 2 2 3" xfId="53039"/>
    <cellStyle name="Input 21 2 3" xfId="7066"/>
    <cellStyle name="Input 21 2 3 10" xfId="40483"/>
    <cellStyle name="Input 21 2 3 11" xfId="53040"/>
    <cellStyle name="Input 21 2 3 2" xfId="10593"/>
    <cellStyle name="Input 21 2 3 2 2" xfId="18380"/>
    <cellStyle name="Input 21 2 3 2 2 2" xfId="43912"/>
    <cellStyle name="Input 21 2 3 2 2 3" xfId="47821"/>
    <cellStyle name="Input 21 2 3 2 2 4" xfId="36003"/>
    <cellStyle name="Input 21 2 3 2 3" xfId="19119"/>
    <cellStyle name="Input 21 2 3 2 3 2" xfId="44641"/>
    <cellStyle name="Input 21 2 3 2 3 3" xfId="48547"/>
    <cellStyle name="Input 21 2 3 2 3 4" xfId="36700"/>
    <cellStyle name="Input 21 2 3 2 4" xfId="19191"/>
    <cellStyle name="Input 21 2 3 2 4 2" xfId="44713"/>
    <cellStyle name="Input 21 2 3 2 4 3" xfId="48619"/>
    <cellStyle name="Input 21 2 3 2 4 4" xfId="36762"/>
    <cellStyle name="Input 21 2 3 2 5" xfId="20793"/>
    <cellStyle name="Input 21 2 3 2 5 2" xfId="46315"/>
    <cellStyle name="Input 21 2 3 2 5 3" xfId="50221"/>
    <cellStyle name="Input 21 2 3 2 5 4" xfId="38185"/>
    <cellStyle name="Input 21 2 3 2 6" xfId="21446"/>
    <cellStyle name="Input 21 2 3 2 6 2" xfId="46968"/>
    <cellStyle name="Input 21 2 3 2 6 3" xfId="50874"/>
    <cellStyle name="Input 21 2 3 2 7" xfId="40771"/>
    <cellStyle name="Input 21 2 3 2 8" xfId="40074"/>
    <cellStyle name="Input 21 2 3 3" xfId="10888"/>
    <cellStyle name="Input 21 2 3 3 2" xfId="18675"/>
    <cellStyle name="Input 21 2 3 3 2 2" xfId="44207"/>
    <cellStyle name="Input 21 2 3 3 2 3" xfId="48116"/>
    <cellStyle name="Input 21 2 3 3 2 4" xfId="36298"/>
    <cellStyle name="Input 21 2 3 3 3" xfId="11517"/>
    <cellStyle name="Input 21 2 3 3 3 2" xfId="41508"/>
    <cellStyle name="Input 21 2 3 3 3 3" xfId="39547"/>
    <cellStyle name="Input 21 2 3 3 3 4" xfId="29218"/>
    <cellStyle name="Input 21 2 3 3 4" xfId="19675"/>
    <cellStyle name="Input 21 2 3 3 4 2" xfId="45197"/>
    <cellStyle name="Input 21 2 3 3 4 3" xfId="49103"/>
    <cellStyle name="Input 21 2 3 3 4 4" xfId="37192"/>
    <cellStyle name="Input 21 2 3 3 5" xfId="21088"/>
    <cellStyle name="Input 21 2 3 3 5 2" xfId="46610"/>
    <cellStyle name="Input 21 2 3 3 5 3" xfId="50516"/>
    <cellStyle name="Input 21 2 3 3 5 4" xfId="38480"/>
    <cellStyle name="Input 21 2 3 3 6" xfId="21741"/>
    <cellStyle name="Input 21 2 3 3 6 2" xfId="47263"/>
    <cellStyle name="Input 21 2 3 3 6 3" xfId="51169"/>
    <cellStyle name="Input 21 2 3 3 7" xfId="41066"/>
    <cellStyle name="Input 21 2 3 3 8" xfId="43484"/>
    <cellStyle name="Input 21 2 3 4" xfId="14848"/>
    <cellStyle name="Input 21 2 3 4 2" xfId="42946"/>
    <cellStyle name="Input 21 2 3 4 3" xfId="39244"/>
    <cellStyle name="Input 21 2 3 4 4" xfId="32469"/>
    <cellStyle name="Input 21 2 3 5" xfId="11287"/>
    <cellStyle name="Input 21 2 3 5 2" xfId="41314"/>
    <cellStyle name="Input 21 2 3 5 3" xfId="39446"/>
    <cellStyle name="Input 21 2 3 5 4" xfId="29001"/>
    <cellStyle name="Input 21 2 3 6" xfId="19524"/>
    <cellStyle name="Input 21 2 3 6 2" xfId="45046"/>
    <cellStyle name="Input 21 2 3 6 3" xfId="48952"/>
    <cellStyle name="Input 21 2 3 6 4" xfId="37057"/>
    <cellStyle name="Input 21 2 3 7" xfId="19006"/>
    <cellStyle name="Input 21 2 3 7 2" xfId="44528"/>
    <cellStyle name="Input 21 2 3 7 3" xfId="48434"/>
    <cellStyle name="Input 21 2 3 7 4" xfId="36600"/>
    <cellStyle name="Input 21 2 3 8" xfId="18996"/>
    <cellStyle name="Input 21 2 3 8 2" xfId="44518"/>
    <cellStyle name="Input 21 2 3 8 3" xfId="48424"/>
    <cellStyle name="Input 21 2 3 9" xfId="39806"/>
    <cellStyle name="Input 21 2 4" xfId="22438"/>
    <cellStyle name="Input 21 2 5" xfId="53038"/>
    <cellStyle name="Input 21 2_Sheet1" xfId="1883"/>
    <cellStyle name="Input 21 3" xfId="1884"/>
    <cellStyle name="Input 21 3 2" xfId="7068"/>
    <cellStyle name="Input 21 3 2 10" xfId="42601"/>
    <cellStyle name="Input 21 3 2 2" xfId="10595"/>
    <cellStyle name="Input 21 3 2 2 2" xfId="18382"/>
    <cellStyle name="Input 21 3 2 2 2 2" xfId="43914"/>
    <cellStyle name="Input 21 3 2 2 2 3" xfId="47823"/>
    <cellStyle name="Input 21 3 2 2 2 4" xfId="36005"/>
    <cellStyle name="Input 21 3 2 2 3" xfId="11490"/>
    <cellStyle name="Input 21 3 2 2 3 2" xfId="41481"/>
    <cellStyle name="Input 21 3 2 2 3 3" xfId="42794"/>
    <cellStyle name="Input 21 3 2 2 3 4" xfId="29191"/>
    <cellStyle name="Input 21 3 2 2 4" xfId="19184"/>
    <cellStyle name="Input 21 3 2 2 4 2" xfId="44706"/>
    <cellStyle name="Input 21 3 2 2 4 3" xfId="48612"/>
    <cellStyle name="Input 21 3 2 2 4 4" xfId="36757"/>
    <cellStyle name="Input 21 3 2 2 5" xfId="20795"/>
    <cellStyle name="Input 21 3 2 2 5 2" xfId="46317"/>
    <cellStyle name="Input 21 3 2 2 5 3" xfId="50223"/>
    <cellStyle name="Input 21 3 2 2 5 4" xfId="38187"/>
    <cellStyle name="Input 21 3 2 2 6" xfId="21448"/>
    <cellStyle name="Input 21 3 2 2 6 2" xfId="46970"/>
    <cellStyle name="Input 21 3 2 2 6 3" xfId="50876"/>
    <cellStyle name="Input 21 3 2 2 7" xfId="40773"/>
    <cellStyle name="Input 21 3 2 2 8" xfId="43712"/>
    <cellStyle name="Input 21 3 2 3" xfId="10890"/>
    <cellStyle name="Input 21 3 2 3 2" xfId="18677"/>
    <cellStyle name="Input 21 3 2 3 2 2" xfId="44209"/>
    <cellStyle name="Input 21 3 2 3 2 3" xfId="48118"/>
    <cellStyle name="Input 21 3 2 3 2 4" xfId="36300"/>
    <cellStyle name="Input 21 3 2 3 3" xfId="13342"/>
    <cellStyle name="Input 21 3 2 3 3 2" xfId="42493"/>
    <cellStyle name="Input 21 3 2 3 3 3" xfId="39042"/>
    <cellStyle name="Input 21 3 2 3 3 4" xfId="30968"/>
    <cellStyle name="Input 21 3 2 3 4" xfId="20286"/>
    <cellStyle name="Input 21 3 2 3 4 2" xfId="45808"/>
    <cellStyle name="Input 21 3 2 3 4 3" xfId="49714"/>
    <cellStyle name="Input 21 3 2 3 4 4" xfId="37738"/>
    <cellStyle name="Input 21 3 2 3 5" xfId="21090"/>
    <cellStyle name="Input 21 3 2 3 5 2" xfId="46612"/>
    <cellStyle name="Input 21 3 2 3 5 3" xfId="50518"/>
    <cellStyle name="Input 21 3 2 3 5 4" xfId="38482"/>
    <cellStyle name="Input 21 3 2 3 6" xfId="21743"/>
    <cellStyle name="Input 21 3 2 3 6 2" xfId="47265"/>
    <cellStyle name="Input 21 3 2 3 6 3" xfId="51171"/>
    <cellStyle name="Input 21 3 2 3 7" xfId="41068"/>
    <cellStyle name="Input 21 3 2 3 8" xfId="39459"/>
    <cellStyle name="Input 21 3 2 4" xfId="14850"/>
    <cellStyle name="Input 21 3 2 4 2" xfId="42948"/>
    <cellStyle name="Input 21 3 2 4 3" xfId="43273"/>
    <cellStyle name="Input 21 3 2 4 4" xfId="32471"/>
    <cellStyle name="Input 21 3 2 5" xfId="13114"/>
    <cellStyle name="Input 21 3 2 5 2" xfId="42316"/>
    <cellStyle name="Input 21 3 2 5 3" xfId="43166"/>
    <cellStyle name="Input 21 3 2 5 4" xfId="30749"/>
    <cellStyle name="Input 21 3 2 6" xfId="12726"/>
    <cellStyle name="Input 21 3 2 6 2" xfId="42161"/>
    <cellStyle name="Input 21 3 2 6 3" xfId="40307"/>
    <cellStyle name="Input 21 3 2 6 4" xfId="30370"/>
    <cellStyle name="Input 21 3 2 7" xfId="13301"/>
    <cellStyle name="Input 21 3 2 7 2" xfId="42452"/>
    <cellStyle name="Input 21 3 2 7 3" xfId="40293"/>
    <cellStyle name="Input 21 3 2 7 4" xfId="30928"/>
    <cellStyle name="Input 21 3 2 8" xfId="11579"/>
    <cellStyle name="Input 21 3 2 8 2" xfId="41570"/>
    <cellStyle name="Input 21 3 2 8 3" xfId="40183"/>
    <cellStyle name="Input 21 3 2 9" xfId="39808"/>
    <cellStyle name="Input 21 3 3" xfId="53041"/>
    <cellStyle name="Input 21 4" xfId="7065"/>
    <cellStyle name="Input 21 4 10" xfId="43625"/>
    <cellStyle name="Input 21 4 11" xfId="53042"/>
    <cellStyle name="Input 21 4 2" xfId="10592"/>
    <cellStyle name="Input 21 4 2 2" xfId="18379"/>
    <cellStyle name="Input 21 4 2 2 2" xfId="43911"/>
    <cellStyle name="Input 21 4 2 2 3" xfId="47820"/>
    <cellStyle name="Input 21 4 2 2 4" xfId="36002"/>
    <cellStyle name="Input 21 4 2 3" xfId="19896"/>
    <cellStyle name="Input 21 4 2 3 2" xfId="45418"/>
    <cellStyle name="Input 21 4 2 3 3" xfId="49324"/>
    <cellStyle name="Input 21 4 2 3 4" xfId="37396"/>
    <cellStyle name="Input 21 4 2 4" xfId="19061"/>
    <cellStyle name="Input 21 4 2 4 2" xfId="44583"/>
    <cellStyle name="Input 21 4 2 4 3" xfId="48489"/>
    <cellStyle name="Input 21 4 2 4 4" xfId="36644"/>
    <cellStyle name="Input 21 4 2 5" xfId="20792"/>
    <cellStyle name="Input 21 4 2 5 2" xfId="46314"/>
    <cellStyle name="Input 21 4 2 5 3" xfId="50220"/>
    <cellStyle name="Input 21 4 2 5 4" xfId="38184"/>
    <cellStyle name="Input 21 4 2 6" xfId="21445"/>
    <cellStyle name="Input 21 4 2 6 2" xfId="46967"/>
    <cellStyle name="Input 21 4 2 6 3" xfId="50873"/>
    <cellStyle name="Input 21 4 2 7" xfId="40770"/>
    <cellStyle name="Input 21 4 2 8" xfId="43215"/>
    <cellStyle name="Input 21 4 3" xfId="10887"/>
    <cellStyle name="Input 21 4 3 2" xfId="18674"/>
    <cellStyle name="Input 21 4 3 2 2" xfId="44206"/>
    <cellStyle name="Input 21 4 3 2 3" xfId="48115"/>
    <cellStyle name="Input 21 4 3 2 4" xfId="36297"/>
    <cellStyle name="Input 21 4 3 3" xfId="11516"/>
    <cellStyle name="Input 21 4 3 3 2" xfId="41507"/>
    <cellStyle name="Input 21 4 3 3 3" xfId="40436"/>
    <cellStyle name="Input 21 4 3 3 4" xfId="29217"/>
    <cellStyle name="Input 21 4 3 4" xfId="11677"/>
    <cellStyle name="Input 21 4 3 4 2" xfId="41668"/>
    <cellStyle name="Input 21 4 3 4 3" xfId="47480"/>
    <cellStyle name="Input 21 4 3 4 4" xfId="29356"/>
    <cellStyle name="Input 21 4 3 5" xfId="21087"/>
    <cellStyle name="Input 21 4 3 5 2" xfId="46609"/>
    <cellStyle name="Input 21 4 3 5 3" xfId="50515"/>
    <cellStyle name="Input 21 4 3 5 4" xfId="38479"/>
    <cellStyle name="Input 21 4 3 6" xfId="21740"/>
    <cellStyle name="Input 21 4 3 6 2" xfId="47262"/>
    <cellStyle name="Input 21 4 3 6 3" xfId="51168"/>
    <cellStyle name="Input 21 4 3 7" xfId="41065"/>
    <cellStyle name="Input 21 4 3 8" xfId="42571"/>
    <cellStyle name="Input 21 4 4" xfId="14847"/>
    <cellStyle name="Input 21 4 4 2" xfId="42945"/>
    <cellStyle name="Input 21 4 4 3" xfId="40130"/>
    <cellStyle name="Input 21 4 4 4" xfId="32468"/>
    <cellStyle name="Input 21 4 5" xfId="11286"/>
    <cellStyle name="Input 21 4 5 2" xfId="41313"/>
    <cellStyle name="Input 21 4 5 3" xfId="40334"/>
    <cellStyle name="Input 21 4 5 4" xfId="29000"/>
    <cellStyle name="Input 21 4 6" xfId="19641"/>
    <cellStyle name="Input 21 4 6 2" xfId="45163"/>
    <cellStyle name="Input 21 4 6 3" xfId="49069"/>
    <cellStyle name="Input 21 4 6 4" xfId="37161"/>
    <cellStyle name="Input 21 4 7" xfId="20518"/>
    <cellStyle name="Input 21 4 7 2" xfId="46040"/>
    <cellStyle name="Input 21 4 7 3" xfId="49946"/>
    <cellStyle name="Input 21 4 7 4" xfId="37933"/>
    <cellStyle name="Input 21 4 8" xfId="11707"/>
    <cellStyle name="Input 21 4 8 2" xfId="41681"/>
    <cellStyle name="Input 21 4 8 3" xfId="42679"/>
    <cellStyle name="Input 21 4 9" xfId="39805"/>
    <cellStyle name="Input 21 5" xfId="22437"/>
    <cellStyle name="Input 21 6" xfId="53037"/>
    <cellStyle name="Input 21_Sheet1" xfId="1885"/>
    <cellStyle name="Input 22" xfId="1886"/>
    <cellStyle name="Input 22 2" xfId="1887"/>
    <cellStyle name="Input 22 2 2" xfId="1888"/>
    <cellStyle name="Input 22 2 2 2" xfId="7071"/>
    <cellStyle name="Input 22 2 2 2 10" xfId="39489"/>
    <cellStyle name="Input 22 2 2 2 2" xfId="10598"/>
    <cellStyle name="Input 22 2 2 2 2 2" xfId="18385"/>
    <cellStyle name="Input 22 2 2 2 2 2 2" xfId="43917"/>
    <cellStyle name="Input 22 2 2 2 2 2 3" xfId="47826"/>
    <cellStyle name="Input 22 2 2 2 2 2 4" xfId="36008"/>
    <cellStyle name="Input 22 2 2 2 2 3" xfId="20154"/>
    <cellStyle name="Input 22 2 2 2 2 3 2" xfId="45676"/>
    <cellStyle name="Input 22 2 2 2 2 3 3" xfId="49582"/>
    <cellStyle name="Input 22 2 2 2 2 3 4" xfId="37626"/>
    <cellStyle name="Input 22 2 2 2 2 4" xfId="19076"/>
    <cellStyle name="Input 22 2 2 2 2 4 2" xfId="44598"/>
    <cellStyle name="Input 22 2 2 2 2 4 3" xfId="48504"/>
    <cellStyle name="Input 22 2 2 2 2 4 4" xfId="36658"/>
    <cellStyle name="Input 22 2 2 2 2 5" xfId="20798"/>
    <cellStyle name="Input 22 2 2 2 2 5 2" xfId="46320"/>
    <cellStyle name="Input 22 2 2 2 2 5 3" xfId="50226"/>
    <cellStyle name="Input 22 2 2 2 2 5 4" xfId="38190"/>
    <cellStyle name="Input 22 2 2 2 2 6" xfId="21451"/>
    <cellStyle name="Input 22 2 2 2 2 6 2" xfId="46973"/>
    <cellStyle name="Input 22 2 2 2 2 6 3" xfId="50879"/>
    <cellStyle name="Input 22 2 2 2 2 7" xfId="40776"/>
    <cellStyle name="Input 22 2 2 2 2 8" xfId="42719"/>
    <cellStyle name="Input 22 2 2 2 3" xfId="10893"/>
    <cellStyle name="Input 22 2 2 2 3 2" xfId="18680"/>
    <cellStyle name="Input 22 2 2 2 3 2 2" xfId="44212"/>
    <cellStyle name="Input 22 2 2 2 3 2 3" xfId="48121"/>
    <cellStyle name="Input 22 2 2 2 3 2 4" xfId="36303"/>
    <cellStyle name="Input 22 2 2 2 3 3" xfId="13344"/>
    <cellStyle name="Input 22 2 2 2 3 3 2" xfId="42495"/>
    <cellStyle name="Input 22 2 2 2 3 3 3" xfId="41272"/>
    <cellStyle name="Input 22 2 2 2 3 3 4" xfId="30970"/>
    <cellStyle name="Input 22 2 2 2 3 4" xfId="12755"/>
    <cellStyle name="Input 22 2 2 2 3 4 2" xfId="42181"/>
    <cellStyle name="Input 22 2 2 2 3 4 3" xfId="43300"/>
    <cellStyle name="Input 22 2 2 2 3 4 4" xfId="30399"/>
    <cellStyle name="Input 22 2 2 2 3 5" xfId="21093"/>
    <cellStyle name="Input 22 2 2 2 3 5 2" xfId="46615"/>
    <cellStyle name="Input 22 2 2 2 3 5 3" xfId="50521"/>
    <cellStyle name="Input 22 2 2 2 3 5 4" xfId="38485"/>
    <cellStyle name="Input 22 2 2 2 3 6" xfId="21746"/>
    <cellStyle name="Input 22 2 2 2 3 6 2" xfId="47268"/>
    <cellStyle name="Input 22 2 2 2 3 6 3" xfId="51174"/>
    <cellStyle name="Input 22 2 2 2 3 7" xfId="41071"/>
    <cellStyle name="Input 22 2 2 2 3 8" xfId="40208"/>
    <cellStyle name="Input 22 2 2 2 4" xfId="14853"/>
    <cellStyle name="Input 22 2 2 2 4 2" xfId="42951"/>
    <cellStyle name="Input 22 2 2 2 4 3" xfId="43643"/>
    <cellStyle name="Input 22 2 2 2 4 4" xfId="32474"/>
    <cellStyle name="Input 22 2 2 2 5" xfId="11289"/>
    <cellStyle name="Input 22 2 2 2 5 2" xfId="41316"/>
    <cellStyle name="Input 22 2 2 2 5 3" xfId="43331"/>
    <cellStyle name="Input 22 2 2 2 5 4" xfId="29003"/>
    <cellStyle name="Input 22 2 2 2 6" xfId="18983"/>
    <cellStyle name="Input 22 2 2 2 6 2" xfId="44505"/>
    <cellStyle name="Input 22 2 2 2 6 3" xfId="48411"/>
    <cellStyle name="Input 22 2 2 2 6 4" xfId="36591"/>
    <cellStyle name="Input 22 2 2 2 7" xfId="18876"/>
    <cellStyle name="Input 22 2 2 2 7 2" xfId="44398"/>
    <cellStyle name="Input 22 2 2 2 7 3" xfId="48304"/>
    <cellStyle name="Input 22 2 2 2 7 4" xfId="36498"/>
    <cellStyle name="Input 22 2 2 2 8" xfId="11847"/>
    <cellStyle name="Input 22 2 2 2 8 2" xfId="41745"/>
    <cellStyle name="Input 22 2 2 2 8 3" xfId="39119"/>
    <cellStyle name="Input 22 2 2 2 9" xfId="39811"/>
    <cellStyle name="Input 22 2 2 3" xfId="53045"/>
    <cellStyle name="Input 22 2 3" xfId="7070"/>
    <cellStyle name="Input 22 2 3 10" xfId="40377"/>
    <cellStyle name="Input 22 2 3 11" xfId="53046"/>
    <cellStyle name="Input 22 2 3 2" xfId="10597"/>
    <cellStyle name="Input 22 2 3 2 2" xfId="18384"/>
    <cellStyle name="Input 22 2 3 2 2 2" xfId="43916"/>
    <cellStyle name="Input 22 2 3 2 2 3" xfId="47825"/>
    <cellStyle name="Input 22 2 3 2 2 4" xfId="36007"/>
    <cellStyle name="Input 22 2 3 2 3" xfId="19599"/>
    <cellStyle name="Input 22 2 3 2 3 2" xfId="45121"/>
    <cellStyle name="Input 22 2 3 2 3 3" xfId="49027"/>
    <cellStyle name="Input 22 2 3 2 3 4" xfId="37125"/>
    <cellStyle name="Input 22 2 3 2 4" xfId="19042"/>
    <cellStyle name="Input 22 2 3 2 4 2" xfId="44564"/>
    <cellStyle name="Input 22 2 3 2 4 3" xfId="48470"/>
    <cellStyle name="Input 22 2 3 2 4 4" xfId="36628"/>
    <cellStyle name="Input 22 2 3 2 5" xfId="20797"/>
    <cellStyle name="Input 22 2 3 2 5 2" xfId="46319"/>
    <cellStyle name="Input 22 2 3 2 5 3" xfId="50225"/>
    <cellStyle name="Input 22 2 3 2 5 4" xfId="38189"/>
    <cellStyle name="Input 22 2 3 2 6" xfId="21450"/>
    <cellStyle name="Input 22 2 3 2 6 2" xfId="46972"/>
    <cellStyle name="Input 22 2 3 2 6 3" xfId="50878"/>
    <cellStyle name="Input 22 2 3 2 7" xfId="40775"/>
    <cellStyle name="Input 22 2 3 2 8" xfId="39682"/>
    <cellStyle name="Input 22 2 3 3" xfId="10892"/>
    <cellStyle name="Input 22 2 3 3 2" xfId="18679"/>
    <cellStyle name="Input 22 2 3 3 2 2" xfId="44211"/>
    <cellStyle name="Input 22 2 3 3 2 3" xfId="48120"/>
    <cellStyle name="Input 22 2 3 3 2 4" xfId="36302"/>
    <cellStyle name="Input 22 2 3 3 3" xfId="13341"/>
    <cellStyle name="Input 22 2 3 3 3 2" xfId="42492"/>
    <cellStyle name="Input 22 2 3 3 3 3" xfId="39257"/>
    <cellStyle name="Input 22 2 3 3 3 4" xfId="30967"/>
    <cellStyle name="Input 22 2 3 3 4" xfId="19501"/>
    <cellStyle name="Input 22 2 3 3 4 2" xfId="45023"/>
    <cellStyle name="Input 22 2 3 3 4 3" xfId="48929"/>
    <cellStyle name="Input 22 2 3 3 4 4" xfId="37035"/>
    <cellStyle name="Input 22 2 3 3 5" xfId="21092"/>
    <cellStyle name="Input 22 2 3 3 5 2" xfId="46614"/>
    <cellStyle name="Input 22 2 3 3 5 3" xfId="50520"/>
    <cellStyle name="Input 22 2 3 3 5 4" xfId="38484"/>
    <cellStyle name="Input 22 2 3 3 6" xfId="21745"/>
    <cellStyle name="Input 22 2 3 3 6 2" xfId="47267"/>
    <cellStyle name="Input 22 2 3 3 6 3" xfId="51173"/>
    <cellStyle name="Input 22 2 3 3 7" xfId="41070"/>
    <cellStyle name="Input 22 2 3 3 8" xfId="43346"/>
    <cellStyle name="Input 22 2 3 4" xfId="14852"/>
    <cellStyle name="Input 22 2 3 4 2" xfId="42950"/>
    <cellStyle name="Input 22 2 3 4 3" xfId="42756"/>
    <cellStyle name="Input 22 2 3 4 4" xfId="32473"/>
    <cellStyle name="Input 22 2 3 5" xfId="11288"/>
    <cellStyle name="Input 22 2 3 5 2" xfId="41315"/>
    <cellStyle name="Input 22 2 3 5 3" xfId="42010"/>
    <cellStyle name="Input 22 2 3 5 4" xfId="29002"/>
    <cellStyle name="Input 22 2 3 6" xfId="19848"/>
    <cellStyle name="Input 22 2 3 6 2" xfId="45370"/>
    <cellStyle name="Input 22 2 3 6 3" xfId="49276"/>
    <cellStyle name="Input 22 2 3 6 4" xfId="37348"/>
    <cellStyle name="Input 22 2 3 7" xfId="19497"/>
    <cellStyle name="Input 22 2 3 7 2" xfId="45019"/>
    <cellStyle name="Input 22 2 3 7 3" xfId="48925"/>
    <cellStyle name="Input 22 2 3 7 4" xfId="37031"/>
    <cellStyle name="Input 22 2 3 8" xfId="11418"/>
    <cellStyle name="Input 22 2 3 8 2" xfId="41423"/>
    <cellStyle name="Input 22 2 3 8 3" xfId="39146"/>
    <cellStyle name="Input 22 2 3 9" xfId="39810"/>
    <cellStyle name="Input 22 2 4" xfId="22440"/>
    <cellStyle name="Input 22 2 5" xfId="53044"/>
    <cellStyle name="Input 22 2_Sheet1" xfId="1889"/>
    <cellStyle name="Input 22 3" xfId="1890"/>
    <cellStyle name="Input 22 3 2" xfId="7072"/>
    <cellStyle name="Input 22 3 2 10" xfId="42170"/>
    <cellStyle name="Input 22 3 2 2" xfId="10599"/>
    <cellStyle name="Input 22 3 2 2 2" xfId="18386"/>
    <cellStyle name="Input 22 3 2 2 2 2" xfId="43918"/>
    <cellStyle name="Input 22 3 2 2 2 3" xfId="47827"/>
    <cellStyle name="Input 22 3 2 2 2 4" xfId="36009"/>
    <cellStyle name="Input 22 3 2 2 3" xfId="19413"/>
    <cellStyle name="Input 22 3 2 2 3 2" xfId="44935"/>
    <cellStyle name="Input 22 3 2 2 3 3" xfId="48841"/>
    <cellStyle name="Input 22 3 2 2 3 4" xfId="36964"/>
    <cellStyle name="Input 22 3 2 2 4" xfId="19556"/>
    <cellStyle name="Input 22 3 2 2 4 2" xfId="45078"/>
    <cellStyle name="Input 22 3 2 2 4 3" xfId="48984"/>
    <cellStyle name="Input 22 3 2 2 4 4" xfId="37083"/>
    <cellStyle name="Input 22 3 2 2 5" xfId="20799"/>
    <cellStyle name="Input 22 3 2 2 5 2" xfId="46321"/>
    <cellStyle name="Input 22 3 2 2 5 3" xfId="50227"/>
    <cellStyle name="Input 22 3 2 2 5 4" xfId="38191"/>
    <cellStyle name="Input 22 3 2 2 6" xfId="21452"/>
    <cellStyle name="Input 22 3 2 2 6 2" xfId="46974"/>
    <cellStyle name="Input 22 3 2 2 6 3" xfId="50880"/>
    <cellStyle name="Input 22 3 2 2 7" xfId="40777"/>
    <cellStyle name="Input 22 3 2 2 8" xfId="43608"/>
    <cellStyle name="Input 22 3 2 3" xfId="10894"/>
    <cellStyle name="Input 22 3 2 3 2" xfId="18681"/>
    <cellStyle name="Input 22 3 2 3 2 2" xfId="44213"/>
    <cellStyle name="Input 22 3 2 3 2 3" xfId="48122"/>
    <cellStyle name="Input 22 3 2 3 2 4" xfId="36304"/>
    <cellStyle name="Input 22 3 2 3 3" xfId="13345"/>
    <cellStyle name="Input 22 3 2 3 3 2" xfId="42496"/>
    <cellStyle name="Input 22 3 2 3 3 3" xfId="43161"/>
    <cellStyle name="Input 22 3 2 3 3 4" xfId="30971"/>
    <cellStyle name="Input 22 3 2 3 4" xfId="12797"/>
    <cellStyle name="Input 22 3 2 3 4 2" xfId="42193"/>
    <cellStyle name="Input 22 3 2 3 4 3" xfId="42533"/>
    <cellStyle name="Input 22 3 2 3 4 4" xfId="30440"/>
    <cellStyle name="Input 22 3 2 3 5" xfId="21094"/>
    <cellStyle name="Input 22 3 2 3 5 2" xfId="46616"/>
    <cellStyle name="Input 22 3 2 3 5 3" xfId="50522"/>
    <cellStyle name="Input 22 3 2 3 5 4" xfId="38486"/>
    <cellStyle name="Input 22 3 2 3 6" xfId="21747"/>
    <cellStyle name="Input 22 3 2 3 6 2" xfId="47269"/>
    <cellStyle name="Input 22 3 2 3 6 3" xfId="51175"/>
    <cellStyle name="Input 22 3 2 3 7" xfId="41072"/>
    <cellStyle name="Input 22 3 2 3 8" xfId="39348"/>
    <cellStyle name="Input 22 3 2 4" xfId="14854"/>
    <cellStyle name="Input 22 3 2 4 2" xfId="42952"/>
    <cellStyle name="Input 22 3 2 4 3" xfId="40502"/>
    <cellStyle name="Input 22 3 2 4 4" xfId="32475"/>
    <cellStyle name="Input 22 3 2 5" xfId="11290"/>
    <cellStyle name="Input 22 3 2 5 2" xfId="41317"/>
    <cellStyle name="Input 22 3 2 5 3" xfId="40193"/>
    <cellStyle name="Input 22 3 2 5 4" xfId="29004"/>
    <cellStyle name="Input 22 3 2 6" xfId="11586"/>
    <cellStyle name="Input 22 3 2 6 2" xfId="41577"/>
    <cellStyle name="Input 22 3 2 6 3" xfId="42789"/>
    <cellStyle name="Input 22 3 2 6 4" xfId="29279"/>
    <cellStyle name="Input 22 3 2 7" xfId="19952"/>
    <cellStyle name="Input 22 3 2 7 2" xfId="45474"/>
    <cellStyle name="Input 22 3 2 7 3" xfId="49380"/>
    <cellStyle name="Input 22 3 2 7 4" xfId="37443"/>
    <cellStyle name="Input 22 3 2 8" xfId="19228"/>
    <cellStyle name="Input 22 3 2 8 2" xfId="44750"/>
    <cellStyle name="Input 22 3 2 8 3" xfId="48656"/>
    <cellStyle name="Input 22 3 2 9" xfId="39812"/>
    <cellStyle name="Input 22 3 3" xfId="53047"/>
    <cellStyle name="Input 22 4" xfId="7069"/>
    <cellStyle name="Input 22 4 10" xfId="43514"/>
    <cellStyle name="Input 22 4 11" xfId="53048"/>
    <cellStyle name="Input 22 4 2" xfId="10596"/>
    <cellStyle name="Input 22 4 2 2" xfId="18383"/>
    <cellStyle name="Input 22 4 2 2 2" xfId="43915"/>
    <cellStyle name="Input 22 4 2 2 3" xfId="47824"/>
    <cellStyle name="Input 22 4 2 2 4" xfId="36006"/>
    <cellStyle name="Input 22 4 2 3" xfId="13316"/>
    <cellStyle name="Input 22 4 2 3 2" xfId="42467"/>
    <cellStyle name="Input 22 4 2 3 3" xfId="40405"/>
    <cellStyle name="Input 22 4 2 3 4" xfId="30942"/>
    <cellStyle name="Input 22 4 2 4" xfId="18951"/>
    <cellStyle name="Input 22 4 2 4 2" xfId="44473"/>
    <cellStyle name="Input 22 4 2 4 3" xfId="48379"/>
    <cellStyle name="Input 22 4 2 4 4" xfId="36563"/>
    <cellStyle name="Input 22 4 2 5" xfId="20796"/>
    <cellStyle name="Input 22 4 2 5 2" xfId="46318"/>
    <cellStyle name="Input 22 4 2 5 3" xfId="50224"/>
    <cellStyle name="Input 22 4 2 5 4" xfId="38188"/>
    <cellStyle name="Input 22 4 2 6" xfId="21449"/>
    <cellStyle name="Input 22 4 2 6 2" xfId="46971"/>
    <cellStyle name="Input 22 4 2 6 3" xfId="50877"/>
    <cellStyle name="Input 22 4 2 7" xfId="40774"/>
    <cellStyle name="Input 22 4 2 8" xfId="40571"/>
    <cellStyle name="Input 22 4 3" xfId="10891"/>
    <cellStyle name="Input 22 4 3 2" xfId="18678"/>
    <cellStyle name="Input 22 4 3 2 2" xfId="44210"/>
    <cellStyle name="Input 22 4 3 2 3" xfId="48119"/>
    <cellStyle name="Input 22 4 3 2 4" xfId="36301"/>
    <cellStyle name="Input 22 4 3 3" xfId="13343"/>
    <cellStyle name="Input 22 4 3 3 2" xfId="42494"/>
    <cellStyle name="Input 22 4 3 3 3" xfId="39041"/>
    <cellStyle name="Input 22 4 3 3 4" xfId="30969"/>
    <cellStyle name="Input 22 4 3 4" xfId="19500"/>
    <cellStyle name="Input 22 4 3 4 2" xfId="45022"/>
    <cellStyle name="Input 22 4 3 4 3" xfId="48928"/>
    <cellStyle name="Input 22 4 3 4 4" xfId="37034"/>
    <cellStyle name="Input 22 4 3 5" xfId="21091"/>
    <cellStyle name="Input 22 4 3 5 2" xfId="46613"/>
    <cellStyle name="Input 22 4 3 5 3" xfId="50519"/>
    <cellStyle name="Input 22 4 3 5 4" xfId="38483"/>
    <cellStyle name="Input 22 4 3 6" xfId="21744"/>
    <cellStyle name="Input 22 4 3 6 2" xfId="47266"/>
    <cellStyle name="Input 22 4 3 6 3" xfId="51172"/>
    <cellStyle name="Input 22 4 3 7" xfId="41069"/>
    <cellStyle name="Input 22 4 3 8" xfId="42027"/>
    <cellStyle name="Input 22 4 4" xfId="14851"/>
    <cellStyle name="Input 22 4 4 2" xfId="42949"/>
    <cellStyle name="Input 22 4 4 3" xfId="40132"/>
    <cellStyle name="Input 22 4 4 4" xfId="32472"/>
    <cellStyle name="Input 22 4 5" xfId="13115"/>
    <cellStyle name="Input 22 4 5 2" xfId="42317"/>
    <cellStyle name="Input 22 4 5 3" xfId="40025"/>
    <cellStyle name="Input 22 4 5 4" xfId="30750"/>
    <cellStyle name="Input 22 4 6" xfId="12786"/>
    <cellStyle name="Input 22 4 6 2" xfId="42188"/>
    <cellStyle name="Input 22 4 6 3" xfId="41283"/>
    <cellStyle name="Input 22 4 6 4" xfId="30429"/>
    <cellStyle name="Input 22 4 7" xfId="19635"/>
    <cellStyle name="Input 22 4 7 2" xfId="45157"/>
    <cellStyle name="Input 22 4 7 3" xfId="49063"/>
    <cellStyle name="Input 22 4 7 4" xfId="37157"/>
    <cellStyle name="Input 22 4 8" xfId="20604"/>
    <cellStyle name="Input 22 4 8 2" xfId="46126"/>
    <cellStyle name="Input 22 4 8 3" xfId="50032"/>
    <cellStyle name="Input 22 4 9" xfId="39809"/>
    <cellStyle name="Input 22 5" xfId="22439"/>
    <cellStyle name="Input 22 6" xfId="53043"/>
    <cellStyle name="Input 22_Sheet1" xfId="1891"/>
    <cellStyle name="Input 23" xfId="1892"/>
    <cellStyle name="Input 23 2" xfId="1893"/>
    <cellStyle name="Input 23 2 2" xfId="1894"/>
    <cellStyle name="Input 23 2 2 2" xfId="7075"/>
    <cellStyle name="Input 23 2 2 2 10" xfId="39387"/>
    <cellStyle name="Input 23 2 2 2 2" xfId="10602"/>
    <cellStyle name="Input 23 2 2 2 2 2" xfId="18389"/>
    <cellStyle name="Input 23 2 2 2 2 2 2" xfId="43921"/>
    <cellStyle name="Input 23 2 2 2 2 2 3" xfId="47830"/>
    <cellStyle name="Input 23 2 2 2 2 2 4" xfId="36012"/>
    <cellStyle name="Input 23 2 2 2 2 3" xfId="19895"/>
    <cellStyle name="Input 23 2 2 2 2 3 2" xfId="45417"/>
    <cellStyle name="Input 23 2 2 2 2 3 3" xfId="49323"/>
    <cellStyle name="Input 23 2 2 2 2 3 4" xfId="37395"/>
    <cellStyle name="Input 23 2 2 2 2 4" xfId="19060"/>
    <cellStyle name="Input 23 2 2 2 2 4 2" xfId="44582"/>
    <cellStyle name="Input 23 2 2 2 2 4 3" xfId="48488"/>
    <cellStyle name="Input 23 2 2 2 2 4 4" xfId="36643"/>
    <cellStyle name="Input 23 2 2 2 2 5" xfId="20802"/>
    <cellStyle name="Input 23 2 2 2 2 5 2" xfId="46324"/>
    <cellStyle name="Input 23 2 2 2 2 5 3" xfId="50230"/>
    <cellStyle name="Input 23 2 2 2 2 5 4" xfId="38194"/>
    <cellStyle name="Input 23 2 2 2 2 6" xfId="21455"/>
    <cellStyle name="Input 23 2 2 2 2 6 2" xfId="46977"/>
    <cellStyle name="Input 23 2 2 2 2 6 3" xfId="50883"/>
    <cellStyle name="Input 23 2 2 2 2 7" xfId="40780"/>
    <cellStyle name="Input 23 2 2 2 2 8" xfId="42584"/>
    <cellStyle name="Input 23 2 2 2 3" xfId="10897"/>
    <cellStyle name="Input 23 2 2 2 3 2" xfId="18684"/>
    <cellStyle name="Input 23 2 2 2 3 2 2" xfId="44216"/>
    <cellStyle name="Input 23 2 2 2 3 2 3" xfId="48125"/>
    <cellStyle name="Input 23 2 2 2 3 2 4" xfId="36307"/>
    <cellStyle name="Input 23 2 2 2 3 3" xfId="19706"/>
    <cellStyle name="Input 23 2 2 2 3 3 2" xfId="45228"/>
    <cellStyle name="Input 23 2 2 2 3 3 3" xfId="49134"/>
    <cellStyle name="Input 23 2 2 2 3 3 4" xfId="37219"/>
    <cellStyle name="Input 23 2 2 2 3 4" xfId="19455"/>
    <cellStyle name="Input 23 2 2 2 3 4 2" xfId="44977"/>
    <cellStyle name="Input 23 2 2 2 3 4 3" xfId="48883"/>
    <cellStyle name="Input 23 2 2 2 3 4 4" xfId="36999"/>
    <cellStyle name="Input 23 2 2 2 3 5" xfId="21097"/>
    <cellStyle name="Input 23 2 2 2 3 5 2" xfId="46619"/>
    <cellStyle name="Input 23 2 2 2 3 5 3" xfId="50525"/>
    <cellStyle name="Input 23 2 2 2 3 5 4" xfId="38489"/>
    <cellStyle name="Input 23 2 2 2 3 6" xfId="21750"/>
    <cellStyle name="Input 23 2 2 2 3 6 2" xfId="47272"/>
    <cellStyle name="Input 23 2 2 2 3 6 3" xfId="51178"/>
    <cellStyle name="Input 23 2 2 2 3 7" xfId="41075"/>
    <cellStyle name="Input 23 2 2 2 3 8" xfId="43202"/>
    <cellStyle name="Input 23 2 2 2 4" xfId="14857"/>
    <cellStyle name="Input 23 2 2 2 4 2" xfId="42955"/>
    <cellStyle name="Input 23 2 2 2 4 3" xfId="43534"/>
    <cellStyle name="Input 23 2 2 2 4 4" xfId="32478"/>
    <cellStyle name="Input 23 2 2 2 5" xfId="13118"/>
    <cellStyle name="Input 23 2 2 2 5 2" xfId="42320"/>
    <cellStyle name="Input 23 2 2 2 5 3" xfId="40513"/>
    <cellStyle name="Input 23 2 2 2 5 4" xfId="30753"/>
    <cellStyle name="Input 23 2 2 2 6" xfId="11459"/>
    <cellStyle name="Input 23 2 2 2 6 2" xfId="41450"/>
    <cellStyle name="Input 23 2 2 2 6 3" xfId="43325"/>
    <cellStyle name="Input 23 2 2 2 6 4" xfId="29162"/>
    <cellStyle name="Input 23 2 2 2 7" xfId="19026"/>
    <cellStyle name="Input 23 2 2 2 7 2" xfId="44548"/>
    <cellStyle name="Input 23 2 2 2 7 3" xfId="48454"/>
    <cellStyle name="Input 23 2 2 2 7 4" xfId="36616"/>
    <cellStyle name="Input 23 2 2 2 8" xfId="19674"/>
    <cellStyle name="Input 23 2 2 2 8 2" xfId="45196"/>
    <cellStyle name="Input 23 2 2 2 8 3" xfId="49102"/>
    <cellStyle name="Input 23 2 2 2 9" xfId="39815"/>
    <cellStyle name="Input 23 2 2 3" xfId="53051"/>
    <cellStyle name="Input 23 2 3" xfId="7074"/>
    <cellStyle name="Input 23 2 3 10" xfId="40259"/>
    <cellStyle name="Input 23 2 3 11" xfId="53052"/>
    <cellStyle name="Input 23 2 3 2" xfId="10601"/>
    <cellStyle name="Input 23 2 3 2 2" xfId="18388"/>
    <cellStyle name="Input 23 2 3 2 2 2" xfId="43920"/>
    <cellStyle name="Input 23 2 3 2 2 3" xfId="47829"/>
    <cellStyle name="Input 23 2 3 2 2 4" xfId="36011"/>
    <cellStyle name="Input 23 2 3 2 3" xfId="19286"/>
    <cellStyle name="Input 23 2 3 2 3 2" xfId="44808"/>
    <cellStyle name="Input 23 2 3 2 3 3" xfId="48714"/>
    <cellStyle name="Input 23 2 3 2 3 4" xfId="36850"/>
    <cellStyle name="Input 23 2 3 2 4" xfId="19030"/>
    <cellStyle name="Input 23 2 3 2 4 2" xfId="44552"/>
    <cellStyle name="Input 23 2 3 2 4 3" xfId="48458"/>
    <cellStyle name="Input 23 2 3 2 4 4" xfId="36620"/>
    <cellStyle name="Input 23 2 3 2 5" xfId="20801"/>
    <cellStyle name="Input 23 2 3 2 5 2" xfId="46323"/>
    <cellStyle name="Input 23 2 3 2 5 3" xfId="50229"/>
    <cellStyle name="Input 23 2 3 2 5 4" xfId="38193"/>
    <cellStyle name="Input 23 2 3 2 6" xfId="21454"/>
    <cellStyle name="Input 23 2 3 2 6 2" xfId="46976"/>
    <cellStyle name="Input 23 2 3 2 6 3" xfId="50882"/>
    <cellStyle name="Input 23 2 3 2 7" xfId="40779"/>
    <cellStyle name="Input 23 2 3 2 8" xfId="39576"/>
    <cellStyle name="Input 23 2 3 3" xfId="10896"/>
    <cellStyle name="Input 23 2 3 3 2" xfId="18683"/>
    <cellStyle name="Input 23 2 3 3 2 2" xfId="44215"/>
    <cellStyle name="Input 23 2 3 3 2 3" xfId="48124"/>
    <cellStyle name="Input 23 2 3 3 2 4" xfId="36306"/>
    <cellStyle name="Input 23 2 3 3 3" xfId="19575"/>
    <cellStyle name="Input 23 2 3 3 3 2" xfId="45097"/>
    <cellStyle name="Input 23 2 3 3 3 3" xfId="49003"/>
    <cellStyle name="Input 23 2 3 3 3 4" xfId="37101"/>
    <cellStyle name="Input 23 2 3 3 4" xfId="19233"/>
    <cellStyle name="Input 23 2 3 3 4 2" xfId="44755"/>
    <cellStyle name="Input 23 2 3 3 4 3" xfId="48661"/>
    <cellStyle name="Input 23 2 3 3 4 4" xfId="36797"/>
    <cellStyle name="Input 23 2 3 3 5" xfId="21096"/>
    <cellStyle name="Input 23 2 3 3 5 2" xfId="46618"/>
    <cellStyle name="Input 23 2 3 3 5 3" xfId="50524"/>
    <cellStyle name="Input 23 2 3 3 5 4" xfId="38488"/>
    <cellStyle name="Input 23 2 3 3 6" xfId="21749"/>
    <cellStyle name="Input 23 2 3 3 6 2" xfId="47271"/>
    <cellStyle name="Input 23 2 3 3 6 3" xfId="51177"/>
    <cellStyle name="Input 23 2 3 3 7" xfId="41074"/>
    <cellStyle name="Input 23 2 3 3 8" xfId="41399"/>
    <cellStyle name="Input 23 2 3 4" xfId="14856"/>
    <cellStyle name="Input 23 2 3 4 2" xfId="42954"/>
    <cellStyle name="Input 23 2 3 4 3" xfId="42646"/>
    <cellStyle name="Input 23 2 3 4 4" xfId="32477"/>
    <cellStyle name="Input 23 2 3 5" xfId="13117"/>
    <cellStyle name="Input 23 2 3 5 2" xfId="42319"/>
    <cellStyle name="Input 23 2 3 5 3" xfId="43655"/>
    <cellStyle name="Input 23 2 3 5 4" xfId="30752"/>
    <cellStyle name="Input 23 2 3 6" xfId="11843"/>
    <cellStyle name="Input 23 2 3 6 2" xfId="41741"/>
    <cellStyle name="Input 23 2 3 6 3" xfId="41981"/>
    <cellStyle name="Input 23 2 3 6 4" xfId="29513"/>
    <cellStyle name="Input 23 2 3 7" xfId="11813"/>
    <cellStyle name="Input 23 2 3 7 2" xfId="41731"/>
    <cellStyle name="Input 23 2 3 7 3" xfId="39310"/>
    <cellStyle name="Input 23 2 3 7 4" xfId="29485"/>
    <cellStyle name="Input 23 2 3 8" xfId="19925"/>
    <cellStyle name="Input 23 2 3 8 2" xfId="45447"/>
    <cellStyle name="Input 23 2 3 8 3" xfId="49353"/>
    <cellStyle name="Input 23 2 3 9" xfId="39814"/>
    <cellStyle name="Input 23 2 4" xfId="22442"/>
    <cellStyle name="Input 23 2 5" xfId="53050"/>
    <cellStyle name="Input 23 2_Sheet1" xfId="1895"/>
    <cellStyle name="Input 23 3" xfId="1896"/>
    <cellStyle name="Input 23 3 2" xfId="7076"/>
    <cellStyle name="Input 23 3 2 10" xfId="39222"/>
    <cellStyle name="Input 23 3 2 2" xfId="10603"/>
    <cellStyle name="Input 23 3 2 2 2" xfId="18390"/>
    <cellStyle name="Input 23 3 2 2 2 2" xfId="43922"/>
    <cellStyle name="Input 23 3 2 2 2 3" xfId="47831"/>
    <cellStyle name="Input 23 3 2 2 2 4" xfId="36013"/>
    <cellStyle name="Input 23 3 2 2 3" xfId="19118"/>
    <cellStyle name="Input 23 3 2 2 3 2" xfId="44640"/>
    <cellStyle name="Input 23 3 2 2 3 3" xfId="48546"/>
    <cellStyle name="Input 23 3 2 2 3 4" xfId="36699"/>
    <cellStyle name="Input 23 3 2 2 4" xfId="20114"/>
    <cellStyle name="Input 23 3 2 2 4 2" xfId="45636"/>
    <cellStyle name="Input 23 3 2 2 4 3" xfId="49542"/>
    <cellStyle name="Input 23 3 2 2 4 4" xfId="37586"/>
    <cellStyle name="Input 23 3 2 2 5" xfId="20803"/>
    <cellStyle name="Input 23 3 2 2 5 2" xfId="46325"/>
    <cellStyle name="Input 23 3 2 2 5 3" xfId="50231"/>
    <cellStyle name="Input 23 3 2 2 5 4" xfId="38195"/>
    <cellStyle name="Input 23 3 2 2 6" xfId="21456"/>
    <cellStyle name="Input 23 3 2 2 6 2" xfId="46978"/>
    <cellStyle name="Input 23 3 2 2 6 3" xfId="50884"/>
    <cellStyle name="Input 23 3 2 2 7" xfId="40781"/>
    <cellStyle name="Input 23 3 2 2 8" xfId="43497"/>
    <cellStyle name="Input 23 3 2 3" xfId="10898"/>
    <cellStyle name="Input 23 3 2 3 2" xfId="18685"/>
    <cellStyle name="Input 23 3 2 3 2 2" xfId="44217"/>
    <cellStyle name="Input 23 3 2 3 2 3" xfId="48126"/>
    <cellStyle name="Input 23 3 2 3 2 4" xfId="36308"/>
    <cellStyle name="Input 23 3 2 3 3" xfId="11518"/>
    <cellStyle name="Input 23 3 2 3 3 2" xfId="41509"/>
    <cellStyle name="Input 23 3 2 3 3 3" xfId="42554"/>
    <cellStyle name="Input 23 3 2 3 3 4" xfId="29219"/>
    <cellStyle name="Input 23 3 2 3 4" xfId="20237"/>
    <cellStyle name="Input 23 3 2 3 4 2" xfId="45759"/>
    <cellStyle name="Input 23 3 2 3 4 3" xfId="49665"/>
    <cellStyle name="Input 23 3 2 3 4 4" xfId="37694"/>
    <cellStyle name="Input 23 3 2 3 5" xfId="21098"/>
    <cellStyle name="Input 23 3 2 3 5 2" xfId="46620"/>
    <cellStyle name="Input 23 3 2 3 5 3" xfId="50526"/>
    <cellStyle name="Input 23 3 2 3 5 4" xfId="38490"/>
    <cellStyle name="Input 23 3 2 3 6" xfId="21751"/>
    <cellStyle name="Input 23 3 2 3 6 2" xfId="47273"/>
    <cellStyle name="Input 23 3 2 3 6 3" xfId="51179"/>
    <cellStyle name="Input 23 3 2 3 7" xfId="41076"/>
    <cellStyle name="Input 23 3 2 3 8" xfId="40061"/>
    <cellStyle name="Input 23 3 2 4" xfId="14858"/>
    <cellStyle name="Input 23 3 2 4 2" xfId="42956"/>
    <cellStyle name="Input 23 3 2 4 3" xfId="40395"/>
    <cellStyle name="Input 23 3 2 4 4" xfId="32479"/>
    <cellStyle name="Input 23 3 2 5" xfId="13119"/>
    <cellStyle name="Input 23 3 2 5 2" xfId="42321"/>
    <cellStyle name="Input 23 3 2 5 3" xfId="39623"/>
    <cellStyle name="Input 23 3 2 5 4" xfId="30754"/>
    <cellStyle name="Input 23 3 2 6" xfId="12034"/>
    <cellStyle name="Input 23 3 2 6 2" xfId="41770"/>
    <cellStyle name="Input 23 3 2 6 3" xfId="47475"/>
    <cellStyle name="Input 23 3 2 6 4" xfId="29699"/>
    <cellStyle name="Input 23 3 2 7" xfId="12819"/>
    <cellStyle name="Input 23 3 2 7 2" xfId="42203"/>
    <cellStyle name="Input 23 3 2 7 3" xfId="40305"/>
    <cellStyle name="Input 23 3 2 7 4" xfId="30460"/>
    <cellStyle name="Input 23 3 2 8" xfId="19976"/>
    <cellStyle name="Input 23 3 2 8 2" xfId="45498"/>
    <cellStyle name="Input 23 3 2 8 3" xfId="49404"/>
    <cellStyle name="Input 23 3 2 9" xfId="39816"/>
    <cellStyle name="Input 23 3 3" xfId="53053"/>
    <cellStyle name="Input 23 4" xfId="7073"/>
    <cellStyle name="Input 23 4 10" xfId="43397"/>
    <cellStyle name="Input 23 4 11" xfId="53054"/>
    <cellStyle name="Input 23 4 2" xfId="10600"/>
    <cellStyle name="Input 23 4 2 2" xfId="18387"/>
    <cellStyle name="Input 23 4 2 2 2" xfId="43919"/>
    <cellStyle name="Input 23 4 2 2 3" xfId="47828"/>
    <cellStyle name="Input 23 4 2 2 4" xfId="36010"/>
    <cellStyle name="Input 23 4 2 3" xfId="20020"/>
    <cellStyle name="Input 23 4 2 3 2" xfId="45542"/>
    <cellStyle name="Input 23 4 2 3 3" xfId="49448"/>
    <cellStyle name="Input 23 4 2 3 4" xfId="37504"/>
    <cellStyle name="Input 23 4 2 4" xfId="18870"/>
    <cellStyle name="Input 23 4 2 4 2" xfId="44392"/>
    <cellStyle name="Input 23 4 2 4 3" xfId="48298"/>
    <cellStyle name="Input 23 4 2 4 4" xfId="36493"/>
    <cellStyle name="Input 23 4 2 5" xfId="20800"/>
    <cellStyle name="Input 23 4 2 5 2" xfId="46322"/>
    <cellStyle name="Input 23 4 2 5 3" xfId="50228"/>
    <cellStyle name="Input 23 4 2 5 4" xfId="38192"/>
    <cellStyle name="Input 23 4 2 6" xfId="21453"/>
    <cellStyle name="Input 23 4 2 6 2" xfId="46975"/>
    <cellStyle name="Input 23 4 2 6 3" xfId="50881"/>
    <cellStyle name="Input 23 4 2 7" xfId="40778"/>
    <cellStyle name="Input 23 4 2 8" xfId="40466"/>
    <cellStyle name="Input 23 4 3" xfId="10895"/>
    <cellStyle name="Input 23 4 3 2" xfId="18682"/>
    <cellStyle name="Input 23 4 3 2 2" xfId="44214"/>
    <cellStyle name="Input 23 4 3 2 3" xfId="48123"/>
    <cellStyle name="Input 23 4 3 2 4" xfId="36305"/>
    <cellStyle name="Input 23 4 3 3" xfId="20377"/>
    <cellStyle name="Input 23 4 3 3 2" xfId="45899"/>
    <cellStyle name="Input 23 4 3 3 3" xfId="49805"/>
    <cellStyle name="Input 23 4 3 3 4" xfId="37817"/>
    <cellStyle name="Input 23 4 3 4" xfId="20521"/>
    <cellStyle name="Input 23 4 3 4 2" xfId="46043"/>
    <cellStyle name="Input 23 4 3 4 3" xfId="49949"/>
    <cellStyle name="Input 23 4 3 4 4" xfId="37935"/>
    <cellStyle name="Input 23 4 3 5" xfId="21095"/>
    <cellStyle name="Input 23 4 3 5 2" xfId="46617"/>
    <cellStyle name="Input 23 4 3 5 3" xfId="50523"/>
    <cellStyle name="Input 23 4 3 5 4" xfId="38487"/>
    <cellStyle name="Input 23 4 3 6" xfId="21748"/>
    <cellStyle name="Input 23 4 3 6 2" xfId="47270"/>
    <cellStyle name="Input 23 4 3 6 3" xfId="51176"/>
    <cellStyle name="Input 23 4 3 7" xfId="41073"/>
    <cellStyle name="Input 23 4 3 8" xfId="39158"/>
    <cellStyle name="Input 23 4 4" xfId="14855"/>
    <cellStyle name="Input 23 4 4 2" xfId="42953"/>
    <cellStyle name="Input 23 4 4 3" xfId="39610"/>
    <cellStyle name="Input 23 4 4 4" xfId="32476"/>
    <cellStyle name="Input 23 4 5" xfId="13116"/>
    <cellStyle name="Input 23 4 5 2" xfId="42318"/>
    <cellStyle name="Input 23 4 5 3" xfId="42767"/>
    <cellStyle name="Input 23 4 5 4" xfId="30751"/>
    <cellStyle name="Input 23 4 6" xfId="12603"/>
    <cellStyle name="Input 23 4 6 2" xfId="42063"/>
    <cellStyle name="Input 23 4 6 3" xfId="42671"/>
    <cellStyle name="Input 23 4 6 4" xfId="30255"/>
    <cellStyle name="Input 23 4 7" xfId="20484"/>
    <cellStyle name="Input 23 4 7 2" xfId="46006"/>
    <cellStyle name="Input 23 4 7 3" xfId="49912"/>
    <cellStyle name="Input 23 4 7 4" xfId="37914"/>
    <cellStyle name="Input 23 4 8" xfId="11659"/>
    <cellStyle name="Input 23 4 8 2" xfId="41650"/>
    <cellStyle name="Input 23 4 8 3" xfId="40040"/>
    <cellStyle name="Input 23 4 9" xfId="39813"/>
    <cellStyle name="Input 23 5" xfId="22441"/>
    <cellStyle name="Input 23 6" xfId="53049"/>
    <cellStyle name="Input 23_Sheet1" xfId="1897"/>
    <cellStyle name="Input 24" xfId="1898"/>
    <cellStyle name="Input 24 2" xfId="1899"/>
    <cellStyle name="Input 24 2 2" xfId="1900"/>
    <cellStyle name="Input 24 2 2 2" xfId="7079"/>
    <cellStyle name="Input 24 2 2 2 10" xfId="43248"/>
    <cellStyle name="Input 24 2 2 2 2" xfId="10606"/>
    <cellStyle name="Input 24 2 2 2 2 2" xfId="18393"/>
    <cellStyle name="Input 24 2 2 2 2 2 2" xfId="43925"/>
    <cellStyle name="Input 24 2 2 2 2 2 3" xfId="47834"/>
    <cellStyle name="Input 24 2 2 2 2 2 4" xfId="36016"/>
    <cellStyle name="Input 24 2 2 2 2 3" xfId="12154"/>
    <cellStyle name="Input 24 2 2 2 2 3 2" xfId="41879"/>
    <cellStyle name="Input 24 2 2 2 2 3 3" xfId="43564"/>
    <cellStyle name="Input 24 2 2 2 2 3 4" xfId="29812"/>
    <cellStyle name="Input 24 2 2 2 2 4" xfId="20288"/>
    <cellStyle name="Input 24 2 2 2 2 4 2" xfId="45810"/>
    <cellStyle name="Input 24 2 2 2 2 4 3" xfId="49716"/>
    <cellStyle name="Input 24 2 2 2 2 4 4" xfId="37740"/>
    <cellStyle name="Input 24 2 2 2 2 5" xfId="20806"/>
    <cellStyle name="Input 24 2 2 2 2 5 2" xfId="46328"/>
    <cellStyle name="Input 24 2 2 2 2 5 3" xfId="50234"/>
    <cellStyle name="Input 24 2 2 2 2 5 4" xfId="38198"/>
    <cellStyle name="Input 24 2 2 2 2 6" xfId="21459"/>
    <cellStyle name="Input 24 2 2 2 2 6 2" xfId="46981"/>
    <cellStyle name="Input 24 2 2 2 2 6 3" xfId="50887"/>
    <cellStyle name="Input 24 2 2 2 2 7" xfId="40784"/>
    <cellStyle name="Input 24 2 2 2 2 8" xfId="42046"/>
    <cellStyle name="Input 24 2 2 2 3" xfId="10901"/>
    <cellStyle name="Input 24 2 2 2 3 2" xfId="18688"/>
    <cellStyle name="Input 24 2 2 2 3 2 2" xfId="44220"/>
    <cellStyle name="Input 24 2 2 2 3 2 3" xfId="48129"/>
    <cellStyle name="Input 24 2 2 2 3 2 4" xfId="36311"/>
    <cellStyle name="Input 24 2 2 2 3 3" xfId="11519"/>
    <cellStyle name="Input 24 2 2 2 3 3 2" xfId="41510"/>
    <cellStyle name="Input 24 2 2 2 3 3 3" xfId="43468"/>
    <cellStyle name="Input 24 2 2 2 3 3 4" xfId="29220"/>
    <cellStyle name="Input 24 2 2 2 3 4" xfId="19342"/>
    <cellStyle name="Input 24 2 2 2 3 4 2" xfId="44864"/>
    <cellStyle name="Input 24 2 2 2 3 4 3" xfId="48770"/>
    <cellStyle name="Input 24 2 2 2 3 4 4" xfId="36897"/>
    <cellStyle name="Input 24 2 2 2 3 5" xfId="21101"/>
    <cellStyle name="Input 24 2 2 2 3 5 2" xfId="46623"/>
    <cellStyle name="Input 24 2 2 2 3 5 3" xfId="50529"/>
    <cellStyle name="Input 24 2 2 2 3 5 4" xfId="38493"/>
    <cellStyle name="Input 24 2 2 2 3 6" xfId="21754"/>
    <cellStyle name="Input 24 2 2 2 3 6 2" xfId="47276"/>
    <cellStyle name="Input 24 2 2 2 3 6 3" xfId="51182"/>
    <cellStyle name="Input 24 2 2 2 3 7" xfId="41079"/>
    <cellStyle name="Input 24 2 2 2 3 8" xfId="40557"/>
    <cellStyle name="Input 24 2 2 2 4" xfId="14861"/>
    <cellStyle name="Input 24 2 2 2 4 2" xfId="42959"/>
    <cellStyle name="Input 24 2 2 2 4 3" xfId="43425"/>
    <cellStyle name="Input 24 2 2 2 4 4" xfId="32482"/>
    <cellStyle name="Input 24 2 2 2 5" xfId="13122"/>
    <cellStyle name="Input 24 2 2 2 5 2" xfId="42324"/>
    <cellStyle name="Input 24 2 2 2 5 3" xfId="40409"/>
    <cellStyle name="Input 24 2 2 2 5 4" xfId="30757"/>
    <cellStyle name="Input 24 2 2 2 6" xfId="12725"/>
    <cellStyle name="Input 24 2 2 2 6 2" xfId="42160"/>
    <cellStyle name="Input 24 2 2 2 6 3" xfId="43446"/>
    <cellStyle name="Input 24 2 2 2 6 4" xfId="30369"/>
    <cellStyle name="Input 24 2 2 2 7" xfId="19762"/>
    <cellStyle name="Input 24 2 2 2 7 2" xfId="45284"/>
    <cellStyle name="Input 24 2 2 2 7 3" xfId="49190"/>
    <cellStyle name="Input 24 2 2 2 7 4" xfId="37275"/>
    <cellStyle name="Input 24 2 2 2 8" xfId="11598"/>
    <cellStyle name="Input 24 2 2 2 8 2" xfId="41589"/>
    <cellStyle name="Input 24 2 2 2 8 3" xfId="41995"/>
    <cellStyle name="Input 24 2 2 2 9" xfId="39819"/>
    <cellStyle name="Input 24 2 2 3" xfId="53057"/>
    <cellStyle name="Input 24 2 3" xfId="7078"/>
    <cellStyle name="Input 24 2 3 10" xfId="41698"/>
    <cellStyle name="Input 24 2 3 11" xfId="53058"/>
    <cellStyle name="Input 24 2 3 2" xfId="10605"/>
    <cellStyle name="Input 24 2 3 2 2" xfId="18392"/>
    <cellStyle name="Input 24 2 3 2 2 2" xfId="43924"/>
    <cellStyle name="Input 24 2 3 2 2 3" xfId="47833"/>
    <cellStyle name="Input 24 2 3 2 2 4" xfId="36015"/>
    <cellStyle name="Input 24 2 3 2 3" xfId="12618"/>
    <cellStyle name="Input 24 2 3 2 3 2" xfId="42078"/>
    <cellStyle name="Input 24 2 3 2 3 3" xfId="40033"/>
    <cellStyle name="Input 24 2 3 2 3 4" xfId="30269"/>
    <cellStyle name="Input 24 2 3 2 4" xfId="20239"/>
    <cellStyle name="Input 24 2 3 2 4 2" xfId="45761"/>
    <cellStyle name="Input 24 2 3 2 4 3" xfId="49667"/>
    <cellStyle name="Input 24 2 3 2 4 4" xfId="37696"/>
    <cellStyle name="Input 24 2 3 2 5" xfId="20805"/>
    <cellStyle name="Input 24 2 3 2 5 2" xfId="46327"/>
    <cellStyle name="Input 24 2 3 2 5 3" xfId="50233"/>
    <cellStyle name="Input 24 2 3 2 5 4" xfId="38197"/>
    <cellStyle name="Input 24 2 3 2 6" xfId="21458"/>
    <cellStyle name="Input 24 2 3 2 6 2" xfId="46980"/>
    <cellStyle name="Input 24 2 3 2 6 3" xfId="50886"/>
    <cellStyle name="Input 24 2 3 2 7" xfId="40783"/>
    <cellStyle name="Input 24 2 3 2 8" xfId="39472"/>
    <cellStyle name="Input 24 2 3 3" xfId="10900"/>
    <cellStyle name="Input 24 2 3 3 2" xfId="18687"/>
    <cellStyle name="Input 24 2 3 3 2 2" xfId="44219"/>
    <cellStyle name="Input 24 2 3 3 2 3" xfId="48128"/>
    <cellStyle name="Input 24 2 3 3 2 4" xfId="36310"/>
    <cellStyle name="Input 24 2 3 3 3" xfId="19705"/>
    <cellStyle name="Input 24 2 3 3 3 2" xfId="45227"/>
    <cellStyle name="Input 24 2 3 3 3 3" xfId="49133"/>
    <cellStyle name="Input 24 2 3 3 3 4" xfId="37218"/>
    <cellStyle name="Input 24 2 3 3 4" xfId="12816"/>
    <cellStyle name="Input 24 2 3 3 4 2" xfId="42200"/>
    <cellStyle name="Input 24 2 3 3 4 3" xfId="39523"/>
    <cellStyle name="Input 24 2 3 3 4 4" xfId="30457"/>
    <cellStyle name="Input 24 2 3 3 5" xfId="21100"/>
    <cellStyle name="Input 24 2 3 3 5 2" xfId="46622"/>
    <cellStyle name="Input 24 2 3 3 5 3" xfId="50528"/>
    <cellStyle name="Input 24 2 3 3 5 4" xfId="38492"/>
    <cellStyle name="Input 24 2 3 3 6" xfId="21753"/>
    <cellStyle name="Input 24 2 3 3 6 2" xfId="47275"/>
    <cellStyle name="Input 24 2 3 3 6 3" xfId="51181"/>
    <cellStyle name="Input 24 2 3 3 7" xfId="41078"/>
    <cellStyle name="Input 24 2 3 3 8" xfId="43698"/>
    <cellStyle name="Input 24 2 3 4" xfId="14860"/>
    <cellStyle name="Input 24 2 3 4 2" xfId="42958"/>
    <cellStyle name="Input 24 2 3 4 3" xfId="42514"/>
    <cellStyle name="Input 24 2 3 4 4" xfId="32481"/>
    <cellStyle name="Input 24 2 3 5" xfId="13121"/>
    <cellStyle name="Input 24 2 3 5 2" xfId="42323"/>
    <cellStyle name="Input 24 2 3 5 3" xfId="43548"/>
    <cellStyle name="Input 24 2 3 5 4" xfId="30756"/>
    <cellStyle name="Input 24 2 3 6" xfId="20061"/>
    <cellStyle name="Input 24 2 3 6 2" xfId="45583"/>
    <cellStyle name="Input 24 2 3 6 3" xfId="49489"/>
    <cellStyle name="Input 24 2 3 6 4" xfId="37541"/>
    <cellStyle name="Input 24 2 3 7" xfId="19217"/>
    <cellStyle name="Input 24 2 3 7 2" xfId="44739"/>
    <cellStyle name="Input 24 2 3 7 3" xfId="48645"/>
    <cellStyle name="Input 24 2 3 7 4" xfId="36786"/>
    <cellStyle name="Input 24 2 3 8" xfId="12178"/>
    <cellStyle name="Input 24 2 3 8 2" xfId="41902"/>
    <cellStyle name="Input 24 2 3 8 3" xfId="39088"/>
    <cellStyle name="Input 24 2 3 9" xfId="39818"/>
    <cellStyle name="Input 24 2 4" xfId="22444"/>
    <cellStyle name="Input 24 2 5" xfId="53056"/>
    <cellStyle name="Input 24 2_Sheet1" xfId="1901"/>
    <cellStyle name="Input 24 3" xfId="1902"/>
    <cellStyle name="Input 24 3 2" xfId="7080"/>
    <cellStyle name="Input 24 3 2 10" xfId="40107"/>
    <cellStyle name="Input 24 3 2 2" xfId="10607"/>
    <cellStyle name="Input 24 3 2 2 2" xfId="18394"/>
    <cellStyle name="Input 24 3 2 2 2 2" xfId="43926"/>
    <cellStyle name="Input 24 3 2 2 2 3" xfId="47835"/>
    <cellStyle name="Input 24 3 2 2 2 4" xfId="36017"/>
    <cellStyle name="Input 24 3 2 2 3" xfId="19598"/>
    <cellStyle name="Input 24 3 2 2 3 2" xfId="45120"/>
    <cellStyle name="Input 24 3 2 2 3 3" xfId="49026"/>
    <cellStyle name="Input 24 3 2 2 3 4" xfId="37124"/>
    <cellStyle name="Input 24 3 2 2 4" xfId="11624"/>
    <cellStyle name="Input 24 3 2 2 4 2" xfId="41615"/>
    <cellStyle name="Input 24 3 2 2 4 3" xfId="47483"/>
    <cellStyle name="Input 24 3 2 2 4 4" xfId="29311"/>
    <cellStyle name="Input 24 3 2 2 5" xfId="20807"/>
    <cellStyle name="Input 24 3 2 2 5 2" xfId="46329"/>
    <cellStyle name="Input 24 3 2 2 5 3" xfId="50235"/>
    <cellStyle name="Input 24 3 2 2 5 4" xfId="38199"/>
    <cellStyle name="Input 24 3 2 2 6" xfId="21460"/>
    <cellStyle name="Input 24 3 2 2 6 2" xfId="46982"/>
    <cellStyle name="Input 24 3 2 2 6 3" xfId="50888"/>
    <cellStyle name="Input 24 3 2 2 7" xfId="40785"/>
    <cellStyle name="Input 24 3 2 2 8" xfId="43365"/>
    <cellStyle name="Input 24 3 2 3" xfId="10902"/>
    <cellStyle name="Input 24 3 2 3 2" xfId="18689"/>
    <cellStyle name="Input 24 3 2 3 2 2" xfId="44221"/>
    <cellStyle name="Input 24 3 2 3 2 3" xfId="48130"/>
    <cellStyle name="Input 24 3 2 3 2 4" xfId="36312"/>
    <cellStyle name="Input 24 3 2 3 3" xfId="19704"/>
    <cellStyle name="Input 24 3 2 3 3 2" xfId="45226"/>
    <cellStyle name="Input 24 3 2 3 3 3" xfId="49132"/>
    <cellStyle name="Input 24 3 2 3 3 4" xfId="37217"/>
    <cellStyle name="Input 24 3 2 3 4" xfId="19150"/>
    <cellStyle name="Input 24 3 2 3 4 2" xfId="44672"/>
    <cellStyle name="Input 24 3 2 3 4 3" xfId="48578"/>
    <cellStyle name="Input 24 3 2 3 4 4" xfId="36728"/>
    <cellStyle name="Input 24 3 2 3 5" xfId="21102"/>
    <cellStyle name="Input 24 3 2 3 5 2" xfId="46624"/>
    <cellStyle name="Input 24 3 2 3 5 3" xfId="50530"/>
    <cellStyle name="Input 24 3 2 3 5 4" xfId="38494"/>
    <cellStyle name="Input 24 3 2 3 6" xfId="21755"/>
    <cellStyle name="Input 24 3 2 3 6 2" xfId="47277"/>
    <cellStyle name="Input 24 3 2 3 6 3" xfId="51183"/>
    <cellStyle name="Input 24 3 2 3 7" xfId="41080"/>
    <cellStyle name="Input 24 3 2 3 8" xfId="39668"/>
    <cellStyle name="Input 24 3 2 4" xfId="14862"/>
    <cellStyle name="Input 24 3 2 4 2" xfId="42960"/>
    <cellStyle name="Input 24 3 2 4 3" xfId="40287"/>
    <cellStyle name="Input 24 3 2 4 4" xfId="32483"/>
    <cellStyle name="Input 24 3 2 5" xfId="11291"/>
    <cellStyle name="Input 24 3 2 5 2" xfId="41318"/>
    <cellStyle name="Input 24 3 2 5 3" xfId="39334"/>
    <cellStyle name="Input 24 3 2 5 4" xfId="29005"/>
    <cellStyle name="Input 24 3 2 6" xfId="19686"/>
    <cellStyle name="Input 24 3 2 6 2" xfId="45208"/>
    <cellStyle name="Input 24 3 2 6 3" xfId="49114"/>
    <cellStyle name="Input 24 3 2 6 4" xfId="37201"/>
    <cellStyle name="Input 24 3 2 7" xfId="19045"/>
    <cellStyle name="Input 24 3 2 7 2" xfId="44567"/>
    <cellStyle name="Input 24 3 2 7 3" xfId="48473"/>
    <cellStyle name="Input 24 3 2 7 4" xfId="36630"/>
    <cellStyle name="Input 24 3 2 8" xfId="20602"/>
    <cellStyle name="Input 24 3 2 8 2" xfId="46124"/>
    <cellStyle name="Input 24 3 2 8 3" xfId="50030"/>
    <cellStyle name="Input 24 3 2 9" xfId="39820"/>
    <cellStyle name="Input 24 3 3" xfId="53059"/>
    <cellStyle name="Input 24 4" xfId="7077"/>
    <cellStyle name="Input 24 4 10" xfId="47574"/>
    <cellStyle name="Input 24 4 11" xfId="53060"/>
    <cellStyle name="Input 24 4 2" xfId="10604"/>
    <cellStyle name="Input 24 4 2 2" xfId="18391"/>
    <cellStyle name="Input 24 4 2 2 2" xfId="43923"/>
    <cellStyle name="Input 24 4 2 2 3" xfId="47832"/>
    <cellStyle name="Input 24 4 2 2 4" xfId="36014"/>
    <cellStyle name="Input 24 4 2 3" xfId="19737"/>
    <cellStyle name="Input 24 4 2 3 2" xfId="45259"/>
    <cellStyle name="Input 24 4 2 3 3" xfId="49165"/>
    <cellStyle name="Input 24 4 2 3 4" xfId="37250"/>
    <cellStyle name="Input 24 4 2 4" xfId="11544"/>
    <cellStyle name="Input 24 4 2 4 2" xfId="41535"/>
    <cellStyle name="Input 24 4 2 4 3" xfId="40182"/>
    <cellStyle name="Input 24 4 2 4 4" xfId="29242"/>
    <cellStyle name="Input 24 4 2 5" xfId="20804"/>
    <cellStyle name="Input 24 4 2 5 2" xfId="46326"/>
    <cellStyle name="Input 24 4 2 5 3" xfId="50232"/>
    <cellStyle name="Input 24 4 2 5 4" xfId="38196"/>
    <cellStyle name="Input 24 4 2 6" xfId="21457"/>
    <cellStyle name="Input 24 4 2 6 2" xfId="46979"/>
    <cellStyle name="Input 24 4 2 6 3" xfId="50885"/>
    <cellStyle name="Input 24 4 2 7" xfId="40782"/>
    <cellStyle name="Input 24 4 2 8" xfId="40360"/>
    <cellStyle name="Input 24 4 3" xfId="10899"/>
    <cellStyle name="Input 24 4 3 2" xfId="18686"/>
    <cellStyle name="Input 24 4 3 2 2" xfId="44218"/>
    <cellStyle name="Input 24 4 3 2 3" xfId="48127"/>
    <cellStyle name="Input 24 4 3 2 4" xfId="36309"/>
    <cellStyle name="Input 24 4 3 3" xfId="13916"/>
    <cellStyle name="Input 24 4 3 3 2" xfId="42632"/>
    <cellStyle name="Input 24 4 3 3 3" xfId="40400"/>
    <cellStyle name="Input 24 4 3 3 4" xfId="31538"/>
    <cellStyle name="Input 24 4 3 4" xfId="11751"/>
    <cellStyle name="Input 24 4 3 4 2" xfId="41707"/>
    <cellStyle name="Input 24 4 3 4 3" xfId="39314"/>
    <cellStyle name="Input 24 4 3 4 4" xfId="29424"/>
    <cellStyle name="Input 24 4 3 5" xfId="21099"/>
    <cellStyle name="Input 24 4 3 5 2" xfId="46621"/>
    <cellStyle name="Input 24 4 3 5 3" xfId="50527"/>
    <cellStyle name="Input 24 4 3 5 4" xfId="38491"/>
    <cellStyle name="Input 24 4 3 6" xfId="21752"/>
    <cellStyle name="Input 24 4 3 6 2" xfId="47274"/>
    <cellStyle name="Input 24 4 3 6 3" xfId="51180"/>
    <cellStyle name="Input 24 4 3 7" xfId="41077"/>
    <cellStyle name="Input 24 4 3 8" xfId="42809"/>
    <cellStyle name="Input 24 4 4" xfId="14859"/>
    <cellStyle name="Input 24 4 4 2" xfId="42957"/>
    <cellStyle name="Input 24 4 4 3" xfId="39504"/>
    <cellStyle name="Input 24 4 4 4" xfId="32480"/>
    <cellStyle name="Input 24 4 5" xfId="13120"/>
    <cellStyle name="Input 24 4 5 2" xfId="42322"/>
    <cellStyle name="Input 24 4 5 3" xfId="42660"/>
    <cellStyle name="Input 24 4 5 4" xfId="30755"/>
    <cellStyle name="Input 24 4 6" xfId="20171"/>
    <cellStyle name="Input 24 4 6 2" xfId="45693"/>
    <cellStyle name="Input 24 4 6 3" xfId="49599"/>
    <cellStyle name="Input 24 4 6 4" xfId="37642"/>
    <cellStyle name="Input 24 4 7" xfId="20068"/>
    <cellStyle name="Input 24 4 7 2" xfId="45590"/>
    <cellStyle name="Input 24 4 7 3" xfId="49496"/>
    <cellStyle name="Input 24 4 7 4" xfId="37547"/>
    <cellStyle name="Input 24 4 8" xfId="20474"/>
    <cellStyle name="Input 24 4 8 2" xfId="45996"/>
    <cellStyle name="Input 24 4 8 3" xfId="49902"/>
    <cellStyle name="Input 24 4 9" xfId="39817"/>
    <cellStyle name="Input 24 5" xfId="22443"/>
    <cellStyle name="Input 24 6" xfId="53055"/>
    <cellStyle name="Input 24_Sheet1" xfId="1903"/>
    <cellStyle name="Input 25" xfId="1904"/>
    <cellStyle name="Input 25 2" xfId="1905"/>
    <cellStyle name="Input 25 2 2" xfId="1906"/>
    <cellStyle name="Input 25 2 2 2" xfId="7083"/>
    <cellStyle name="Input 25 2 2 2 10" xfId="40602"/>
    <cellStyle name="Input 25 2 2 2 2" xfId="10610"/>
    <cellStyle name="Input 25 2 2 2 2 2" xfId="18397"/>
    <cellStyle name="Input 25 2 2 2 2 2 2" xfId="43929"/>
    <cellStyle name="Input 25 2 2 2 2 2 3" xfId="47838"/>
    <cellStyle name="Input 25 2 2 2 2 2 4" xfId="36020"/>
    <cellStyle name="Input 25 2 2 2 2 3" xfId="20019"/>
    <cellStyle name="Input 25 2 2 2 2 3 2" xfId="45541"/>
    <cellStyle name="Input 25 2 2 2 2 3 3" xfId="49447"/>
    <cellStyle name="Input 25 2 2 2 2 3 4" xfId="37503"/>
    <cellStyle name="Input 25 2 2 2 2 4" xfId="19775"/>
    <cellStyle name="Input 25 2 2 2 2 4 2" xfId="45297"/>
    <cellStyle name="Input 25 2 2 2 2 4 3" xfId="49203"/>
    <cellStyle name="Input 25 2 2 2 2 4 4" xfId="37285"/>
    <cellStyle name="Input 25 2 2 2 2 5" xfId="20810"/>
    <cellStyle name="Input 25 2 2 2 2 5 2" xfId="46332"/>
    <cellStyle name="Input 25 2 2 2 2 5 3" xfId="50238"/>
    <cellStyle name="Input 25 2 2 2 2 5 4" xfId="38202"/>
    <cellStyle name="Input 25 2 2 2 2 6" xfId="21463"/>
    <cellStyle name="Input 25 2 2 2 2 6 2" xfId="46985"/>
    <cellStyle name="Input 25 2 2 2 2 6 3" xfId="50891"/>
    <cellStyle name="Input 25 2 2 2 2 7" xfId="40788"/>
    <cellStyle name="Input 25 2 2 2 2 8" xfId="39170"/>
    <cellStyle name="Input 25 2 2 2 3" xfId="10905"/>
    <cellStyle name="Input 25 2 2 2 3 2" xfId="18692"/>
    <cellStyle name="Input 25 2 2 2 3 2 2" xfId="44224"/>
    <cellStyle name="Input 25 2 2 2 3 2 3" xfId="48133"/>
    <cellStyle name="Input 25 2 2 2 3 2 4" xfId="36315"/>
    <cellStyle name="Input 25 2 2 2 3 3" xfId="20129"/>
    <cellStyle name="Input 25 2 2 2 3 3 2" xfId="45651"/>
    <cellStyle name="Input 25 2 2 2 3 3 3" xfId="49557"/>
    <cellStyle name="Input 25 2 2 2 3 3 4" xfId="37601"/>
    <cellStyle name="Input 25 2 2 2 3 4" xfId="12685"/>
    <cellStyle name="Input 25 2 2 2 3 4 2" xfId="42145"/>
    <cellStyle name="Input 25 2 2 2 3 4 3" xfId="39528"/>
    <cellStyle name="Input 25 2 2 2 3 4 4" xfId="30332"/>
    <cellStyle name="Input 25 2 2 2 3 5" xfId="21105"/>
    <cellStyle name="Input 25 2 2 2 3 5 2" xfId="46627"/>
    <cellStyle name="Input 25 2 2 2 3 5 3" xfId="50533"/>
    <cellStyle name="Input 25 2 2 2 3 5 4" xfId="38497"/>
    <cellStyle name="Input 25 2 2 2 3 6" xfId="21758"/>
    <cellStyle name="Input 25 2 2 2 3 6 2" xfId="47280"/>
    <cellStyle name="Input 25 2 2 2 3 6 3" xfId="51186"/>
    <cellStyle name="Input 25 2 2 2 3 7" xfId="41083"/>
    <cellStyle name="Input 25 2 2 2 3 8" xfId="40452"/>
    <cellStyle name="Input 25 2 2 2 4" xfId="14865"/>
    <cellStyle name="Input 25 2 2 2 4 2" xfId="42963"/>
    <cellStyle name="Input 25 2 2 2 4 3" xfId="41262"/>
    <cellStyle name="Input 25 2 2 2 4 4" xfId="32486"/>
    <cellStyle name="Input 25 2 2 2 5" xfId="19565"/>
    <cellStyle name="Input 25 2 2 2 5 2" xfId="45087"/>
    <cellStyle name="Input 25 2 2 2 5 3" xfId="48993"/>
    <cellStyle name="Input 25 2 2 2 5 4" xfId="37091"/>
    <cellStyle name="Input 25 2 2 2 6" xfId="12646"/>
    <cellStyle name="Input 25 2 2 2 6 2" xfId="42106"/>
    <cellStyle name="Input 25 2 2 2 6 3" xfId="39529"/>
    <cellStyle name="Input 25 2 2 2 6 4" xfId="30297"/>
    <cellStyle name="Input 25 2 2 2 7" xfId="20507"/>
    <cellStyle name="Input 25 2 2 2 7 2" xfId="46029"/>
    <cellStyle name="Input 25 2 2 2 7 3" xfId="49935"/>
    <cellStyle name="Input 25 2 2 2 7 4" xfId="37926"/>
    <cellStyle name="Input 25 2 2 2 8" xfId="19320"/>
    <cellStyle name="Input 25 2 2 2 8 2" xfId="44842"/>
    <cellStyle name="Input 25 2 2 2 8 3" xfId="48748"/>
    <cellStyle name="Input 25 2 2 2 9" xfId="39823"/>
    <cellStyle name="Input 25 2 2 3" xfId="53063"/>
    <cellStyle name="Input 25 2 3" xfId="7082"/>
    <cellStyle name="Input 25 2 3 10" xfId="43743"/>
    <cellStyle name="Input 25 2 3 11" xfId="53064"/>
    <cellStyle name="Input 25 2 3 2" xfId="10609"/>
    <cellStyle name="Input 25 2 3 2 2" xfId="18396"/>
    <cellStyle name="Input 25 2 3 2 2 2" xfId="43928"/>
    <cellStyle name="Input 25 2 3 2 2 3" xfId="47837"/>
    <cellStyle name="Input 25 2 3 2 2 4" xfId="36019"/>
    <cellStyle name="Input 25 2 3 2 3" xfId="19412"/>
    <cellStyle name="Input 25 2 3 2 3 2" xfId="44934"/>
    <cellStyle name="Input 25 2 3 2 3 3" xfId="48840"/>
    <cellStyle name="Input 25 2 3 2 3 4" xfId="36963"/>
    <cellStyle name="Input 25 2 3 2 4" xfId="11556"/>
    <cellStyle name="Input 25 2 3 2 4 2" xfId="41547"/>
    <cellStyle name="Input 25 2 3 2 4 3" xfId="39546"/>
    <cellStyle name="Input 25 2 3 2 4 4" xfId="29253"/>
    <cellStyle name="Input 25 2 3 2 5" xfId="20809"/>
    <cellStyle name="Input 25 2 3 2 5 2" xfId="46331"/>
    <cellStyle name="Input 25 2 3 2 5 3" xfId="50237"/>
    <cellStyle name="Input 25 2 3 2 5 4" xfId="38201"/>
    <cellStyle name="Input 25 2 3 2 6" xfId="21462"/>
    <cellStyle name="Input 25 2 3 2 6 2" xfId="46984"/>
    <cellStyle name="Input 25 2 3 2 6 3" xfId="50890"/>
    <cellStyle name="Input 25 2 3 2 7" xfId="40787"/>
    <cellStyle name="Input 25 2 3 2 8" xfId="39367"/>
    <cellStyle name="Input 25 2 3 3" xfId="10904"/>
    <cellStyle name="Input 25 2 3 3 2" xfId="18691"/>
    <cellStyle name="Input 25 2 3 3 2 2" xfId="44223"/>
    <cellStyle name="Input 25 2 3 3 2 3" xfId="48132"/>
    <cellStyle name="Input 25 2 3 3 2 4" xfId="36314"/>
    <cellStyle name="Input 25 2 3 3 3" xfId="19577"/>
    <cellStyle name="Input 25 2 3 3 3 2" xfId="45099"/>
    <cellStyle name="Input 25 2 3 3 3 3" xfId="49005"/>
    <cellStyle name="Input 25 2 3 3 3 4" xfId="37103"/>
    <cellStyle name="Input 25 2 3 3 4" xfId="11626"/>
    <cellStyle name="Input 25 2 3 3 4 2" xfId="41617"/>
    <cellStyle name="Input 25 2 3 3 4 3" xfId="43183"/>
    <cellStyle name="Input 25 2 3 3 4 4" xfId="29313"/>
    <cellStyle name="Input 25 2 3 3 5" xfId="21104"/>
    <cellStyle name="Input 25 2 3 3 5 2" xfId="46626"/>
    <cellStyle name="Input 25 2 3 3 5 3" xfId="50532"/>
    <cellStyle name="Input 25 2 3 3 5 4" xfId="38496"/>
    <cellStyle name="Input 25 2 3 3 6" xfId="21757"/>
    <cellStyle name="Input 25 2 3 3 6 2" xfId="47279"/>
    <cellStyle name="Input 25 2 3 3 6 3" xfId="51185"/>
    <cellStyle name="Input 25 2 3 3 7" xfId="41082"/>
    <cellStyle name="Input 25 2 3 3 8" xfId="43594"/>
    <cellStyle name="Input 25 2 3 4" xfId="14864"/>
    <cellStyle name="Input 25 2 3 4 2" xfId="42962"/>
    <cellStyle name="Input 25 2 3 4 3" xfId="39246"/>
    <cellStyle name="Input 25 2 3 4 4" xfId="32485"/>
    <cellStyle name="Input 25 2 3 5" xfId="13124"/>
    <cellStyle name="Input 25 2 3 5 2" xfId="42326"/>
    <cellStyle name="Input 25 2 3 5 3" xfId="42526"/>
    <cellStyle name="Input 25 2 3 5 4" xfId="30759"/>
    <cellStyle name="Input 25 2 3 6" xfId="13291"/>
    <cellStyle name="Input 25 2 3 6 2" xfId="42442"/>
    <cellStyle name="Input 25 2 3 6 3" xfId="42763"/>
    <cellStyle name="Input 25 2 3 6 4" xfId="30921"/>
    <cellStyle name="Input 25 2 3 7" xfId="19489"/>
    <cellStyle name="Input 25 2 3 7 2" xfId="45011"/>
    <cellStyle name="Input 25 2 3 7 3" xfId="48917"/>
    <cellStyle name="Input 25 2 3 7 4" xfId="37025"/>
    <cellStyle name="Input 25 2 3 8" xfId="19936"/>
    <cellStyle name="Input 25 2 3 8 2" xfId="45458"/>
    <cellStyle name="Input 25 2 3 8 3" xfId="49364"/>
    <cellStyle name="Input 25 2 3 9" xfId="39822"/>
    <cellStyle name="Input 25 2 4" xfId="22446"/>
    <cellStyle name="Input 25 2 5" xfId="53062"/>
    <cellStyle name="Input 25 2_Sheet1" xfId="1907"/>
    <cellStyle name="Input 25 3" xfId="1908"/>
    <cellStyle name="Input 25 3 2" xfId="7084"/>
    <cellStyle name="Input 25 3 2 10" xfId="39936"/>
    <cellStyle name="Input 25 3 2 2" xfId="10611"/>
    <cellStyle name="Input 25 3 2 2 2" xfId="18398"/>
    <cellStyle name="Input 25 3 2 2 2 2" xfId="43930"/>
    <cellStyle name="Input 25 3 2 2 2 3" xfId="47839"/>
    <cellStyle name="Input 25 3 2 2 2 4" xfId="36021"/>
    <cellStyle name="Input 25 3 2 2 3" xfId="19285"/>
    <cellStyle name="Input 25 3 2 2 3 2" xfId="44807"/>
    <cellStyle name="Input 25 3 2 2 3 3" xfId="48713"/>
    <cellStyle name="Input 25 3 2 2 3 4" xfId="36849"/>
    <cellStyle name="Input 25 3 2 2 4" xfId="11646"/>
    <cellStyle name="Input 25 3 2 2 4 2" xfId="41637"/>
    <cellStyle name="Input 25 3 2 2 4 3" xfId="39541"/>
    <cellStyle name="Input 25 3 2 2 4 4" xfId="29331"/>
    <cellStyle name="Input 25 3 2 2 5" xfId="20811"/>
    <cellStyle name="Input 25 3 2 2 5 2" xfId="46333"/>
    <cellStyle name="Input 25 3 2 2 5 3" xfId="50239"/>
    <cellStyle name="Input 25 3 2 2 5 4" xfId="38203"/>
    <cellStyle name="Input 25 3 2 2 6" xfId="21464"/>
    <cellStyle name="Input 25 3 2 2 6 2" xfId="46986"/>
    <cellStyle name="Input 25 3 2 2 6 3" xfId="50892"/>
    <cellStyle name="Input 25 3 2 2 7" xfId="40789"/>
    <cellStyle name="Input 25 3 2 2 8" xfId="47489"/>
    <cellStyle name="Input 25 3 2 3" xfId="10906"/>
    <cellStyle name="Input 25 3 2 3 2" xfId="18693"/>
    <cellStyle name="Input 25 3 2 3 2 2" xfId="44225"/>
    <cellStyle name="Input 25 3 2 3 2 3" xfId="48134"/>
    <cellStyle name="Input 25 3 2 3 2 4" xfId="36316"/>
    <cellStyle name="Input 25 3 2 3 3" xfId="19388"/>
    <cellStyle name="Input 25 3 2 3 3 2" xfId="44910"/>
    <cellStyle name="Input 25 3 2 3 3 3" xfId="48816"/>
    <cellStyle name="Input 25 3 2 3 3 4" xfId="36939"/>
    <cellStyle name="Input 25 3 2 3 4" xfId="19616"/>
    <cellStyle name="Input 25 3 2 3 4 2" xfId="45138"/>
    <cellStyle name="Input 25 3 2 3 4 3" xfId="49044"/>
    <cellStyle name="Input 25 3 2 3 4 4" xfId="37141"/>
    <cellStyle name="Input 25 3 2 3 5" xfId="21106"/>
    <cellStyle name="Input 25 3 2 3 5 2" xfId="46628"/>
    <cellStyle name="Input 25 3 2 3 5 3" xfId="50534"/>
    <cellStyle name="Input 25 3 2 3 5 4" xfId="38498"/>
    <cellStyle name="Input 25 3 2 3 6" xfId="21759"/>
    <cellStyle name="Input 25 3 2 3 6 2" xfId="47281"/>
    <cellStyle name="Input 25 3 2 3 6 3" xfId="51187"/>
    <cellStyle name="Input 25 3 2 3 7" xfId="41084"/>
    <cellStyle name="Input 25 3 2 3 8" xfId="39562"/>
    <cellStyle name="Input 25 3 2 4" xfId="14866"/>
    <cellStyle name="Input 25 3 2 4 2" xfId="42964"/>
    <cellStyle name="Input 25 3 2 4 3" xfId="43155"/>
    <cellStyle name="Input 25 3 2 4 4" xfId="32487"/>
    <cellStyle name="Input 25 3 2 5" xfId="11292"/>
    <cellStyle name="Input 25 3 2 5 2" xfId="41319"/>
    <cellStyle name="Input 25 3 2 5 3" xfId="42012"/>
    <cellStyle name="Input 25 3 2 5 4" xfId="29006"/>
    <cellStyle name="Input 25 3 2 6" xfId="20241"/>
    <cellStyle name="Input 25 3 2 6 2" xfId="45763"/>
    <cellStyle name="Input 25 3 2 6 3" xfId="49669"/>
    <cellStyle name="Input 25 3 2 6 4" xfId="37698"/>
    <cellStyle name="Input 25 3 2 7" xfId="19533"/>
    <cellStyle name="Input 25 3 2 7 2" xfId="45055"/>
    <cellStyle name="Input 25 3 2 7 3" xfId="48961"/>
    <cellStyle name="Input 25 3 2 7 4" xfId="37063"/>
    <cellStyle name="Input 25 3 2 8" xfId="20502"/>
    <cellStyle name="Input 25 3 2 8 2" xfId="46024"/>
    <cellStyle name="Input 25 3 2 8 3" xfId="49930"/>
    <cellStyle name="Input 25 3 2 9" xfId="39824"/>
    <cellStyle name="Input 25 3 3" xfId="53065"/>
    <cellStyle name="Input 25 4" xfId="7081"/>
    <cellStyle name="Input 25 4 10" xfId="43076"/>
    <cellStyle name="Input 25 4 11" xfId="53066"/>
    <cellStyle name="Input 25 4 2" xfId="10608"/>
    <cellStyle name="Input 25 4 2 2" xfId="18395"/>
    <cellStyle name="Input 25 4 2 2 2" xfId="43927"/>
    <cellStyle name="Input 25 4 2 2 3" xfId="47836"/>
    <cellStyle name="Input 25 4 2 2 4" xfId="36018"/>
    <cellStyle name="Input 25 4 2 3" xfId="20153"/>
    <cellStyle name="Input 25 4 2 3 2" xfId="45675"/>
    <cellStyle name="Input 25 4 2 3 3" xfId="49581"/>
    <cellStyle name="Input 25 4 2 3 4" xfId="37625"/>
    <cellStyle name="Input 25 4 2 4" xfId="12636"/>
    <cellStyle name="Input 25 4 2 4 2" xfId="42096"/>
    <cellStyle name="Input 25 4 2 4 3" xfId="41285"/>
    <cellStyle name="Input 25 4 2 4 4" xfId="30287"/>
    <cellStyle name="Input 25 4 2 5" xfId="20808"/>
    <cellStyle name="Input 25 4 2 5 2" xfId="46330"/>
    <cellStyle name="Input 25 4 2 5 3" xfId="50236"/>
    <cellStyle name="Input 25 4 2 5 4" xfId="38200"/>
    <cellStyle name="Input 25 4 2 6" xfId="21461"/>
    <cellStyle name="Input 25 4 2 6 2" xfId="46983"/>
    <cellStyle name="Input 25 4 2 6 3" xfId="50889"/>
    <cellStyle name="Input 25 4 2 7" xfId="40786"/>
    <cellStyle name="Input 25 4 2 8" xfId="40227"/>
    <cellStyle name="Input 25 4 3" xfId="10903"/>
    <cellStyle name="Input 25 4 3 2" xfId="18690"/>
    <cellStyle name="Input 25 4 3 2 2" xfId="44222"/>
    <cellStyle name="Input 25 4 3 2 3" xfId="48131"/>
    <cellStyle name="Input 25 4 3 2 4" xfId="36313"/>
    <cellStyle name="Input 25 4 3 3" xfId="11520"/>
    <cellStyle name="Input 25 4 3 3 2" xfId="41511"/>
    <cellStyle name="Input 25 4 3 3 3" xfId="40329"/>
    <cellStyle name="Input 25 4 3 3 4" xfId="29221"/>
    <cellStyle name="Input 25 4 3 4" xfId="11445"/>
    <cellStyle name="Input 25 4 3 4 2" xfId="41436"/>
    <cellStyle name="Input 25 4 3 4 3" xfId="40050"/>
    <cellStyle name="Input 25 4 3 4 4" xfId="29151"/>
    <cellStyle name="Input 25 4 3 5" xfId="21103"/>
    <cellStyle name="Input 25 4 3 5 2" xfId="46625"/>
    <cellStyle name="Input 25 4 3 5 3" xfId="50531"/>
    <cellStyle name="Input 25 4 3 5 4" xfId="38495"/>
    <cellStyle name="Input 25 4 3 6" xfId="21756"/>
    <cellStyle name="Input 25 4 3 6 2" xfId="47278"/>
    <cellStyle name="Input 25 4 3 6 3" xfId="51184"/>
    <cellStyle name="Input 25 4 3 7" xfId="41081"/>
    <cellStyle name="Input 25 4 3 8" xfId="42705"/>
    <cellStyle name="Input 25 4 4" xfId="14863"/>
    <cellStyle name="Input 25 4 4 2" xfId="42961"/>
    <cellStyle name="Input 25 4 4 3" xfId="39404"/>
    <cellStyle name="Input 25 4 4 4" xfId="32484"/>
    <cellStyle name="Input 25 4 5" xfId="13123"/>
    <cellStyle name="Input 25 4 5 2" xfId="42325"/>
    <cellStyle name="Input 25 4 5 3" xfId="39516"/>
    <cellStyle name="Input 25 4 5 4" xfId="30758"/>
    <cellStyle name="Input 25 4 6" xfId="19652"/>
    <cellStyle name="Input 25 4 6 2" xfId="45174"/>
    <cellStyle name="Input 25 4 6 3" xfId="49080"/>
    <cellStyle name="Input 25 4 6 4" xfId="37172"/>
    <cellStyle name="Input 25 4 7" xfId="12698"/>
    <cellStyle name="Input 25 4 7 2" xfId="42154"/>
    <cellStyle name="Input 25 4 7 3" xfId="42667"/>
    <cellStyle name="Input 25 4 7 4" xfId="30342"/>
    <cellStyle name="Input 25 4 8" xfId="19057"/>
    <cellStyle name="Input 25 4 8 2" xfId="44579"/>
    <cellStyle name="Input 25 4 8 3" xfId="48485"/>
    <cellStyle name="Input 25 4 9" xfId="39821"/>
    <cellStyle name="Input 25 5" xfId="22445"/>
    <cellStyle name="Input 25 6" xfId="53061"/>
    <cellStyle name="Input 25_Sheet1" xfId="1909"/>
    <cellStyle name="Input 26" xfId="1910"/>
    <cellStyle name="Input 26 2" xfId="1911"/>
    <cellStyle name="Input 26 2 2" xfId="1912"/>
    <cellStyle name="Input 26 2 2 2" xfId="7087"/>
    <cellStyle name="Input 26 2 2 2 10" xfId="40482"/>
    <cellStyle name="Input 26 2 2 2 2" xfId="10614"/>
    <cellStyle name="Input 26 2 2 2 2 2" xfId="18401"/>
    <cellStyle name="Input 26 2 2 2 2 2 2" xfId="43933"/>
    <cellStyle name="Input 26 2 2 2 2 2 3" xfId="47842"/>
    <cellStyle name="Input 26 2 2 2 2 2 4" xfId="36024"/>
    <cellStyle name="Input 26 2 2 2 2 3" xfId="19736"/>
    <cellStyle name="Input 26 2 2 2 2 3 2" xfId="45258"/>
    <cellStyle name="Input 26 2 2 2 2 3 3" xfId="49164"/>
    <cellStyle name="Input 26 2 2 2 2 3 4" xfId="37249"/>
    <cellStyle name="Input 26 2 2 2 2 4" xfId="11545"/>
    <cellStyle name="Input 26 2 2 2 2 4 2" xfId="41536"/>
    <cellStyle name="Input 26 2 2 2 2 4 3" xfId="39323"/>
    <cellStyle name="Input 26 2 2 2 2 4 4" xfId="29243"/>
    <cellStyle name="Input 26 2 2 2 2 5" xfId="20814"/>
    <cellStyle name="Input 26 2 2 2 2 5 2" xfId="46336"/>
    <cellStyle name="Input 26 2 2 2 2 5 3" xfId="50242"/>
    <cellStyle name="Input 26 2 2 2 2 5 4" xfId="38206"/>
    <cellStyle name="Input 26 2 2 2 2 6" xfId="21467"/>
    <cellStyle name="Input 26 2 2 2 2 6 2" xfId="46989"/>
    <cellStyle name="Input 26 2 2 2 2 6 3" xfId="50895"/>
    <cellStyle name="Input 26 2 2 2 2 7" xfId="40792"/>
    <cellStyle name="Input 26 2 2 2 2 8" xfId="40073"/>
    <cellStyle name="Input 26 2 2 2 3" xfId="10909"/>
    <cellStyle name="Input 26 2 2 2 3 2" xfId="18696"/>
    <cellStyle name="Input 26 2 2 2 3 2 2" xfId="44228"/>
    <cellStyle name="Input 26 2 2 2 3 2 3" xfId="48137"/>
    <cellStyle name="Input 26 2 2 2 3 2 4" xfId="36319"/>
    <cellStyle name="Input 26 2 2 2 3 3" xfId="19870"/>
    <cellStyle name="Input 26 2 2 2 3 3 2" xfId="45392"/>
    <cellStyle name="Input 26 2 2 2 3 3 3" xfId="49298"/>
    <cellStyle name="Input 26 2 2 2 3 3 4" xfId="37370"/>
    <cellStyle name="Input 26 2 2 2 3 4" xfId="11540"/>
    <cellStyle name="Input 26 2 2 2 3 4 2" xfId="41531"/>
    <cellStyle name="Input 26 2 2 2 3 4 3" xfId="40326"/>
    <cellStyle name="Input 26 2 2 2 3 4 4" xfId="29240"/>
    <cellStyle name="Input 26 2 2 2 3 5" xfId="21109"/>
    <cellStyle name="Input 26 2 2 2 3 5 2" xfId="46631"/>
    <cellStyle name="Input 26 2 2 2 3 5 3" xfId="50537"/>
    <cellStyle name="Input 26 2 2 2 3 5 4" xfId="38501"/>
    <cellStyle name="Input 26 2 2 2 3 6" xfId="21762"/>
    <cellStyle name="Input 26 2 2 2 3 6 2" xfId="47284"/>
    <cellStyle name="Input 26 2 2 2 3 6 3" xfId="51190"/>
    <cellStyle name="Input 26 2 2 2 3 7" xfId="41087"/>
    <cellStyle name="Input 26 2 2 2 3 8" xfId="40346"/>
    <cellStyle name="Input 26 2 2 2 4" xfId="14869"/>
    <cellStyle name="Input 26 2 2 2 4 2" xfId="42967"/>
    <cellStyle name="Input 26 2 2 2 4 3" xfId="43642"/>
    <cellStyle name="Input 26 2 2 2 4 4" xfId="32490"/>
    <cellStyle name="Input 26 2 2 2 5" xfId="11294"/>
    <cellStyle name="Input 26 2 2 2 5 2" xfId="41321"/>
    <cellStyle name="Input 26 2 2 2 5 3" xfId="40195"/>
    <cellStyle name="Input 26 2 2 2 5 4" xfId="29008"/>
    <cellStyle name="Input 26 2 2 2 6" xfId="20109"/>
    <cellStyle name="Input 26 2 2 2 6 2" xfId="45631"/>
    <cellStyle name="Input 26 2 2 2 6 3" xfId="49537"/>
    <cellStyle name="Input 26 2 2 2 6 4" xfId="37581"/>
    <cellStyle name="Input 26 2 2 2 7" xfId="19843"/>
    <cellStyle name="Input 26 2 2 2 7 2" xfId="45365"/>
    <cellStyle name="Input 26 2 2 2 7 3" xfId="49271"/>
    <cellStyle name="Input 26 2 2 2 7 4" xfId="37344"/>
    <cellStyle name="Input 26 2 2 2 8" xfId="19529"/>
    <cellStyle name="Input 26 2 2 2 8 2" xfId="45051"/>
    <cellStyle name="Input 26 2 2 2 8 3" xfId="48957"/>
    <cellStyle name="Input 26 2 2 2 9" xfId="39827"/>
    <cellStyle name="Input 26 2 2 3" xfId="53069"/>
    <cellStyle name="Input 26 2 3" xfId="7086"/>
    <cellStyle name="Input 26 2 3 10" xfId="43624"/>
    <cellStyle name="Input 26 2 3 2" xfId="10613"/>
    <cellStyle name="Input 26 2 3 2 2" xfId="18400"/>
    <cellStyle name="Input 26 2 3 2 2 2" xfId="43932"/>
    <cellStyle name="Input 26 2 3 2 2 3" xfId="47841"/>
    <cellStyle name="Input 26 2 3 2 2 4" xfId="36023"/>
    <cellStyle name="Input 26 2 3 2 3" xfId="19117"/>
    <cellStyle name="Input 26 2 3 2 3 2" xfId="44639"/>
    <cellStyle name="Input 26 2 3 2 3 3" xfId="48545"/>
    <cellStyle name="Input 26 2 3 2 3 4" xfId="36698"/>
    <cellStyle name="Input 26 2 3 2 4" xfId="19372"/>
    <cellStyle name="Input 26 2 3 2 4 2" xfId="44894"/>
    <cellStyle name="Input 26 2 3 2 4 3" xfId="48800"/>
    <cellStyle name="Input 26 2 3 2 4 4" xfId="36924"/>
    <cellStyle name="Input 26 2 3 2 5" xfId="20813"/>
    <cellStyle name="Input 26 2 3 2 5 2" xfId="46335"/>
    <cellStyle name="Input 26 2 3 2 5 3" xfId="50241"/>
    <cellStyle name="Input 26 2 3 2 5 4" xfId="38205"/>
    <cellStyle name="Input 26 2 3 2 6" xfId="21466"/>
    <cellStyle name="Input 26 2 3 2 6 2" xfId="46988"/>
    <cellStyle name="Input 26 2 3 2 6 3" xfId="50894"/>
    <cellStyle name="Input 26 2 3 2 7" xfId="40791"/>
    <cellStyle name="Input 26 2 3 2 8" xfId="43214"/>
    <cellStyle name="Input 26 2 3 3" xfId="10908"/>
    <cellStyle name="Input 26 2 3 3 2" xfId="18695"/>
    <cellStyle name="Input 26 2 3 3 2 2" xfId="44227"/>
    <cellStyle name="Input 26 2 3 3 2 3" xfId="48136"/>
    <cellStyle name="Input 26 2 3 3 2 4" xfId="36318"/>
    <cellStyle name="Input 26 2 3 3 3" xfId="19261"/>
    <cellStyle name="Input 26 2 3 3 3 2" xfId="44783"/>
    <cellStyle name="Input 26 2 3 3 3 3" xfId="48689"/>
    <cellStyle name="Input 26 2 3 3 3 4" xfId="36825"/>
    <cellStyle name="Input 26 2 3 3 4" xfId="19859"/>
    <cellStyle name="Input 26 2 3 3 4 2" xfId="45381"/>
    <cellStyle name="Input 26 2 3 3 4 3" xfId="49287"/>
    <cellStyle name="Input 26 2 3 3 4 4" xfId="37359"/>
    <cellStyle name="Input 26 2 3 3 5" xfId="21108"/>
    <cellStyle name="Input 26 2 3 3 5 2" xfId="46630"/>
    <cellStyle name="Input 26 2 3 3 5 3" xfId="50536"/>
    <cellStyle name="Input 26 2 3 3 5 4" xfId="38500"/>
    <cellStyle name="Input 26 2 3 3 6" xfId="21761"/>
    <cellStyle name="Input 26 2 3 3 6 2" xfId="47283"/>
    <cellStyle name="Input 26 2 3 3 6 3" xfId="51189"/>
    <cellStyle name="Input 26 2 3 3 7" xfId="41086"/>
    <cellStyle name="Input 26 2 3 3 8" xfId="43483"/>
    <cellStyle name="Input 26 2 3 4" xfId="14868"/>
    <cellStyle name="Input 26 2 3 4 2" xfId="42966"/>
    <cellStyle name="Input 26 2 3 4 3" xfId="42755"/>
    <cellStyle name="Input 26 2 3 4 4" xfId="32489"/>
    <cellStyle name="Input 26 2 3 5" xfId="11295"/>
    <cellStyle name="Input 26 2 3 5 2" xfId="41322"/>
    <cellStyle name="Input 26 2 3 5 3" xfId="42800"/>
    <cellStyle name="Input 26 2 3 5 4" xfId="29009"/>
    <cellStyle name="Input 26 2 3 6" xfId="19368"/>
    <cellStyle name="Input 26 2 3 6 2" xfId="44890"/>
    <cellStyle name="Input 26 2 3 6 3" xfId="48796"/>
    <cellStyle name="Input 26 2 3 6 4" xfId="36920"/>
    <cellStyle name="Input 26 2 3 7" xfId="20499"/>
    <cellStyle name="Input 26 2 3 7 2" xfId="46021"/>
    <cellStyle name="Input 26 2 3 7 3" xfId="49927"/>
    <cellStyle name="Input 26 2 3 7 4" xfId="37921"/>
    <cellStyle name="Input 26 2 3 8" xfId="12608"/>
    <cellStyle name="Input 26 2 3 8 2" xfId="42068"/>
    <cellStyle name="Input 26 2 3 8 3" xfId="43451"/>
    <cellStyle name="Input 26 2 3 9" xfId="39826"/>
    <cellStyle name="Input 26 2 4" xfId="53068"/>
    <cellStyle name="Input 26 2_Sheet1" xfId="1913"/>
    <cellStyle name="Input 26 3" xfId="1914"/>
    <cellStyle name="Input 26 3 2" xfId="7088"/>
    <cellStyle name="Input 26 3 2 10" xfId="39592"/>
    <cellStyle name="Input 26 3 2 2" xfId="10615"/>
    <cellStyle name="Input 26 3 2 2 2" xfId="18402"/>
    <cellStyle name="Input 26 3 2 2 2 2" xfId="43934"/>
    <cellStyle name="Input 26 3 2 2 2 3" xfId="47843"/>
    <cellStyle name="Input 26 3 2 2 2 4" xfId="36025"/>
    <cellStyle name="Input 26 3 2 2 3" xfId="12617"/>
    <cellStyle name="Input 26 3 2 2 3 2" xfId="42077"/>
    <cellStyle name="Input 26 3 2 2 3 3" xfId="43173"/>
    <cellStyle name="Input 26 3 2 2 3 4" xfId="30268"/>
    <cellStyle name="Input 26 3 2 2 4" xfId="19539"/>
    <cellStyle name="Input 26 3 2 2 4 2" xfId="45061"/>
    <cellStyle name="Input 26 3 2 2 4 3" xfId="48967"/>
    <cellStyle name="Input 26 3 2 2 4 4" xfId="37067"/>
    <cellStyle name="Input 26 3 2 2 5" xfId="20815"/>
    <cellStyle name="Input 26 3 2 2 5 2" xfId="46337"/>
    <cellStyle name="Input 26 3 2 2 5 3" xfId="50243"/>
    <cellStyle name="Input 26 3 2 2 5 4" xfId="38207"/>
    <cellStyle name="Input 26 3 2 2 6" xfId="21468"/>
    <cellStyle name="Input 26 3 2 2 6 2" xfId="46990"/>
    <cellStyle name="Input 26 3 2 2 6 3" xfId="50896"/>
    <cellStyle name="Input 26 3 2 2 7" xfId="40793"/>
    <cellStyle name="Input 26 3 2 2 8" xfId="42822"/>
    <cellStyle name="Input 26 3 2 3" xfId="10910"/>
    <cellStyle name="Input 26 3 2 3 2" xfId="18697"/>
    <cellStyle name="Input 26 3 2 3 2 2" xfId="44229"/>
    <cellStyle name="Input 26 3 2 3 2 3" xfId="48138"/>
    <cellStyle name="Input 26 3 2 3 2 4" xfId="36320"/>
    <cellStyle name="Input 26 3 2 3 3" xfId="19093"/>
    <cellStyle name="Input 26 3 2 3 3 2" xfId="44615"/>
    <cellStyle name="Input 26 3 2 3 3 3" xfId="48521"/>
    <cellStyle name="Input 26 3 2 3 3 4" xfId="36674"/>
    <cellStyle name="Input 26 3 2 3 4" xfId="20112"/>
    <cellStyle name="Input 26 3 2 3 4 2" xfId="45634"/>
    <cellStyle name="Input 26 3 2 3 4 3" xfId="49540"/>
    <cellStyle name="Input 26 3 2 3 4 4" xfId="37584"/>
    <cellStyle name="Input 26 3 2 3 5" xfId="21110"/>
    <cellStyle name="Input 26 3 2 3 5 2" xfId="46632"/>
    <cellStyle name="Input 26 3 2 3 5 3" xfId="50538"/>
    <cellStyle name="Input 26 3 2 3 5 4" xfId="38502"/>
    <cellStyle name="Input 26 3 2 3 6" xfId="21763"/>
    <cellStyle name="Input 26 3 2 3 6 2" xfId="47285"/>
    <cellStyle name="Input 26 3 2 3 6 3" xfId="51191"/>
    <cellStyle name="Input 26 3 2 3 7" xfId="41088"/>
    <cellStyle name="Input 26 3 2 3 8" xfId="39458"/>
    <cellStyle name="Input 26 3 2 4" xfId="14870"/>
    <cellStyle name="Input 26 3 2 4 2" xfId="42968"/>
    <cellStyle name="Input 26 3 2 4 3" xfId="40501"/>
    <cellStyle name="Input 26 3 2 4 4" xfId="32491"/>
    <cellStyle name="Input 26 3 2 5" xfId="13125"/>
    <cellStyle name="Input 26 3 2 5 2" xfId="42327"/>
    <cellStyle name="Input 26 3 2 5 3" xfId="43437"/>
    <cellStyle name="Input 26 3 2 5 4" xfId="30760"/>
    <cellStyle name="Input 26 3 2 6" xfId="12315"/>
    <cellStyle name="Input 26 3 2 6 2" xfId="41929"/>
    <cellStyle name="Input 26 3 2 6 3" xfId="39637"/>
    <cellStyle name="Input 26 3 2 6 4" xfId="29972"/>
    <cellStyle name="Input 26 3 2 7" xfId="12454"/>
    <cellStyle name="Input 26 3 2 7 2" xfId="41956"/>
    <cellStyle name="Input 26 3 2 7 3" xfId="39535"/>
    <cellStyle name="Input 26 3 2 7 4" xfId="30111"/>
    <cellStyle name="Input 26 3 2 8" xfId="19316"/>
    <cellStyle name="Input 26 3 2 8 2" xfId="44838"/>
    <cellStyle name="Input 26 3 2 8 3" xfId="48744"/>
    <cellStyle name="Input 26 3 2 9" xfId="39828"/>
    <cellStyle name="Input 26 3 3" xfId="53070"/>
    <cellStyle name="Input 26 4" xfId="7085"/>
    <cellStyle name="Input 26 4 10" xfId="42736"/>
    <cellStyle name="Input 26 4 11" xfId="53071"/>
    <cellStyle name="Input 26 4 2" xfId="10612"/>
    <cellStyle name="Input 26 4 2 2" xfId="18399"/>
    <cellStyle name="Input 26 4 2 2 2" xfId="43931"/>
    <cellStyle name="Input 26 4 2 2 3" xfId="47840"/>
    <cellStyle name="Input 26 4 2 2 4" xfId="36022"/>
    <cellStyle name="Input 26 4 2 3" xfId="19894"/>
    <cellStyle name="Input 26 4 2 3 2" xfId="45416"/>
    <cellStyle name="Input 26 4 2 3 3" xfId="49322"/>
    <cellStyle name="Input 26 4 2 3 4" xfId="37394"/>
    <cellStyle name="Input 26 4 2 4" xfId="19825"/>
    <cellStyle name="Input 26 4 2 4 2" xfId="45347"/>
    <cellStyle name="Input 26 4 2 4 3" xfId="49253"/>
    <cellStyle name="Input 26 4 2 4 4" xfId="37329"/>
    <cellStyle name="Input 26 4 2 5" xfId="20812"/>
    <cellStyle name="Input 26 4 2 5 2" xfId="46334"/>
    <cellStyle name="Input 26 4 2 5 3" xfId="50240"/>
    <cellStyle name="Input 26 4 2 5 4" xfId="38204"/>
    <cellStyle name="Input 26 4 2 6" xfId="21465"/>
    <cellStyle name="Input 26 4 2 6 2" xfId="46987"/>
    <cellStyle name="Input 26 4 2 6 3" xfId="50893"/>
    <cellStyle name="Input 26 4 2 7" xfId="40790"/>
    <cellStyle name="Input 26 4 2 8" xfId="41411"/>
    <cellStyle name="Input 26 4 3" xfId="10907"/>
    <cellStyle name="Input 26 4 3 2" xfId="18694"/>
    <cellStyle name="Input 26 4 3 2 2" xfId="44226"/>
    <cellStyle name="Input 26 4 3 2 3" xfId="48135"/>
    <cellStyle name="Input 26 4 3 2 4" xfId="36317"/>
    <cellStyle name="Input 26 4 3 3" xfId="19995"/>
    <cellStyle name="Input 26 4 3 3 2" xfId="45517"/>
    <cellStyle name="Input 26 4 3 3 3" xfId="49423"/>
    <cellStyle name="Input 26 4 3 3 4" xfId="37479"/>
    <cellStyle name="Input 26 4 3 4" xfId="19063"/>
    <cellStyle name="Input 26 4 3 4 2" xfId="44585"/>
    <cellStyle name="Input 26 4 3 4 3" xfId="48491"/>
    <cellStyle name="Input 26 4 3 4 4" xfId="36645"/>
    <cellStyle name="Input 26 4 3 5" xfId="21107"/>
    <cellStyle name="Input 26 4 3 5 2" xfId="46629"/>
    <cellStyle name="Input 26 4 3 5 3" xfId="50535"/>
    <cellStyle name="Input 26 4 3 5 4" xfId="38499"/>
    <cellStyle name="Input 26 4 3 6" xfId="21760"/>
    <cellStyle name="Input 26 4 3 6 2" xfId="47282"/>
    <cellStyle name="Input 26 4 3 6 3" xfId="51188"/>
    <cellStyle name="Input 26 4 3 7" xfId="41085"/>
    <cellStyle name="Input 26 4 3 8" xfId="42570"/>
    <cellStyle name="Input 26 4 4" xfId="14867"/>
    <cellStyle name="Input 26 4 4 2" xfId="42965"/>
    <cellStyle name="Input 26 4 4 3" xfId="40014"/>
    <cellStyle name="Input 26 4 4 4" xfId="32488"/>
    <cellStyle name="Input 26 4 5" xfId="11293"/>
    <cellStyle name="Input 26 4 5 2" xfId="41320"/>
    <cellStyle name="Input 26 4 5 3" xfId="43333"/>
    <cellStyle name="Input 26 4 5 4" xfId="29007"/>
    <cellStyle name="Input 26 4 6" xfId="19541"/>
    <cellStyle name="Input 26 4 6 2" xfId="45063"/>
    <cellStyle name="Input 26 4 6 3" xfId="48969"/>
    <cellStyle name="Input 26 4 6 4" xfId="37069"/>
    <cellStyle name="Input 26 4 7" xfId="19567"/>
    <cellStyle name="Input 26 4 7 2" xfId="45089"/>
    <cellStyle name="Input 26 4 7 3" xfId="48995"/>
    <cellStyle name="Input 26 4 7 4" xfId="37093"/>
    <cellStyle name="Input 26 4 8" xfId="19035"/>
    <cellStyle name="Input 26 4 8 2" xfId="44557"/>
    <cellStyle name="Input 26 4 8 3" xfId="48463"/>
    <cellStyle name="Input 26 4 9" xfId="39825"/>
    <cellStyle name="Input 26 5" xfId="22447"/>
    <cellStyle name="Input 26 6" xfId="22904"/>
    <cellStyle name="Input 26 7" xfId="53067"/>
    <cellStyle name="Input 26_Sheet1" xfId="1915"/>
    <cellStyle name="Input 27" xfId="1916"/>
    <cellStyle name="Input 27 2" xfId="1917"/>
    <cellStyle name="Input 27 2 2" xfId="1918"/>
    <cellStyle name="Input 27 2 2 2" xfId="7091"/>
    <cellStyle name="Input 27 2 2 2 10" xfId="40376"/>
    <cellStyle name="Input 27 2 2 2 2" xfId="10618"/>
    <cellStyle name="Input 27 2 2 2 2 2" xfId="18405"/>
    <cellStyle name="Input 27 2 2 2 2 2 2" xfId="43937"/>
    <cellStyle name="Input 27 2 2 2 2 2 3" xfId="47846"/>
    <cellStyle name="Input 27 2 2 2 2 2 4" xfId="36028"/>
    <cellStyle name="Input 27 2 2 2 2 3" xfId="20150"/>
    <cellStyle name="Input 27 2 2 2 2 3 2" xfId="45672"/>
    <cellStyle name="Input 27 2 2 2 2 3 3" xfId="49578"/>
    <cellStyle name="Input 27 2 2 2 2 3 4" xfId="37622"/>
    <cellStyle name="Input 27 2 2 2 2 4" xfId="19252"/>
    <cellStyle name="Input 27 2 2 2 2 4 2" xfId="44774"/>
    <cellStyle name="Input 27 2 2 2 2 4 3" xfId="48680"/>
    <cellStyle name="Input 27 2 2 2 2 4 4" xfId="36816"/>
    <cellStyle name="Input 27 2 2 2 2 5" xfId="20818"/>
    <cellStyle name="Input 27 2 2 2 2 5 2" xfId="46340"/>
    <cellStyle name="Input 27 2 2 2 2 5 3" xfId="50246"/>
    <cellStyle name="Input 27 2 2 2 2 5 4" xfId="38210"/>
    <cellStyle name="Input 27 2 2 2 2 6" xfId="21471"/>
    <cellStyle name="Input 27 2 2 2 2 6 2" xfId="46993"/>
    <cellStyle name="Input 27 2 2 2 2 6 3" xfId="50899"/>
    <cellStyle name="Input 27 2 2 2 2 7" xfId="40796"/>
    <cellStyle name="Input 27 2 2 2 2 8" xfId="39681"/>
    <cellStyle name="Input 27 2 2 2 3" xfId="10913"/>
    <cellStyle name="Input 27 2 2 2 3 2" xfId="18700"/>
    <cellStyle name="Input 27 2 2 2 3 2 2" xfId="44232"/>
    <cellStyle name="Input 27 2 2 2 3 2 3" xfId="48141"/>
    <cellStyle name="Input 27 2 2 2 3 2 4" xfId="36323"/>
    <cellStyle name="Input 27 2 2 2 3 3" xfId="19703"/>
    <cellStyle name="Input 27 2 2 2 3 3 2" xfId="45225"/>
    <cellStyle name="Input 27 2 2 2 3 3 3" xfId="49131"/>
    <cellStyle name="Input 27 2 2 2 3 3 4" xfId="37216"/>
    <cellStyle name="Input 27 2 2 2 3 4" xfId="12962"/>
    <cellStyle name="Input 27 2 2 2 3 4 2" xfId="42234"/>
    <cellStyle name="Input 27 2 2 2 3 4 3" xfId="43442"/>
    <cellStyle name="Input 27 2 2 2 3 4 4" xfId="30597"/>
    <cellStyle name="Input 27 2 2 2 3 5" xfId="21113"/>
    <cellStyle name="Input 27 2 2 2 3 5 2" xfId="46635"/>
    <cellStyle name="Input 27 2 2 2 3 5 3" xfId="50541"/>
    <cellStyle name="Input 27 2 2 2 3 5 4" xfId="38505"/>
    <cellStyle name="Input 27 2 2 2 3 6" xfId="21766"/>
    <cellStyle name="Input 27 2 2 2 3 6 2" xfId="47288"/>
    <cellStyle name="Input 27 2 2 2 3 6 3" xfId="51194"/>
    <cellStyle name="Input 27 2 2 2 3 7" xfId="41091"/>
    <cellStyle name="Input 27 2 2 2 3 8" xfId="40207"/>
    <cellStyle name="Input 27 2 2 2 4" xfId="14873"/>
    <cellStyle name="Input 27 2 2 2 4 2" xfId="42971"/>
    <cellStyle name="Input 27 2 2 2 4 3" xfId="43533"/>
    <cellStyle name="Input 27 2 2 2 4 4" xfId="32494"/>
    <cellStyle name="Input 27 2 2 2 5" xfId="13128"/>
    <cellStyle name="Input 27 2 2 2 5 2" xfId="42330"/>
    <cellStyle name="Input 27 2 2 2 5 3" xfId="41941"/>
    <cellStyle name="Input 27 2 2 2 5 4" xfId="30763"/>
    <cellStyle name="Input 27 2 2 2 6" xfId="19430"/>
    <cellStyle name="Input 27 2 2 2 6 2" xfId="44952"/>
    <cellStyle name="Input 27 2 2 2 6 3" xfId="48858"/>
    <cellStyle name="Input 27 2 2 2 6 4" xfId="36981"/>
    <cellStyle name="Input 27 2 2 2 7" xfId="20375"/>
    <cellStyle name="Input 27 2 2 2 7 2" xfId="45897"/>
    <cellStyle name="Input 27 2 2 2 7 3" xfId="49803"/>
    <cellStyle name="Input 27 2 2 2 7 4" xfId="37815"/>
    <cellStyle name="Input 27 2 2 2 8" xfId="19681"/>
    <cellStyle name="Input 27 2 2 2 8 2" xfId="45203"/>
    <cellStyle name="Input 27 2 2 2 8 3" xfId="49109"/>
    <cellStyle name="Input 27 2 2 2 9" xfId="39831"/>
    <cellStyle name="Input 27 2 2 3" xfId="53074"/>
    <cellStyle name="Input 27 2 3" xfId="7090"/>
    <cellStyle name="Input 27 2 3 10" xfId="43513"/>
    <cellStyle name="Input 27 2 3 2" xfId="10617"/>
    <cellStyle name="Input 27 2 3 2 2" xfId="18404"/>
    <cellStyle name="Input 27 2 3 2 2 2" xfId="43936"/>
    <cellStyle name="Input 27 2 3 2 2 3" xfId="47845"/>
    <cellStyle name="Input 27 2 3 2 2 4" xfId="36027"/>
    <cellStyle name="Input 27 2 3 2 3" xfId="19596"/>
    <cellStyle name="Input 27 2 3 2 3 2" xfId="45118"/>
    <cellStyle name="Input 27 2 3 2 3 3" xfId="49024"/>
    <cellStyle name="Input 27 2 3 2 3 4" xfId="37122"/>
    <cellStyle name="Input 27 2 3 2 4" xfId="19471"/>
    <cellStyle name="Input 27 2 3 2 4 2" xfId="44993"/>
    <cellStyle name="Input 27 2 3 2 4 3" xfId="48899"/>
    <cellStyle name="Input 27 2 3 2 4 4" xfId="37013"/>
    <cellStyle name="Input 27 2 3 2 5" xfId="20817"/>
    <cellStyle name="Input 27 2 3 2 5 2" xfId="46339"/>
    <cellStyle name="Input 27 2 3 2 5 3" xfId="50245"/>
    <cellStyle name="Input 27 2 3 2 5 4" xfId="38209"/>
    <cellStyle name="Input 27 2 3 2 6" xfId="21470"/>
    <cellStyle name="Input 27 2 3 2 6 2" xfId="46992"/>
    <cellStyle name="Input 27 2 3 2 6 3" xfId="50898"/>
    <cellStyle name="Input 27 2 3 2 7" xfId="40795"/>
    <cellStyle name="Input 27 2 3 2 8" xfId="40570"/>
    <cellStyle name="Input 27 2 3 3" xfId="10912"/>
    <cellStyle name="Input 27 2 3 3 2" xfId="18699"/>
    <cellStyle name="Input 27 2 3 3 2 2" xfId="44231"/>
    <cellStyle name="Input 27 2 3 3 2 3" xfId="48140"/>
    <cellStyle name="Input 27 2 3 3 2 4" xfId="36322"/>
    <cellStyle name="Input 27 2 3 3 3" xfId="11522"/>
    <cellStyle name="Input 27 2 3 3 3 2" xfId="41513"/>
    <cellStyle name="Input 27 2 3 3 3 3" xfId="41999"/>
    <cellStyle name="Input 27 2 3 3 3 4" xfId="29223"/>
    <cellStyle name="Input 27 2 3 3 4" xfId="19930"/>
    <cellStyle name="Input 27 2 3 3 4 2" xfId="45452"/>
    <cellStyle name="Input 27 2 3 3 4 3" xfId="49358"/>
    <cellStyle name="Input 27 2 3 3 4 4" xfId="37425"/>
    <cellStyle name="Input 27 2 3 3 5" xfId="21112"/>
    <cellStyle name="Input 27 2 3 3 5 2" xfId="46634"/>
    <cellStyle name="Input 27 2 3 3 5 3" xfId="50540"/>
    <cellStyle name="Input 27 2 3 3 5 4" xfId="38504"/>
    <cellStyle name="Input 27 2 3 3 6" xfId="21765"/>
    <cellStyle name="Input 27 2 3 3 6 2" xfId="47287"/>
    <cellStyle name="Input 27 2 3 3 6 3" xfId="51193"/>
    <cellStyle name="Input 27 2 3 3 7" xfId="41090"/>
    <cellStyle name="Input 27 2 3 3 8" xfId="43345"/>
    <cellStyle name="Input 27 2 3 4" xfId="14872"/>
    <cellStyle name="Input 27 2 3 4 2" xfId="42970"/>
    <cellStyle name="Input 27 2 3 4 3" xfId="42645"/>
    <cellStyle name="Input 27 2 3 4 4" xfId="32493"/>
    <cellStyle name="Input 27 2 3 5" xfId="13127"/>
    <cellStyle name="Input 27 2 3 5 2" xfId="42329"/>
    <cellStyle name="Input 27 2 3 5 3" xfId="39416"/>
    <cellStyle name="Input 27 2 3 5 4" xfId="30762"/>
    <cellStyle name="Input 27 2 3 6" xfId="11356"/>
    <cellStyle name="Input 27 2 3 6 2" xfId="41372"/>
    <cellStyle name="Input 27 2 3 6 3" xfId="43686"/>
    <cellStyle name="Input 27 2 3 6 4" xfId="29065"/>
    <cellStyle name="Input 27 2 3 7" xfId="12887"/>
    <cellStyle name="Input 27 2 3 7 2" xfId="42224"/>
    <cellStyle name="Input 27 2 3 7 3" xfId="39629"/>
    <cellStyle name="Input 27 2 3 7 4" xfId="30523"/>
    <cellStyle name="Input 27 2 3 8" xfId="20601"/>
    <cellStyle name="Input 27 2 3 8 2" xfId="46123"/>
    <cellStyle name="Input 27 2 3 8 3" xfId="50029"/>
    <cellStyle name="Input 27 2 3 9" xfId="39830"/>
    <cellStyle name="Input 27 2 4" xfId="53073"/>
    <cellStyle name="Input 27 2_Sheet1" xfId="1919"/>
    <cellStyle name="Input 27 3" xfId="1920"/>
    <cellStyle name="Input 27 3 2" xfId="7092"/>
    <cellStyle name="Input 27 3 2 10" xfId="39488"/>
    <cellStyle name="Input 27 3 2 2" xfId="10619"/>
    <cellStyle name="Input 27 3 2 2 2" xfId="18406"/>
    <cellStyle name="Input 27 3 2 2 2 2" xfId="43938"/>
    <cellStyle name="Input 27 3 2 2 2 3" xfId="47847"/>
    <cellStyle name="Input 27 3 2 2 2 4" xfId="36029"/>
    <cellStyle name="Input 27 3 2 2 3" xfId="19409"/>
    <cellStyle name="Input 27 3 2 2 3 2" xfId="44931"/>
    <cellStyle name="Input 27 3 2 2 3 3" xfId="48837"/>
    <cellStyle name="Input 27 3 2 2 3 4" xfId="36960"/>
    <cellStyle name="Input 27 3 2 2 4" xfId="11629"/>
    <cellStyle name="Input 27 3 2 2 4 2" xfId="41620"/>
    <cellStyle name="Input 27 3 2 2 4 3" xfId="43316"/>
    <cellStyle name="Input 27 3 2 2 4 4" xfId="29316"/>
    <cellStyle name="Input 27 3 2 2 5" xfId="20819"/>
    <cellStyle name="Input 27 3 2 2 5 2" xfId="46341"/>
    <cellStyle name="Input 27 3 2 2 5 3" xfId="50247"/>
    <cellStyle name="Input 27 3 2 2 5 4" xfId="38211"/>
    <cellStyle name="Input 27 3 2 2 6" xfId="21472"/>
    <cellStyle name="Input 27 3 2 2 6 2" xfId="46994"/>
    <cellStyle name="Input 27 3 2 2 6 3" xfId="50900"/>
    <cellStyle name="Input 27 3 2 2 7" xfId="40797"/>
    <cellStyle name="Input 27 3 2 2 8" xfId="42718"/>
    <cellStyle name="Input 27 3 2 3" xfId="10914"/>
    <cellStyle name="Input 27 3 2 3 2" xfId="18701"/>
    <cellStyle name="Input 27 3 2 3 2 2" xfId="44233"/>
    <cellStyle name="Input 27 3 2 3 2 3" xfId="48142"/>
    <cellStyle name="Input 27 3 2 3 2 4" xfId="36324"/>
    <cellStyle name="Input 27 3 2 3 3" xfId="11521"/>
    <cellStyle name="Input 27 3 2 3 3 2" xfId="41512"/>
    <cellStyle name="Input 27 3 2 3 3 3" xfId="39441"/>
    <cellStyle name="Input 27 3 2 3 3 4" xfId="29222"/>
    <cellStyle name="Input 27 3 2 3 4" xfId="11776"/>
    <cellStyle name="Input 27 3 2 3 4 2" xfId="41710"/>
    <cellStyle name="Input 27 3 2 3 4 3" xfId="39130"/>
    <cellStyle name="Input 27 3 2 3 4 4" xfId="29449"/>
    <cellStyle name="Input 27 3 2 3 5" xfId="21114"/>
    <cellStyle name="Input 27 3 2 3 5 2" xfId="46636"/>
    <cellStyle name="Input 27 3 2 3 5 3" xfId="50542"/>
    <cellStyle name="Input 27 3 2 3 5 4" xfId="38506"/>
    <cellStyle name="Input 27 3 2 3 6" xfId="21767"/>
    <cellStyle name="Input 27 3 2 3 6 2" xfId="47289"/>
    <cellStyle name="Input 27 3 2 3 6 3" xfId="51195"/>
    <cellStyle name="Input 27 3 2 3 7" xfId="41092"/>
    <cellStyle name="Input 27 3 2 3 8" xfId="39347"/>
    <cellStyle name="Input 27 3 2 4" xfId="14874"/>
    <cellStyle name="Input 27 3 2 4 2" xfId="42972"/>
    <cellStyle name="Input 27 3 2 4 3" xfId="40394"/>
    <cellStyle name="Input 27 3 2 4 4" xfId="32495"/>
    <cellStyle name="Input 27 3 2 5" xfId="11296"/>
    <cellStyle name="Input 27 3 2 5 2" xfId="41323"/>
    <cellStyle name="Input 27 3 2 5 3" xfId="43690"/>
    <cellStyle name="Input 27 3 2 5 4" xfId="29010"/>
    <cellStyle name="Input 27 3 2 6" xfId="19953"/>
    <cellStyle name="Input 27 3 2 6 2" xfId="45475"/>
    <cellStyle name="Input 27 3 2 6 3" xfId="49381"/>
    <cellStyle name="Input 27 3 2 6 4" xfId="37444"/>
    <cellStyle name="Input 27 3 2 7" xfId="19926"/>
    <cellStyle name="Input 27 3 2 7 2" xfId="45448"/>
    <cellStyle name="Input 27 3 2 7 3" xfId="49354"/>
    <cellStyle name="Input 27 3 2 7 4" xfId="37421"/>
    <cellStyle name="Input 27 3 2 8" xfId="20194"/>
    <cellStyle name="Input 27 3 2 8 2" xfId="45716"/>
    <cellStyle name="Input 27 3 2 8 3" xfId="49622"/>
    <cellStyle name="Input 27 3 2 9" xfId="39832"/>
    <cellStyle name="Input 27 3 3" xfId="53075"/>
    <cellStyle name="Input 27 4" xfId="7089"/>
    <cellStyle name="Input 27 4 10" xfId="42600"/>
    <cellStyle name="Input 27 4 11" xfId="53076"/>
    <cellStyle name="Input 27 4 2" xfId="10616"/>
    <cellStyle name="Input 27 4 2 2" xfId="18403"/>
    <cellStyle name="Input 27 4 2 2 2" xfId="43935"/>
    <cellStyle name="Input 27 4 2 2 3" xfId="47844"/>
    <cellStyle name="Input 27 4 2 2 4" xfId="36026"/>
    <cellStyle name="Input 27 4 2 3" xfId="13317"/>
    <cellStyle name="Input 27 4 2 3 2" xfId="42468"/>
    <cellStyle name="Input 27 4 2 3 3" xfId="39513"/>
    <cellStyle name="Input 27 4 2 3 4" xfId="30943"/>
    <cellStyle name="Input 27 4 2 4" xfId="19503"/>
    <cellStyle name="Input 27 4 2 4 2" xfId="45025"/>
    <cellStyle name="Input 27 4 2 4 3" xfId="48931"/>
    <cellStyle name="Input 27 4 2 4 4" xfId="37037"/>
    <cellStyle name="Input 27 4 2 5" xfId="20816"/>
    <cellStyle name="Input 27 4 2 5 2" xfId="46338"/>
    <cellStyle name="Input 27 4 2 5 3" xfId="50244"/>
    <cellStyle name="Input 27 4 2 5 4" xfId="38208"/>
    <cellStyle name="Input 27 4 2 6" xfId="21469"/>
    <cellStyle name="Input 27 4 2 6 2" xfId="46991"/>
    <cellStyle name="Input 27 4 2 6 3" xfId="50897"/>
    <cellStyle name="Input 27 4 2 7" xfId="40794"/>
    <cellStyle name="Input 27 4 2 8" xfId="43711"/>
    <cellStyle name="Input 27 4 3" xfId="10911"/>
    <cellStyle name="Input 27 4 3 2" xfId="18698"/>
    <cellStyle name="Input 27 4 3 2 2" xfId="44230"/>
    <cellStyle name="Input 27 4 3 2 3" xfId="48139"/>
    <cellStyle name="Input 27 4 3 2 4" xfId="36321"/>
    <cellStyle name="Input 27 4 3 3" xfId="19702"/>
    <cellStyle name="Input 27 4 3 3 2" xfId="45224"/>
    <cellStyle name="Input 27 4 3 3 3" xfId="49130"/>
    <cellStyle name="Input 27 4 3 3 4" xfId="37215"/>
    <cellStyle name="Input 27 4 3 4" xfId="19436"/>
    <cellStyle name="Input 27 4 3 4 2" xfId="44958"/>
    <cellStyle name="Input 27 4 3 4 3" xfId="48864"/>
    <cellStyle name="Input 27 4 3 4 4" xfId="36987"/>
    <cellStyle name="Input 27 4 3 5" xfId="21111"/>
    <cellStyle name="Input 27 4 3 5 2" xfId="46633"/>
    <cellStyle name="Input 27 4 3 5 3" xfId="50539"/>
    <cellStyle name="Input 27 4 3 5 4" xfId="38503"/>
    <cellStyle name="Input 27 4 3 6" xfId="21764"/>
    <cellStyle name="Input 27 4 3 6 2" xfId="47286"/>
    <cellStyle name="Input 27 4 3 6 3" xfId="51192"/>
    <cellStyle name="Input 27 4 3 7" xfId="41089"/>
    <cellStyle name="Input 27 4 3 8" xfId="42026"/>
    <cellStyle name="Input 27 4 4" xfId="14871"/>
    <cellStyle name="Input 27 4 4 2" xfId="42969"/>
    <cellStyle name="Input 27 4 4 3" xfId="39609"/>
    <cellStyle name="Input 27 4 4 4" xfId="32492"/>
    <cellStyle name="Input 27 4 5" xfId="13126"/>
    <cellStyle name="Input 27 4 5 2" xfId="42328"/>
    <cellStyle name="Input 27 4 5 3" xfId="40299"/>
    <cellStyle name="Input 27 4 5 4" xfId="30761"/>
    <cellStyle name="Input 27 4 6" xfId="13298"/>
    <cellStyle name="Input 27 4 6 2" xfId="42449"/>
    <cellStyle name="Input 27 4 6 3" xfId="39511"/>
    <cellStyle name="Input 27 4 6 4" xfId="30925"/>
    <cellStyle name="Input 27 4 7" xfId="19250"/>
    <cellStyle name="Input 27 4 7 2" xfId="44772"/>
    <cellStyle name="Input 27 4 7 3" xfId="48678"/>
    <cellStyle name="Input 27 4 7 4" xfId="36814"/>
    <cellStyle name="Input 27 4 8" xfId="19636"/>
    <cellStyle name="Input 27 4 8 2" xfId="45158"/>
    <cellStyle name="Input 27 4 8 3" xfId="49064"/>
    <cellStyle name="Input 27 4 9" xfId="39829"/>
    <cellStyle name="Input 27 5" xfId="22448"/>
    <cellStyle name="Input 27 6" xfId="22903"/>
    <cellStyle name="Input 27 7" xfId="53072"/>
    <cellStyle name="Input 27_Sheet1" xfId="1921"/>
    <cellStyle name="Input 28" xfId="1922"/>
    <cellStyle name="Input 28 2" xfId="1923"/>
    <cellStyle name="Input 28 2 2" xfId="1924"/>
    <cellStyle name="Input 28 2 2 2" xfId="7095"/>
    <cellStyle name="Input 28 2 2 2 10" xfId="40258"/>
    <cellStyle name="Input 28 2 2 2 2" xfId="10622"/>
    <cellStyle name="Input 28 2 2 2 2 2" xfId="18409"/>
    <cellStyle name="Input 28 2 2 2 2 2 2" xfId="43941"/>
    <cellStyle name="Input 28 2 2 2 2 2 3" xfId="47850"/>
    <cellStyle name="Input 28 2 2 2 2 2 4" xfId="36032"/>
    <cellStyle name="Input 28 2 2 2 2 3" xfId="19891"/>
    <cellStyle name="Input 28 2 2 2 2 3 2" xfId="45413"/>
    <cellStyle name="Input 28 2 2 2 2 3 3" xfId="49319"/>
    <cellStyle name="Input 28 2 2 2 2 3 4" xfId="37391"/>
    <cellStyle name="Input 28 2 2 2 2 4" xfId="11538"/>
    <cellStyle name="Input 28 2 2 2 2 4 2" xfId="41529"/>
    <cellStyle name="Input 28 2 2 2 2 4 3" xfId="42551"/>
    <cellStyle name="Input 28 2 2 2 2 4 4" xfId="29238"/>
    <cellStyle name="Input 28 2 2 2 2 5" xfId="20822"/>
    <cellStyle name="Input 28 2 2 2 2 5 2" xfId="46344"/>
    <cellStyle name="Input 28 2 2 2 2 5 3" xfId="50250"/>
    <cellStyle name="Input 28 2 2 2 2 5 4" xfId="38214"/>
    <cellStyle name="Input 28 2 2 2 2 6" xfId="21475"/>
    <cellStyle name="Input 28 2 2 2 2 6 2" xfId="46997"/>
    <cellStyle name="Input 28 2 2 2 2 6 3" xfId="50903"/>
    <cellStyle name="Input 28 2 2 2 2 7" xfId="40800"/>
    <cellStyle name="Input 28 2 2 2 2 8" xfId="39575"/>
    <cellStyle name="Input 28 2 2 2 3" xfId="10917"/>
    <cellStyle name="Input 28 2 2 2 3 2" xfId="18704"/>
    <cellStyle name="Input 28 2 2 2 3 2 2" xfId="44236"/>
    <cellStyle name="Input 28 2 2 2 3 2 3" xfId="48145"/>
    <cellStyle name="Input 28 2 2 2 3 2 4" xfId="36327"/>
    <cellStyle name="Input 28 2 2 2 3 3" xfId="20128"/>
    <cellStyle name="Input 28 2 2 2 3 3 2" xfId="45650"/>
    <cellStyle name="Input 28 2 2 2 3 3 3" xfId="49556"/>
    <cellStyle name="Input 28 2 2 2 3 3 4" xfId="37600"/>
    <cellStyle name="Input 28 2 2 2 3 4" xfId="11615"/>
    <cellStyle name="Input 28 2 2 2 3 4 2" xfId="41606"/>
    <cellStyle name="Input 28 2 2 2 3 4 3" xfId="42549"/>
    <cellStyle name="Input 28 2 2 2 3 4 4" xfId="29304"/>
    <cellStyle name="Input 28 2 2 2 3 5" xfId="21117"/>
    <cellStyle name="Input 28 2 2 2 3 5 2" xfId="46639"/>
    <cellStyle name="Input 28 2 2 2 3 5 3" xfId="50545"/>
    <cellStyle name="Input 28 2 2 2 3 5 4" xfId="38509"/>
    <cellStyle name="Input 28 2 2 2 3 6" xfId="21770"/>
    <cellStyle name="Input 28 2 2 2 3 6 2" xfId="47292"/>
    <cellStyle name="Input 28 2 2 2 3 6 3" xfId="51198"/>
    <cellStyle name="Input 28 2 2 2 3 7" xfId="41095"/>
    <cellStyle name="Input 28 2 2 2 3 8" xfId="43200"/>
    <cellStyle name="Input 28 2 2 2 4" xfId="14877"/>
    <cellStyle name="Input 28 2 2 2 4 2" xfId="42975"/>
    <cellStyle name="Input 28 2 2 2 4 3" xfId="43424"/>
    <cellStyle name="Input 28 2 2 2 4 4" xfId="32498"/>
    <cellStyle name="Input 28 2 2 2 5" xfId="13131"/>
    <cellStyle name="Input 28 2 2 2 5 2" xfId="42333"/>
    <cellStyle name="Input 28 2 2 2 5 3" xfId="39272"/>
    <cellStyle name="Input 28 2 2 2 5 4" xfId="30766"/>
    <cellStyle name="Input 28 2 2 2 6" xfId="20254"/>
    <cellStyle name="Input 28 2 2 2 6 2" xfId="45776"/>
    <cellStyle name="Input 28 2 2 2 6 3" xfId="49682"/>
    <cellStyle name="Input 28 2 2 2 6 4" xfId="37710"/>
    <cellStyle name="Input 28 2 2 2 7" xfId="18880"/>
    <cellStyle name="Input 28 2 2 2 7 2" xfId="44402"/>
    <cellStyle name="Input 28 2 2 2 7 3" xfId="48308"/>
    <cellStyle name="Input 28 2 2 2 7 4" xfId="36502"/>
    <cellStyle name="Input 28 2 2 2 8" xfId="20340"/>
    <cellStyle name="Input 28 2 2 2 8 2" xfId="45862"/>
    <cellStyle name="Input 28 2 2 2 8 3" xfId="49768"/>
    <cellStyle name="Input 28 2 2 2 9" xfId="39835"/>
    <cellStyle name="Input 28 2 2 3" xfId="53079"/>
    <cellStyle name="Input 28 2 3" xfId="7094"/>
    <cellStyle name="Input 28 2 3 10" xfId="43396"/>
    <cellStyle name="Input 28 2 3 2" xfId="10621"/>
    <cellStyle name="Input 28 2 3 2 2" xfId="18408"/>
    <cellStyle name="Input 28 2 3 2 2 2" xfId="43940"/>
    <cellStyle name="Input 28 2 3 2 2 3" xfId="47849"/>
    <cellStyle name="Input 28 2 3 2 2 4" xfId="36031"/>
    <cellStyle name="Input 28 2 3 2 3" xfId="19282"/>
    <cellStyle name="Input 28 2 3 2 3 2" xfId="44804"/>
    <cellStyle name="Input 28 2 3 2 3 3" xfId="48710"/>
    <cellStyle name="Input 28 2 3 2 3 4" xfId="36846"/>
    <cellStyle name="Input 28 2 3 2 4" xfId="11647"/>
    <cellStyle name="Input 28 2 3 2 4 2" xfId="41638"/>
    <cellStyle name="Input 28 2 3 2 4 3" xfId="42548"/>
    <cellStyle name="Input 28 2 3 2 4 4" xfId="29332"/>
    <cellStyle name="Input 28 2 3 2 5" xfId="20821"/>
    <cellStyle name="Input 28 2 3 2 5 2" xfId="46343"/>
    <cellStyle name="Input 28 2 3 2 5 3" xfId="50249"/>
    <cellStyle name="Input 28 2 3 2 5 4" xfId="38213"/>
    <cellStyle name="Input 28 2 3 2 6" xfId="21474"/>
    <cellStyle name="Input 28 2 3 2 6 2" xfId="46996"/>
    <cellStyle name="Input 28 2 3 2 6 3" xfId="50902"/>
    <cellStyle name="Input 28 2 3 2 7" xfId="40799"/>
    <cellStyle name="Input 28 2 3 2 8" xfId="40465"/>
    <cellStyle name="Input 28 2 3 3" xfId="10916"/>
    <cellStyle name="Input 28 2 3 3 2" xfId="18703"/>
    <cellStyle name="Input 28 2 3 3 2 2" xfId="44235"/>
    <cellStyle name="Input 28 2 3 3 2 3" xfId="48144"/>
    <cellStyle name="Input 28 2 3 3 2 4" xfId="36326"/>
    <cellStyle name="Input 28 2 3 3 3" xfId="19570"/>
    <cellStyle name="Input 28 2 3 3 3 2" xfId="45092"/>
    <cellStyle name="Input 28 2 3 3 3 3" xfId="48998"/>
    <cellStyle name="Input 28 2 3 3 3 4" xfId="37096"/>
    <cellStyle name="Input 28 2 3 3 4" xfId="19231"/>
    <cellStyle name="Input 28 2 3 3 4 2" xfId="44753"/>
    <cellStyle name="Input 28 2 3 3 4 3" xfId="48659"/>
    <cellStyle name="Input 28 2 3 3 4 4" xfId="36795"/>
    <cellStyle name="Input 28 2 3 3 5" xfId="21116"/>
    <cellStyle name="Input 28 2 3 3 5 2" xfId="46638"/>
    <cellStyle name="Input 28 2 3 3 5 3" xfId="50544"/>
    <cellStyle name="Input 28 2 3 3 5 4" xfId="38508"/>
    <cellStyle name="Input 28 2 3 3 6" xfId="21769"/>
    <cellStyle name="Input 28 2 3 3 6 2" xfId="47291"/>
    <cellStyle name="Input 28 2 3 3 6 3" xfId="51197"/>
    <cellStyle name="Input 28 2 3 3 7" xfId="41094"/>
    <cellStyle name="Input 28 2 3 3 8" xfId="41397"/>
    <cellStyle name="Input 28 2 3 4" xfId="14876"/>
    <cellStyle name="Input 28 2 3 4 2" xfId="42974"/>
    <cellStyle name="Input 28 2 3 4 3" xfId="42513"/>
    <cellStyle name="Input 28 2 3 4 4" xfId="32497"/>
    <cellStyle name="Input 28 2 3 5" xfId="13130"/>
    <cellStyle name="Input 28 2 3 5 2" xfId="42332"/>
    <cellStyle name="Input 28 2 3 5 3" xfId="40149"/>
    <cellStyle name="Input 28 2 3 5 4" xfId="30765"/>
    <cellStyle name="Input 28 2 3 6" xfId="11722"/>
    <cellStyle name="Input 28 2 3 6 2" xfId="41688"/>
    <cellStyle name="Input 28 2 3 6 3" xfId="41359"/>
    <cellStyle name="Input 28 2 3 6 4" xfId="29395"/>
    <cellStyle name="Input 28 2 3 7" xfId="20355"/>
    <cellStyle name="Input 28 2 3 7 2" xfId="45877"/>
    <cellStyle name="Input 28 2 3 7 3" xfId="49783"/>
    <cellStyle name="Input 28 2 3 7 4" xfId="37797"/>
    <cellStyle name="Input 28 2 3 8" xfId="12021"/>
    <cellStyle name="Input 28 2 3 8 2" xfId="41758"/>
    <cellStyle name="Input 28 2 3 8 3" xfId="41974"/>
    <cellStyle name="Input 28 2 3 9" xfId="39834"/>
    <cellStyle name="Input 28 2 4" xfId="53078"/>
    <cellStyle name="Input 28 2_Sheet1" xfId="1925"/>
    <cellStyle name="Input 28 3" xfId="1926"/>
    <cellStyle name="Input 28 3 2" xfId="7096"/>
    <cellStyle name="Input 28 3 2 10" xfId="39386"/>
    <cellStyle name="Input 28 3 2 2" xfId="10623"/>
    <cellStyle name="Input 28 3 2 2 2" xfId="18410"/>
    <cellStyle name="Input 28 3 2 2 2 2" xfId="43942"/>
    <cellStyle name="Input 28 3 2 2 2 3" xfId="47851"/>
    <cellStyle name="Input 28 3 2 2 2 4" xfId="36033"/>
    <cellStyle name="Input 28 3 2 2 3" xfId="19114"/>
    <cellStyle name="Input 28 3 2 2 3 2" xfId="44636"/>
    <cellStyle name="Input 28 3 2 2 3 3" xfId="48542"/>
    <cellStyle name="Input 28 3 2 2 3 4" xfId="36695"/>
    <cellStyle name="Input 28 3 2 2 4" xfId="18906"/>
    <cellStyle name="Input 28 3 2 2 4 2" xfId="44428"/>
    <cellStyle name="Input 28 3 2 2 4 3" xfId="48334"/>
    <cellStyle name="Input 28 3 2 2 4 4" xfId="36522"/>
    <cellStyle name="Input 28 3 2 2 5" xfId="20823"/>
    <cellStyle name="Input 28 3 2 2 5 2" xfId="46345"/>
    <cellStyle name="Input 28 3 2 2 5 3" xfId="50251"/>
    <cellStyle name="Input 28 3 2 2 5 4" xfId="38215"/>
    <cellStyle name="Input 28 3 2 2 6" xfId="21476"/>
    <cellStyle name="Input 28 3 2 2 6 2" xfId="46998"/>
    <cellStyle name="Input 28 3 2 2 6 3" xfId="50904"/>
    <cellStyle name="Input 28 3 2 2 7" xfId="40801"/>
    <cellStyle name="Input 28 3 2 2 8" xfId="42583"/>
    <cellStyle name="Input 28 3 2 3" xfId="10918"/>
    <cellStyle name="Input 28 3 2 3 2" xfId="18705"/>
    <cellStyle name="Input 28 3 2 3 2 2" xfId="44237"/>
    <cellStyle name="Input 28 3 2 3 2 3" xfId="48146"/>
    <cellStyle name="Input 28 3 2 3 2 4" xfId="36328"/>
    <cellStyle name="Input 28 3 2 3 3" xfId="19387"/>
    <cellStyle name="Input 28 3 2 3 3 2" xfId="44909"/>
    <cellStyle name="Input 28 3 2 3 3 3" xfId="48815"/>
    <cellStyle name="Input 28 3 2 3 3 4" xfId="36938"/>
    <cellStyle name="Input 28 3 2 3 4" xfId="19643"/>
    <cellStyle name="Input 28 3 2 3 4 2" xfId="45165"/>
    <cellStyle name="Input 28 3 2 3 4 3" xfId="49071"/>
    <cellStyle name="Input 28 3 2 3 4 4" xfId="37163"/>
    <cellStyle name="Input 28 3 2 3 5" xfId="21118"/>
    <cellStyle name="Input 28 3 2 3 5 2" xfId="46640"/>
    <cellStyle name="Input 28 3 2 3 5 3" xfId="50546"/>
    <cellStyle name="Input 28 3 2 3 5 4" xfId="38510"/>
    <cellStyle name="Input 28 3 2 3 6" xfId="21771"/>
    <cellStyle name="Input 28 3 2 3 6 2" xfId="47293"/>
    <cellStyle name="Input 28 3 2 3 6 3" xfId="51199"/>
    <cellStyle name="Input 28 3 2 3 7" xfId="41096"/>
    <cellStyle name="Input 28 3 2 3 8" xfId="40059"/>
    <cellStyle name="Input 28 3 2 4" xfId="14878"/>
    <cellStyle name="Input 28 3 2 4 2" xfId="42976"/>
    <cellStyle name="Input 28 3 2 4 3" xfId="40286"/>
    <cellStyle name="Input 28 3 2 4 4" xfId="32499"/>
    <cellStyle name="Input 28 3 2 5" xfId="13132"/>
    <cellStyle name="Input 28 3 2 5 2" xfId="42334"/>
    <cellStyle name="Input 28 3 2 5 3" xfId="41942"/>
    <cellStyle name="Input 28 3 2 5 4" xfId="30767"/>
    <cellStyle name="Input 28 3 2 6" xfId="19628"/>
    <cellStyle name="Input 28 3 2 6 2" xfId="45150"/>
    <cellStyle name="Input 28 3 2 6 3" xfId="49056"/>
    <cellStyle name="Input 28 3 2 6 4" xfId="37150"/>
    <cellStyle name="Input 28 3 2 7" xfId="11590"/>
    <cellStyle name="Input 28 3 2 7 2" xfId="41581"/>
    <cellStyle name="Input 28 3 2 7 3" xfId="42684"/>
    <cellStyle name="Input 28 3 2 7 4" xfId="29283"/>
    <cellStyle name="Input 28 3 2 8" xfId="11473"/>
    <cellStyle name="Input 28 3 2 8 2" xfId="41464"/>
    <cellStyle name="Input 28 3 2 8 3" xfId="39653"/>
    <cellStyle name="Input 28 3 2 9" xfId="39836"/>
    <cellStyle name="Input 28 3 3" xfId="53080"/>
    <cellStyle name="Input 28 4" xfId="7093"/>
    <cellStyle name="Input 28 4 10" xfId="42169"/>
    <cellStyle name="Input 28 4 11" xfId="53081"/>
    <cellStyle name="Input 28 4 2" xfId="10620"/>
    <cellStyle name="Input 28 4 2 2" xfId="18407"/>
    <cellStyle name="Input 28 4 2 2 2" xfId="43939"/>
    <cellStyle name="Input 28 4 2 2 3" xfId="47848"/>
    <cellStyle name="Input 28 4 2 2 4" xfId="36030"/>
    <cellStyle name="Input 28 4 2 3" xfId="20016"/>
    <cellStyle name="Input 28 4 2 3 2" xfId="45538"/>
    <cellStyle name="Input 28 4 2 3 3" xfId="49444"/>
    <cellStyle name="Input 28 4 2 3 4" xfId="37500"/>
    <cellStyle name="Input 28 4 2 4" xfId="12056"/>
    <cellStyle name="Input 28 4 2 4 2" xfId="41789"/>
    <cellStyle name="Input 28 4 2 4 3" xfId="42782"/>
    <cellStyle name="Input 28 4 2 4 4" xfId="29720"/>
    <cellStyle name="Input 28 4 2 5" xfId="20820"/>
    <cellStyle name="Input 28 4 2 5 2" xfId="46342"/>
    <cellStyle name="Input 28 4 2 5 3" xfId="50248"/>
    <cellStyle name="Input 28 4 2 5 4" xfId="38212"/>
    <cellStyle name="Input 28 4 2 6" xfId="21473"/>
    <cellStyle name="Input 28 4 2 6 2" xfId="46995"/>
    <cellStyle name="Input 28 4 2 6 3" xfId="50901"/>
    <cellStyle name="Input 28 4 2 7" xfId="40798"/>
    <cellStyle name="Input 28 4 2 8" xfId="43607"/>
    <cellStyle name="Input 28 4 3" xfId="10915"/>
    <cellStyle name="Input 28 4 3 2" xfId="18702"/>
    <cellStyle name="Input 28 4 3 2 2" xfId="44234"/>
    <cellStyle name="Input 28 4 3 2 3" xfId="48143"/>
    <cellStyle name="Input 28 4 3 2 4" xfId="36325"/>
    <cellStyle name="Input 28 4 3 3" xfId="13346"/>
    <cellStyle name="Input 28 4 3 3 2" xfId="42497"/>
    <cellStyle name="Input 28 4 3 3 3" xfId="40020"/>
    <cellStyle name="Input 28 4 3 3 4" xfId="30972"/>
    <cellStyle name="Input 28 4 3 4" xfId="12757"/>
    <cellStyle name="Input 28 4 3 4 2" xfId="42182"/>
    <cellStyle name="Input 28 4 3 4 3" xfId="39282"/>
    <cellStyle name="Input 28 4 3 4 4" xfId="30401"/>
    <cellStyle name="Input 28 4 3 5" xfId="21115"/>
    <cellStyle name="Input 28 4 3 5 2" xfId="46637"/>
    <cellStyle name="Input 28 4 3 5 3" xfId="50543"/>
    <cellStyle name="Input 28 4 3 5 4" xfId="38507"/>
    <cellStyle name="Input 28 4 3 6" xfId="21768"/>
    <cellStyle name="Input 28 4 3 6 2" xfId="47290"/>
    <cellStyle name="Input 28 4 3 6 3" xfId="51196"/>
    <cellStyle name="Input 28 4 3 7" xfId="41093"/>
    <cellStyle name="Input 28 4 3 8" xfId="39157"/>
    <cellStyle name="Input 28 4 4" xfId="14875"/>
    <cellStyle name="Input 28 4 4 2" xfId="42973"/>
    <cellStyle name="Input 28 4 4 3" xfId="39503"/>
    <cellStyle name="Input 28 4 4 4" xfId="32496"/>
    <cellStyle name="Input 28 4 5" xfId="13129"/>
    <cellStyle name="Input 28 4 5 2" xfId="42331"/>
    <cellStyle name="Input 28 4 5 3" xfId="43289"/>
    <cellStyle name="Input 28 4 5 4" xfId="30764"/>
    <cellStyle name="Input 28 4 6" xfId="19328"/>
    <cellStyle name="Input 28 4 6 2" xfId="44850"/>
    <cellStyle name="Input 28 4 6 3" xfId="48756"/>
    <cellStyle name="Input 28 4 6 4" xfId="36886"/>
    <cellStyle name="Input 28 4 7" xfId="11667"/>
    <cellStyle name="Input 28 4 7 2" xfId="41658"/>
    <cellStyle name="Input 28 4 7 3" xfId="39540"/>
    <cellStyle name="Input 28 4 7 4" xfId="29347"/>
    <cellStyle name="Input 28 4 8" xfId="19002"/>
    <cellStyle name="Input 28 4 8 2" xfId="44524"/>
    <cellStyle name="Input 28 4 8 3" xfId="48430"/>
    <cellStyle name="Input 28 4 9" xfId="39833"/>
    <cellStyle name="Input 28 5" xfId="22449"/>
    <cellStyle name="Input 28 6" xfId="22902"/>
    <cellStyle name="Input 28 7" xfId="53077"/>
    <cellStyle name="Input 28_Sheet1" xfId="1927"/>
    <cellStyle name="Input 29" xfId="1928"/>
    <cellStyle name="Input 29 2" xfId="1929"/>
    <cellStyle name="Input 29 2 2" xfId="1930"/>
    <cellStyle name="Input 29 2 2 2" xfId="7099"/>
    <cellStyle name="Input 29 2 2 2 10" xfId="47500"/>
    <cellStyle name="Input 29 2 2 2 2" xfId="10626"/>
    <cellStyle name="Input 29 2 2 2 2 2" xfId="18413"/>
    <cellStyle name="Input 29 2 2 2 2 2 2" xfId="43945"/>
    <cellStyle name="Input 29 2 2 2 2 2 3" xfId="47854"/>
    <cellStyle name="Input 29 2 2 2 2 2 4" xfId="36036"/>
    <cellStyle name="Input 29 2 2 2 2 3" xfId="19735"/>
    <cellStyle name="Input 29 2 2 2 2 3 2" xfId="45257"/>
    <cellStyle name="Input 29 2 2 2 2 3 3" xfId="49163"/>
    <cellStyle name="Input 29 2 2 2 2 3 4" xfId="37248"/>
    <cellStyle name="Input 29 2 2 2 2 4" xfId="19244"/>
    <cellStyle name="Input 29 2 2 2 2 4 2" xfId="44766"/>
    <cellStyle name="Input 29 2 2 2 2 4 3" xfId="48672"/>
    <cellStyle name="Input 29 2 2 2 2 4 4" xfId="36808"/>
    <cellStyle name="Input 29 2 2 2 2 5" xfId="20826"/>
    <cellStyle name="Input 29 2 2 2 2 5 2" xfId="46348"/>
    <cellStyle name="Input 29 2 2 2 2 5 3" xfId="50254"/>
    <cellStyle name="Input 29 2 2 2 2 5 4" xfId="38218"/>
    <cellStyle name="Input 29 2 2 2 2 6" xfId="21479"/>
    <cellStyle name="Input 29 2 2 2 2 6 2" xfId="47001"/>
    <cellStyle name="Input 29 2 2 2 2 6 3" xfId="50907"/>
    <cellStyle name="Input 29 2 2 2 2 7" xfId="40804"/>
    <cellStyle name="Input 29 2 2 2 2 8" xfId="39471"/>
    <cellStyle name="Input 29 2 2 2 3" xfId="10921"/>
    <cellStyle name="Input 29 2 2 2 3 2" xfId="18708"/>
    <cellStyle name="Input 29 2 2 2 3 2 2" xfId="44240"/>
    <cellStyle name="Input 29 2 2 2 3 2 3" xfId="48149"/>
    <cellStyle name="Input 29 2 2 2 3 2 4" xfId="36331"/>
    <cellStyle name="Input 29 2 2 2 3 3" xfId="19869"/>
    <cellStyle name="Input 29 2 2 2 3 3 2" xfId="45391"/>
    <cellStyle name="Input 29 2 2 2 3 3 3" xfId="49297"/>
    <cellStyle name="Input 29 2 2 2 3 3 4" xfId="37369"/>
    <cellStyle name="Input 29 2 2 2 3 4" xfId="20227"/>
    <cellStyle name="Input 29 2 2 2 3 4 2" xfId="45749"/>
    <cellStyle name="Input 29 2 2 2 3 4 3" xfId="49655"/>
    <cellStyle name="Input 29 2 2 2 3 4 4" xfId="37686"/>
    <cellStyle name="Input 29 2 2 2 3 5" xfId="21121"/>
    <cellStyle name="Input 29 2 2 2 3 5 2" xfId="46643"/>
    <cellStyle name="Input 29 2 2 2 3 5 3" xfId="50549"/>
    <cellStyle name="Input 29 2 2 2 3 5 4" xfId="38513"/>
    <cellStyle name="Input 29 2 2 2 3 6" xfId="21774"/>
    <cellStyle name="Input 29 2 2 2 3 6 2" xfId="47296"/>
    <cellStyle name="Input 29 2 2 2 3 6 3" xfId="51202"/>
    <cellStyle name="Input 29 2 2 2 3 7" xfId="41099"/>
    <cellStyle name="Input 29 2 2 2 3 8" xfId="40554"/>
    <cellStyle name="Input 29 2 2 2 4" xfId="14881"/>
    <cellStyle name="Input 29 2 2 2 4 2" xfId="42979"/>
    <cellStyle name="Input 29 2 2 2 4 3" xfId="43272"/>
    <cellStyle name="Input 29 2 2 2 4 4" xfId="32502"/>
    <cellStyle name="Input 29 2 2 2 5" xfId="11299"/>
    <cellStyle name="Input 29 2 2 2 5 2" xfId="41326"/>
    <cellStyle name="Input 29 2 2 2 5 3" xfId="42696"/>
    <cellStyle name="Input 29 2 2 2 5 4" xfId="29013"/>
    <cellStyle name="Input 29 2 2 2 6" xfId="19807"/>
    <cellStyle name="Input 29 2 2 2 6 2" xfId="45329"/>
    <cellStyle name="Input 29 2 2 2 6 3" xfId="49235"/>
    <cellStyle name="Input 29 2 2 2 6 4" xfId="37314"/>
    <cellStyle name="Input 29 2 2 2 7" xfId="20470"/>
    <cellStyle name="Input 29 2 2 2 7 2" xfId="45992"/>
    <cellStyle name="Input 29 2 2 2 7 3" xfId="49898"/>
    <cellStyle name="Input 29 2 2 2 7 4" xfId="37906"/>
    <cellStyle name="Input 29 2 2 2 8" xfId="12070"/>
    <cellStyle name="Input 29 2 2 2 8 2" xfId="41795"/>
    <cellStyle name="Input 29 2 2 2 8 3" xfId="40171"/>
    <cellStyle name="Input 29 2 2 2 9" xfId="39839"/>
    <cellStyle name="Input 29 2 2 3" xfId="53084"/>
    <cellStyle name="Input 29 2 3" xfId="7098"/>
    <cellStyle name="Input 29 2 3 10" xfId="39220"/>
    <cellStyle name="Input 29 2 3 2" xfId="10625"/>
    <cellStyle name="Input 29 2 3 2 2" xfId="18412"/>
    <cellStyle name="Input 29 2 3 2 2 2" xfId="43944"/>
    <cellStyle name="Input 29 2 3 2 2 3" xfId="47853"/>
    <cellStyle name="Input 29 2 3 2 2 4" xfId="36035"/>
    <cellStyle name="Input 29 2 3 2 3" xfId="11491"/>
    <cellStyle name="Input 29 2 3 2 3 2" xfId="41482"/>
    <cellStyle name="Input 29 2 3 2 3 3" xfId="43683"/>
    <cellStyle name="Input 29 2 3 2 3 4" xfId="29192"/>
    <cellStyle name="Input 29 2 3 2 4" xfId="19366"/>
    <cellStyle name="Input 29 2 3 2 4 2" xfId="44888"/>
    <cellStyle name="Input 29 2 3 2 4 3" xfId="48794"/>
    <cellStyle name="Input 29 2 3 2 4 4" xfId="36918"/>
    <cellStyle name="Input 29 2 3 2 5" xfId="20825"/>
    <cellStyle name="Input 29 2 3 2 5 2" xfId="46347"/>
    <cellStyle name="Input 29 2 3 2 5 3" xfId="50253"/>
    <cellStyle name="Input 29 2 3 2 5 4" xfId="38217"/>
    <cellStyle name="Input 29 2 3 2 6" xfId="21478"/>
    <cellStyle name="Input 29 2 3 2 6 2" xfId="47000"/>
    <cellStyle name="Input 29 2 3 2 6 3" xfId="50906"/>
    <cellStyle name="Input 29 2 3 2 7" xfId="40803"/>
    <cellStyle name="Input 29 2 3 2 8" xfId="40359"/>
    <cellStyle name="Input 29 2 3 3" xfId="10920"/>
    <cellStyle name="Input 29 2 3 3 2" xfId="18707"/>
    <cellStyle name="Input 29 2 3 3 2 2" xfId="44239"/>
    <cellStyle name="Input 29 2 3 3 2 3" xfId="48148"/>
    <cellStyle name="Input 29 2 3 3 2 4" xfId="36330"/>
    <cellStyle name="Input 29 2 3 3 3" xfId="19260"/>
    <cellStyle name="Input 29 2 3 3 3 2" xfId="44782"/>
    <cellStyle name="Input 29 2 3 3 3 3" xfId="48688"/>
    <cellStyle name="Input 29 2 3 3 3 4" xfId="36824"/>
    <cellStyle name="Input 29 2 3 3 4" xfId="19029"/>
    <cellStyle name="Input 29 2 3 3 4 2" xfId="44551"/>
    <cellStyle name="Input 29 2 3 3 4 3" xfId="48457"/>
    <cellStyle name="Input 29 2 3 3 4 4" xfId="36619"/>
    <cellStyle name="Input 29 2 3 3 5" xfId="21120"/>
    <cellStyle name="Input 29 2 3 3 5 2" xfId="46642"/>
    <cellStyle name="Input 29 2 3 3 5 3" xfId="50548"/>
    <cellStyle name="Input 29 2 3 3 5 4" xfId="38512"/>
    <cellStyle name="Input 29 2 3 3 6" xfId="21773"/>
    <cellStyle name="Input 29 2 3 3 6 2" xfId="47295"/>
    <cellStyle name="Input 29 2 3 3 6 3" xfId="51201"/>
    <cellStyle name="Input 29 2 3 3 7" xfId="41098"/>
    <cellStyle name="Input 29 2 3 3 8" xfId="43695"/>
    <cellStyle name="Input 29 2 3 4" xfId="14880"/>
    <cellStyle name="Input 29 2 3 4 2" xfId="42978"/>
    <cellStyle name="Input 29 2 3 4 3" xfId="41918"/>
    <cellStyle name="Input 29 2 3 4 4" xfId="32501"/>
    <cellStyle name="Input 29 2 3 5" xfId="12466"/>
    <cellStyle name="Input 29 2 3 5 2" xfId="41968"/>
    <cellStyle name="Input 29 2 3 5 3" xfId="40034"/>
    <cellStyle name="Input 29 2 3 5 4" xfId="30123"/>
    <cellStyle name="Input 29 2 3 6" xfId="19482"/>
    <cellStyle name="Input 29 2 3 6 2" xfId="45004"/>
    <cellStyle name="Input 29 2 3 6 3" xfId="48910"/>
    <cellStyle name="Input 29 2 3 6 4" xfId="37022"/>
    <cellStyle name="Input 29 2 3 7" xfId="20318"/>
    <cellStyle name="Input 29 2 3 7 2" xfId="45840"/>
    <cellStyle name="Input 29 2 3 7 3" xfId="49746"/>
    <cellStyle name="Input 29 2 3 7 4" xfId="37768"/>
    <cellStyle name="Input 29 2 3 8" xfId="20367"/>
    <cellStyle name="Input 29 2 3 8 2" xfId="45889"/>
    <cellStyle name="Input 29 2 3 8 3" xfId="49795"/>
    <cellStyle name="Input 29 2 3 9" xfId="39838"/>
    <cellStyle name="Input 29 2 4" xfId="53083"/>
    <cellStyle name="Input 29 2_Sheet1" xfId="1931"/>
    <cellStyle name="Input 29 3" xfId="1932"/>
    <cellStyle name="Input 29 3 2" xfId="7100"/>
    <cellStyle name="Input 29 3 2 10" xfId="47524"/>
    <cellStyle name="Input 29 3 2 2" xfId="10627"/>
    <cellStyle name="Input 29 3 2 2 2" xfId="18414"/>
    <cellStyle name="Input 29 3 2 2 2 2" xfId="43946"/>
    <cellStyle name="Input 29 3 2 2 2 3" xfId="47855"/>
    <cellStyle name="Input 29 3 2 2 2 4" xfId="36037"/>
    <cellStyle name="Input 29 3 2 2 3" xfId="20152"/>
    <cellStyle name="Input 29 3 2 2 3 2" xfId="45674"/>
    <cellStyle name="Input 29 3 2 2 3 3" xfId="49580"/>
    <cellStyle name="Input 29 3 2 2 3 4" xfId="37624"/>
    <cellStyle name="Input 29 3 2 2 4" xfId="11530"/>
    <cellStyle name="Input 29 3 2 2 4 2" xfId="41521"/>
    <cellStyle name="Input 29 3 2 2 4 3" xfId="42790"/>
    <cellStyle name="Input 29 3 2 2 4 4" xfId="29230"/>
    <cellStyle name="Input 29 3 2 2 5" xfId="20827"/>
    <cellStyle name="Input 29 3 2 2 5 2" xfId="46349"/>
    <cellStyle name="Input 29 3 2 2 5 3" xfId="50255"/>
    <cellStyle name="Input 29 3 2 2 5 4" xfId="38219"/>
    <cellStyle name="Input 29 3 2 2 6" xfId="21480"/>
    <cellStyle name="Input 29 3 2 2 6 2" xfId="47002"/>
    <cellStyle name="Input 29 3 2 2 6 3" xfId="50908"/>
    <cellStyle name="Input 29 3 2 2 7" xfId="40805"/>
    <cellStyle name="Input 29 3 2 2 8" xfId="42045"/>
    <cellStyle name="Input 29 3 2 3" xfId="10922"/>
    <cellStyle name="Input 29 3 2 3 2" xfId="18709"/>
    <cellStyle name="Input 29 3 2 3 2 2" xfId="44241"/>
    <cellStyle name="Input 29 3 2 3 2 3" xfId="48150"/>
    <cellStyle name="Input 29 3 2 3 2 4" xfId="36332"/>
    <cellStyle name="Input 29 3 2 3 3" xfId="19092"/>
    <cellStyle name="Input 29 3 2 3 3 2" xfId="44614"/>
    <cellStyle name="Input 29 3 2 3 3 3" xfId="48520"/>
    <cellStyle name="Input 29 3 2 3 3 4" xfId="36673"/>
    <cellStyle name="Input 29 3 2 3 4" xfId="19370"/>
    <cellStyle name="Input 29 3 2 3 4 2" xfId="44892"/>
    <cellStyle name="Input 29 3 2 3 4 3" xfId="48798"/>
    <cellStyle name="Input 29 3 2 3 4 4" xfId="36922"/>
    <cellStyle name="Input 29 3 2 3 5" xfId="21122"/>
    <cellStyle name="Input 29 3 2 3 5 2" xfId="46644"/>
    <cellStyle name="Input 29 3 2 3 5 3" xfId="50550"/>
    <cellStyle name="Input 29 3 2 3 5 4" xfId="38514"/>
    <cellStyle name="Input 29 3 2 3 6" xfId="21775"/>
    <cellStyle name="Input 29 3 2 3 6 2" xfId="47297"/>
    <cellStyle name="Input 29 3 2 3 6 3" xfId="51203"/>
    <cellStyle name="Input 29 3 2 3 7" xfId="41100"/>
    <cellStyle name="Input 29 3 2 3 8" xfId="39665"/>
    <cellStyle name="Input 29 3 2 4" xfId="14882"/>
    <cellStyle name="Input 29 3 2 4 2" xfId="42980"/>
    <cellStyle name="Input 29 3 2 4 3" xfId="40131"/>
    <cellStyle name="Input 29 3 2 4 4" xfId="32503"/>
    <cellStyle name="Input 29 3 2 5" xfId="11298"/>
    <cellStyle name="Input 29 3 2 5 2" xfId="41325"/>
    <cellStyle name="Input 29 3 2 5 3" xfId="39659"/>
    <cellStyle name="Input 29 3 2 5 4" xfId="29012"/>
    <cellStyle name="Input 29 3 2 6" xfId="19779"/>
    <cellStyle name="Input 29 3 2 6 2" xfId="45301"/>
    <cellStyle name="Input 29 3 2 6 3" xfId="49207"/>
    <cellStyle name="Input 29 3 2 6 4" xfId="37289"/>
    <cellStyle name="Input 29 3 2 7" xfId="19219"/>
    <cellStyle name="Input 29 3 2 7 2" xfId="44741"/>
    <cellStyle name="Input 29 3 2 7 3" xfId="48647"/>
    <cellStyle name="Input 29 3 2 7 4" xfId="36787"/>
    <cellStyle name="Input 29 3 2 8" xfId="18909"/>
    <cellStyle name="Input 29 3 2 8 2" xfId="44431"/>
    <cellStyle name="Input 29 3 2 8 3" xfId="48337"/>
    <cellStyle name="Input 29 3 2 9" xfId="39840"/>
    <cellStyle name="Input 29 3 3" xfId="53085"/>
    <cellStyle name="Input 29 4" xfId="7097"/>
    <cellStyle name="Input 29 4 10" xfId="39221"/>
    <cellStyle name="Input 29 4 11" xfId="53086"/>
    <cellStyle name="Input 29 4 2" xfId="10624"/>
    <cellStyle name="Input 29 4 2 2" xfId="18411"/>
    <cellStyle name="Input 29 4 2 2 2" xfId="43943"/>
    <cellStyle name="Input 29 4 2 2 3" xfId="47852"/>
    <cellStyle name="Input 29 4 2 2 4" xfId="36034"/>
    <cellStyle name="Input 29 4 2 3" xfId="19733"/>
    <cellStyle name="Input 29 4 2 3 2" xfId="45255"/>
    <cellStyle name="Input 29 4 2 3 3" xfId="49161"/>
    <cellStyle name="Input 29 4 2 3 4" xfId="37246"/>
    <cellStyle name="Input 29 4 2 4" xfId="12687"/>
    <cellStyle name="Input 29 4 2 4 2" xfId="42147"/>
    <cellStyle name="Input 29 4 2 4 3" xfId="43448"/>
    <cellStyle name="Input 29 4 2 4 4" xfId="30334"/>
    <cellStyle name="Input 29 4 2 5" xfId="20824"/>
    <cellStyle name="Input 29 4 2 5 2" xfId="46346"/>
    <cellStyle name="Input 29 4 2 5 3" xfId="50252"/>
    <cellStyle name="Input 29 4 2 5 4" xfId="38216"/>
    <cellStyle name="Input 29 4 2 6" xfId="21477"/>
    <cellStyle name="Input 29 4 2 6 2" xfId="46999"/>
    <cellStyle name="Input 29 4 2 6 3" xfId="50905"/>
    <cellStyle name="Input 29 4 2 7" xfId="40802"/>
    <cellStyle name="Input 29 4 2 8" xfId="43496"/>
    <cellStyle name="Input 29 4 3" xfId="10919"/>
    <cellStyle name="Input 29 4 3 2" xfId="18706"/>
    <cellStyle name="Input 29 4 3 2 2" xfId="44238"/>
    <cellStyle name="Input 29 4 3 2 3" xfId="48147"/>
    <cellStyle name="Input 29 4 3 2 4" xfId="36329"/>
    <cellStyle name="Input 29 4 3 3" xfId="19994"/>
    <cellStyle name="Input 29 4 3 3 2" xfId="45516"/>
    <cellStyle name="Input 29 4 3 3 3" xfId="49422"/>
    <cellStyle name="Input 29 4 3 3 4" xfId="37478"/>
    <cellStyle name="Input 29 4 3 4" xfId="20229"/>
    <cellStyle name="Input 29 4 3 4 2" xfId="45751"/>
    <cellStyle name="Input 29 4 3 4 3" xfId="49657"/>
    <cellStyle name="Input 29 4 3 4 4" xfId="37688"/>
    <cellStyle name="Input 29 4 3 5" xfId="21119"/>
    <cellStyle name="Input 29 4 3 5 2" xfId="46641"/>
    <cellStyle name="Input 29 4 3 5 3" xfId="50547"/>
    <cellStyle name="Input 29 4 3 5 4" xfId="38511"/>
    <cellStyle name="Input 29 4 3 6" xfId="21772"/>
    <cellStyle name="Input 29 4 3 6 2" xfId="47294"/>
    <cellStyle name="Input 29 4 3 6 3" xfId="51200"/>
    <cellStyle name="Input 29 4 3 7" xfId="41097"/>
    <cellStyle name="Input 29 4 3 8" xfId="42806"/>
    <cellStyle name="Input 29 4 4" xfId="14879"/>
    <cellStyle name="Input 29 4 4 2" xfId="42977"/>
    <cellStyle name="Input 29 4 4 3" xfId="39403"/>
    <cellStyle name="Input 29 4 4 4" xfId="32500"/>
    <cellStyle name="Input 29 4 5" xfId="11297"/>
    <cellStyle name="Input 29 4 5 2" xfId="41324"/>
    <cellStyle name="Input 29 4 5 3" xfId="40548"/>
    <cellStyle name="Input 29 4 5 4" xfId="29011"/>
    <cellStyle name="Input 29 4 6" xfId="13894"/>
    <cellStyle name="Input 29 4 6 2" xfId="42610"/>
    <cellStyle name="Input 29 4 6 3" xfId="40401"/>
    <cellStyle name="Input 29 4 6 4" xfId="31519"/>
    <cellStyle name="Input 29 4 7" xfId="20049"/>
    <cellStyle name="Input 29 4 7 2" xfId="45571"/>
    <cellStyle name="Input 29 4 7 3" xfId="49477"/>
    <cellStyle name="Input 29 4 7 4" xfId="37530"/>
    <cellStyle name="Input 29 4 8" xfId="20274"/>
    <cellStyle name="Input 29 4 8 2" xfId="45796"/>
    <cellStyle name="Input 29 4 8 3" xfId="49702"/>
    <cellStyle name="Input 29 4 9" xfId="39837"/>
    <cellStyle name="Input 29 5" xfId="22450"/>
    <cellStyle name="Input 29 6" xfId="22901"/>
    <cellStyle name="Input 29 7" xfId="53082"/>
    <cellStyle name="Input 29_Sheet1" xfId="1933"/>
    <cellStyle name="Input 3" xfId="107"/>
    <cellStyle name="Input 3 10" xfId="1935"/>
    <cellStyle name="Input 3 10 2" xfId="7102"/>
    <cellStyle name="Input 3 10 2 10" xfId="39219"/>
    <cellStyle name="Input 3 10 2 2" xfId="10629"/>
    <cellStyle name="Input 3 10 2 2 2" xfId="18416"/>
    <cellStyle name="Input 3 10 2 2 2 2" xfId="43948"/>
    <cellStyle name="Input 3 10 2 2 2 3" xfId="47857"/>
    <cellStyle name="Input 3 10 2 2 2 4" xfId="36039"/>
    <cellStyle name="Input 3 10 2 2 3" xfId="20018"/>
    <cellStyle name="Input 3 10 2 2 3 2" xfId="45540"/>
    <cellStyle name="Input 3 10 2 2 3 3" xfId="49446"/>
    <cellStyle name="Input 3 10 2 2 3 4" xfId="37502"/>
    <cellStyle name="Input 3 10 2 2 4" xfId="11166"/>
    <cellStyle name="Input 3 10 2 2 4 2" xfId="41269"/>
    <cellStyle name="Input 3 10 2 2 4 3" xfId="40053"/>
    <cellStyle name="Input 3 10 2 2 4 4" xfId="28880"/>
    <cellStyle name="Input 3 10 2 2 5" xfId="20829"/>
    <cellStyle name="Input 3 10 2 2 5 2" xfId="46351"/>
    <cellStyle name="Input 3 10 2 2 5 3" xfId="50257"/>
    <cellStyle name="Input 3 10 2 2 5 4" xfId="38221"/>
    <cellStyle name="Input 3 10 2 2 6" xfId="21482"/>
    <cellStyle name="Input 3 10 2 2 6 2" xfId="47004"/>
    <cellStyle name="Input 3 10 2 2 6 3" xfId="50910"/>
    <cellStyle name="Input 3 10 2 2 7" xfId="40807"/>
    <cellStyle name="Input 3 10 2 2 8" xfId="40226"/>
    <cellStyle name="Input 3 10 2 3" xfId="10924"/>
    <cellStyle name="Input 3 10 2 3 2" xfId="18711"/>
    <cellStyle name="Input 3 10 2 3 2 2" xfId="44243"/>
    <cellStyle name="Input 3 10 2 3 2 3" xfId="48152"/>
    <cellStyle name="Input 3 10 2 3 2 4" xfId="36334"/>
    <cellStyle name="Input 3 10 2 3 3" xfId="11523"/>
    <cellStyle name="Input 3 10 2 3 3 2" xfId="41514"/>
    <cellStyle name="Input 3 10 2 3 3 3" xfId="43322"/>
    <cellStyle name="Input 3 10 2 3 3 4" xfId="29224"/>
    <cellStyle name="Input 3 10 2 3 4" xfId="11839"/>
    <cellStyle name="Input 3 10 2 3 4 2" xfId="41737"/>
    <cellStyle name="Input 3 10 2 3 4 3" xfId="43460"/>
    <cellStyle name="Input 3 10 2 3 4 4" xfId="29509"/>
    <cellStyle name="Input 3 10 2 3 5" xfId="21124"/>
    <cellStyle name="Input 3 10 2 3 5 2" xfId="46646"/>
    <cellStyle name="Input 3 10 2 3 5 3" xfId="50552"/>
    <cellStyle name="Input 3 10 2 3 5 4" xfId="38516"/>
    <cellStyle name="Input 3 10 2 3 6" xfId="21777"/>
    <cellStyle name="Input 3 10 2 3 6 2" xfId="47299"/>
    <cellStyle name="Input 3 10 2 3 6 3" xfId="51205"/>
    <cellStyle name="Input 3 10 2 3 7" xfId="41102"/>
    <cellStyle name="Input 3 10 2 3 8" xfId="43591"/>
    <cellStyle name="Input 3 10 2 4" xfId="14884"/>
    <cellStyle name="Input 3 10 2 4 2" xfId="42982"/>
    <cellStyle name="Input 3 10 2 4 3" xfId="39033"/>
    <cellStyle name="Input 3 10 2 4 4" xfId="32505"/>
    <cellStyle name="Input 3 10 2 5" xfId="13134"/>
    <cellStyle name="Input 3 10 2 5 2" xfId="42336"/>
    <cellStyle name="Input 3 10 2 5 3" xfId="40150"/>
    <cellStyle name="Input 3 10 2 5 4" xfId="30769"/>
    <cellStyle name="Input 3 10 2 6" xfId="13299"/>
    <cellStyle name="Input 3 10 2 6 2" xfId="42450"/>
    <cellStyle name="Input 3 10 2 6 3" xfId="42520"/>
    <cellStyle name="Input 3 10 2 6 4" xfId="30926"/>
    <cellStyle name="Input 3 10 2 7" xfId="20519"/>
    <cellStyle name="Input 3 10 2 7 2" xfId="46041"/>
    <cellStyle name="Input 3 10 2 7 3" xfId="49947"/>
    <cellStyle name="Input 3 10 2 7 4" xfId="37934"/>
    <cellStyle name="Input 3 10 2 8" xfId="18963"/>
    <cellStyle name="Input 3 10 2 8 2" xfId="44485"/>
    <cellStyle name="Input 3 10 2 8 3" xfId="48391"/>
    <cellStyle name="Input 3 10 2 9" xfId="39842"/>
    <cellStyle name="Input 3 10 3" xfId="53088"/>
    <cellStyle name="Input 3 11" xfId="1936"/>
    <cellStyle name="Input 3 11 2" xfId="7103"/>
    <cellStyle name="Input 3 11 2 10" xfId="39218"/>
    <cellStyle name="Input 3 11 2 2" xfId="10630"/>
    <cellStyle name="Input 3 11 2 2 2" xfId="18417"/>
    <cellStyle name="Input 3 11 2 2 2 2" xfId="43949"/>
    <cellStyle name="Input 3 11 2 2 2 3" xfId="47858"/>
    <cellStyle name="Input 3 11 2 2 2 4" xfId="36040"/>
    <cellStyle name="Input 3 11 2 2 3" xfId="19284"/>
    <cellStyle name="Input 3 11 2 2 3 2" xfId="44806"/>
    <cellStyle name="Input 3 11 2 2 3 3" xfId="48712"/>
    <cellStyle name="Input 3 11 2 2 3 4" xfId="36848"/>
    <cellStyle name="Input 3 11 2 2 4" xfId="18915"/>
    <cellStyle name="Input 3 11 2 2 4 2" xfId="44437"/>
    <cellStyle name="Input 3 11 2 2 4 3" xfId="48343"/>
    <cellStyle name="Input 3 11 2 2 4 4" xfId="36529"/>
    <cellStyle name="Input 3 11 2 2 5" xfId="20830"/>
    <cellStyle name="Input 3 11 2 2 5 2" xfId="46352"/>
    <cellStyle name="Input 3 11 2 2 5 3" xfId="50258"/>
    <cellStyle name="Input 3 11 2 2 5 4" xfId="38222"/>
    <cellStyle name="Input 3 11 2 2 6" xfId="21483"/>
    <cellStyle name="Input 3 11 2 2 6 2" xfId="47005"/>
    <cellStyle name="Input 3 11 2 2 6 3" xfId="50911"/>
    <cellStyle name="Input 3 11 2 2 7" xfId="40808"/>
    <cellStyle name="Input 3 11 2 2 8" xfId="39366"/>
    <cellStyle name="Input 3 11 2 3" xfId="10925"/>
    <cellStyle name="Input 3 11 2 3 2" xfId="18712"/>
    <cellStyle name="Input 3 11 2 3 2 2" xfId="44244"/>
    <cellStyle name="Input 3 11 2 3 2 3" xfId="48153"/>
    <cellStyle name="Input 3 11 2 3 2 4" xfId="36335"/>
    <cellStyle name="Input 3 11 2 3 3" xfId="13347"/>
    <cellStyle name="Input 3 11 2 3 3 2" xfId="42498"/>
    <cellStyle name="Input 3 11 2 3 3 3" xfId="42762"/>
    <cellStyle name="Input 3 11 2 3 3 4" xfId="30973"/>
    <cellStyle name="Input 3 11 2 3 4" xfId="20344"/>
    <cellStyle name="Input 3 11 2 3 4 2" xfId="45866"/>
    <cellStyle name="Input 3 11 2 3 4 3" xfId="49772"/>
    <cellStyle name="Input 3 11 2 3 4 4" xfId="37786"/>
    <cellStyle name="Input 3 11 2 3 5" xfId="21125"/>
    <cellStyle name="Input 3 11 2 3 5 2" xfId="46647"/>
    <cellStyle name="Input 3 11 2 3 5 3" xfId="50553"/>
    <cellStyle name="Input 3 11 2 3 5 4" xfId="38517"/>
    <cellStyle name="Input 3 11 2 3 6" xfId="21778"/>
    <cellStyle name="Input 3 11 2 3 6 2" xfId="47300"/>
    <cellStyle name="Input 3 11 2 3 6 3" xfId="51206"/>
    <cellStyle name="Input 3 11 2 3 7" xfId="41103"/>
    <cellStyle name="Input 3 11 2 3 8" xfId="40449"/>
    <cellStyle name="Input 3 11 2 4" xfId="14885"/>
    <cellStyle name="Input 3 11 2 4 2" xfId="42983"/>
    <cellStyle name="Input 3 11 2 4 3" xfId="47554"/>
    <cellStyle name="Input 3 11 2 4 4" xfId="32506"/>
    <cellStyle name="Input 3 11 2 5" xfId="13135"/>
    <cellStyle name="Input 3 11 2 5 2" xfId="42337"/>
    <cellStyle name="Input 3 11 2 5 3" xfId="39273"/>
    <cellStyle name="Input 3 11 2 5 4" xfId="30770"/>
    <cellStyle name="Input 3 11 2 6" xfId="11357"/>
    <cellStyle name="Input 3 11 2 6 2" xfId="41373"/>
    <cellStyle name="Input 3 11 2 6 3" xfId="40544"/>
    <cellStyle name="Input 3 11 2 6 4" xfId="29066"/>
    <cellStyle name="Input 3 11 2 7" xfId="20459"/>
    <cellStyle name="Input 3 11 2 7 2" xfId="45981"/>
    <cellStyle name="Input 3 11 2 7 3" xfId="49887"/>
    <cellStyle name="Input 3 11 2 7 4" xfId="37898"/>
    <cellStyle name="Input 3 11 2 8" xfId="20600"/>
    <cellStyle name="Input 3 11 2 8 2" xfId="46122"/>
    <cellStyle name="Input 3 11 2 8 3" xfId="50028"/>
    <cellStyle name="Input 3 11 2 9" xfId="39843"/>
    <cellStyle name="Input 3 11 3" xfId="53089"/>
    <cellStyle name="Input 3 12" xfId="1937"/>
    <cellStyle name="Input 3 12 2" xfId="7104"/>
    <cellStyle name="Input 3 12 2 10" xfId="39217"/>
    <cellStyle name="Input 3 12 2 2" xfId="10631"/>
    <cellStyle name="Input 3 12 2 2 2" xfId="18418"/>
    <cellStyle name="Input 3 12 2 2 2 2" xfId="43950"/>
    <cellStyle name="Input 3 12 2 2 2 3" xfId="47859"/>
    <cellStyle name="Input 3 12 2 2 2 4" xfId="36041"/>
    <cellStyle name="Input 3 12 2 2 3" xfId="19893"/>
    <cellStyle name="Input 3 12 2 2 3 2" xfId="45415"/>
    <cellStyle name="Input 3 12 2 2 3 3" xfId="49321"/>
    <cellStyle name="Input 3 12 2 2 3 4" xfId="37393"/>
    <cellStyle name="Input 3 12 2 2 4" xfId="11433"/>
    <cellStyle name="Input 3 12 2 2 4 2" xfId="41429"/>
    <cellStyle name="Input 3 12 2 2 4 3" xfId="39332"/>
    <cellStyle name="Input 3 12 2 2 4 4" xfId="29139"/>
    <cellStyle name="Input 3 12 2 2 5" xfId="20831"/>
    <cellStyle name="Input 3 12 2 2 5 2" xfId="46353"/>
    <cellStyle name="Input 3 12 2 2 5 3" xfId="50259"/>
    <cellStyle name="Input 3 12 2 2 5 4" xfId="38223"/>
    <cellStyle name="Input 3 12 2 2 6" xfId="21484"/>
    <cellStyle name="Input 3 12 2 2 6 2" xfId="47006"/>
    <cellStyle name="Input 3 12 2 2 6 3" xfId="50912"/>
    <cellStyle name="Input 3 12 2 2 7" xfId="40809"/>
    <cellStyle name="Input 3 12 2 2 8" xfId="39169"/>
    <cellStyle name="Input 3 12 2 3" xfId="10926"/>
    <cellStyle name="Input 3 12 2 3 2" xfId="18713"/>
    <cellStyle name="Input 3 12 2 3 2 2" xfId="44245"/>
    <cellStyle name="Input 3 12 2 3 2 3" xfId="48154"/>
    <cellStyle name="Input 3 12 2 3 2 4" xfId="36336"/>
    <cellStyle name="Input 3 12 2 3 3" xfId="19571"/>
    <cellStyle name="Input 3 12 2 3 3 2" xfId="45093"/>
    <cellStyle name="Input 3 12 2 3 3 3" xfId="48999"/>
    <cellStyle name="Input 3 12 2 3 3 4" xfId="37097"/>
    <cellStyle name="Input 3 12 2 3 4" xfId="18924"/>
    <cellStyle name="Input 3 12 2 3 4 2" xfId="44446"/>
    <cellStyle name="Input 3 12 2 3 4 3" xfId="48352"/>
    <cellStyle name="Input 3 12 2 3 4 4" xfId="36537"/>
    <cellStyle name="Input 3 12 2 3 5" xfId="21126"/>
    <cellStyle name="Input 3 12 2 3 5 2" xfId="46648"/>
    <cellStyle name="Input 3 12 2 3 5 3" xfId="50554"/>
    <cellStyle name="Input 3 12 2 3 5 4" xfId="38518"/>
    <cellStyle name="Input 3 12 2 3 6" xfId="21779"/>
    <cellStyle name="Input 3 12 2 3 6 2" xfId="47301"/>
    <cellStyle name="Input 3 12 2 3 6 3" xfId="51207"/>
    <cellStyle name="Input 3 12 2 3 7" xfId="41104"/>
    <cellStyle name="Input 3 12 2 3 8" xfId="39559"/>
    <cellStyle name="Input 3 12 2 4" xfId="14886"/>
    <cellStyle name="Input 3 12 2 4 2" xfId="42984"/>
    <cellStyle name="Input 3 12 2 4 3" xfId="39032"/>
    <cellStyle name="Input 3 12 2 4 4" xfId="32507"/>
    <cellStyle name="Input 3 12 2 5" xfId="13136"/>
    <cellStyle name="Input 3 12 2 5 2" xfId="42338"/>
    <cellStyle name="Input 3 12 2 5 3" xfId="39075"/>
    <cellStyle name="Input 3 12 2 5 4" xfId="30771"/>
    <cellStyle name="Input 3 12 2 6" xfId="20037"/>
    <cellStyle name="Input 3 12 2 6 2" xfId="45559"/>
    <cellStyle name="Input 3 12 2 6 3" xfId="49465"/>
    <cellStyle name="Input 3 12 2 6 4" xfId="37521"/>
    <cellStyle name="Input 3 12 2 7" xfId="19552"/>
    <cellStyle name="Input 3 12 2 7 2" xfId="45074"/>
    <cellStyle name="Input 3 12 2 7 3" xfId="48980"/>
    <cellStyle name="Input 3 12 2 7 4" xfId="37079"/>
    <cellStyle name="Input 3 12 2 8" xfId="11325"/>
    <cellStyle name="Input 3 12 2 8 2" xfId="41350"/>
    <cellStyle name="Input 3 12 2 8 3" xfId="40194"/>
    <cellStyle name="Input 3 12 2 9" xfId="39844"/>
    <cellStyle name="Input 3 12 3" xfId="53090"/>
    <cellStyle name="Input 3 13" xfId="1938"/>
    <cellStyle name="Input 3 13 2" xfId="7105"/>
    <cellStyle name="Input 3 13 2 10" xfId="39216"/>
    <cellStyle name="Input 3 13 2 2" xfId="10632"/>
    <cellStyle name="Input 3 13 2 2 2" xfId="18419"/>
    <cellStyle name="Input 3 13 2 2 2 2" xfId="43951"/>
    <cellStyle name="Input 3 13 2 2 2 3" xfId="47860"/>
    <cellStyle name="Input 3 13 2 2 2 4" xfId="36042"/>
    <cellStyle name="Input 3 13 2 2 3" xfId="19116"/>
    <cellStyle name="Input 3 13 2 2 3 2" xfId="44638"/>
    <cellStyle name="Input 3 13 2 2 3 3" xfId="48544"/>
    <cellStyle name="Input 3 13 2 2 3 4" xfId="36697"/>
    <cellStyle name="Input 3 13 2 2 4" xfId="19979"/>
    <cellStyle name="Input 3 13 2 2 4 2" xfId="45501"/>
    <cellStyle name="Input 3 13 2 2 4 3" xfId="49407"/>
    <cellStyle name="Input 3 13 2 2 4 4" xfId="37463"/>
    <cellStyle name="Input 3 13 2 2 5" xfId="20832"/>
    <cellStyle name="Input 3 13 2 2 5 2" xfId="46354"/>
    <cellStyle name="Input 3 13 2 2 5 3" xfId="50260"/>
    <cellStyle name="Input 3 13 2 2 5 4" xfId="38224"/>
    <cellStyle name="Input 3 13 2 2 6" xfId="21485"/>
    <cellStyle name="Input 3 13 2 2 6 2" xfId="47007"/>
    <cellStyle name="Input 3 13 2 2 6 3" xfId="50913"/>
    <cellStyle name="Input 3 13 2 2 7" xfId="40810"/>
    <cellStyle name="Input 3 13 2 2 8" xfId="42044"/>
    <cellStyle name="Input 3 13 2 3" xfId="10927"/>
    <cellStyle name="Input 3 13 2 3 2" xfId="18714"/>
    <cellStyle name="Input 3 13 2 3 2 2" xfId="44246"/>
    <cellStyle name="Input 3 13 2 3 2 3" xfId="48155"/>
    <cellStyle name="Input 3 13 2 3 2 4" xfId="36337"/>
    <cellStyle name="Input 3 13 2 3 3" xfId="20127"/>
    <cellStyle name="Input 3 13 2 3 3 2" xfId="45649"/>
    <cellStyle name="Input 3 13 2 3 3 3" xfId="49555"/>
    <cellStyle name="Input 3 13 2 3 3 4" xfId="37599"/>
    <cellStyle name="Input 3 13 2 3 4" xfId="11537"/>
    <cellStyle name="Input 3 13 2 3 4 2" xfId="41528"/>
    <cellStyle name="Input 3 13 2 3 4 3" xfId="39544"/>
    <cellStyle name="Input 3 13 2 3 4 4" xfId="29237"/>
    <cellStyle name="Input 3 13 2 3 5" xfId="21127"/>
    <cellStyle name="Input 3 13 2 3 5 2" xfId="46649"/>
    <cellStyle name="Input 3 13 2 3 5 3" xfId="50555"/>
    <cellStyle name="Input 3 13 2 3 5 4" xfId="38519"/>
    <cellStyle name="Input 3 13 2 3 6" xfId="21780"/>
    <cellStyle name="Input 3 13 2 3 6 2" xfId="47302"/>
    <cellStyle name="Input 3 13 2 3 6 3" xfId="51208"/>
    <cellStyle name="Input 3 13 2 3 7" xfId="41105"/>
    <cellStyle name="Input 3 13 2 3 8" xfId="42567"/>
    <cellStyle name="Input 3 13 2 4" xfId="14887"/>
    <cellStyle name="Input 3 13 2 4 2" xfId="42985"/>
    <cellStyle name="Input 3 13 2 4 3" xfId="47454"/>
    <cellStyle name="Input 3 13 2 4 4" xfId="32508"/>
    <cellStyle name="Input 3 13 2 5" xfId="11300"/>
    <cellStyle name="Input 3 13 2 5 2" xfId="41327"/>
    <cellStyle name="Input 3 13 2 5 3" xfId="43584"/>
    <cellStyle name="Input 3 13 2 5 4" xfId="29014"/>
    <cellStyle name="Input 3 13 2 6" xfId="19621"/>
    <cellStyle name="Input 3 13 2 6 2" xfId="45143"/>
    <cellStyle name="Input 3 13 2 6 3" xfId="49049"/>
    <cellStyle name="Input 3 13 2 6 4" xfId="37145"/>
    <cellStyle name="Input 3 13 2 7" xfId="18985"/>
    <cellStyle name="Input 3 13 2 7 2" xfId="44507"/>
    <cellStyle name="Input 3 13 2 7 3" xfId="48413"/>
    <cellStyle name="Input 3 13 2 7 4" xfId="36593"/>
    <cellStyle name="Input 3 13 2 8" xfId="20513"/>
    <cellStyle name="Input 3 13 2 8 2" xfId="46035"/>
    <cellStyle name="Input 3 13 2 8 3" xfId="49941"/>
    <cellStyle name="Input 3 13 2 9" xfId="39845"/>
    <cellStyle name="Input 3 13 3" xfId="53091"/>
    <cellStyle name="Input 3 14" xfId="1939"/>
    <cellStyle name="Input 3 14 2" xfId="7106"/>
    <cellStyle name="Input 3 14 2 10" xfId="39215"/>
    <cellStyle name="Input 3 14 2 2" xfId="10633"/>
    <cellStyle name="Input 3 14 2 2 2" xfId="18420"/>
    <cellStyle name="Input 3 14 2 2 2 2" xfId="43952"/>
    <cellStyle name="Input 3 14 2 2 2 3" xfId="47861"/>
    <cellStyle name="Input 3 14 2 2 2 4" xfId="36043"/>
    <cellStyle name="Input 3 14 2 2 3" xfId="12619"/>
    <cellStyle name="Input 3 14 2 2 3 2" xfId="42079"/>
    <cellStyle name="Input 3 14 2 2 3 3" xfId="42777"/>
    <cellStyle name="Input 3 14 2 2 3 4" xfId="30270"/>
    <cellStyle name="Input 3 14 2 2 4" xfId="18892"/>
    <cellStyle name="Input 3 14 2 2 4 2" xfId="44414"/>
    <cellStyle name="Input 3 14 2 2 4 3" xfId="48320"/>
    <cellStyle name="Input 3 14 2 2 4 4" xfId="36511"/>
    <cellStyle name="Input 3 14 2 2 5" xfId="20833"/>
    <cellStyle name="Input 3 14 2 2 5 2" xfId="46355"/>
    <cellStyle name="Input 3 14 2 2 5 3" xfId="50261"/>
    <cellStyle name="Input 3 14 2 2 5 4" xfId="38225"/>
    <cellStyle name="Input 3 14 2 2 6" xfId="21486"/>
    <cellStyle name="Input 3 14 2 2 6 2" xfId="47008"/>
    <cellStyle name="Input 3 14 2 2 6 3" xfId="50914"/>
    <cellStyle name="Input 3 14 2 2 7" xfId="40811"/>
    <cellStyle name="Input 3 14 2 2 8" xfId="43363"/>
    <cellStyle name="Input 3 14 2 3" xfId="10928"/>
    <cellStyle name="Input 3 14 2 3 2" xfId="18715"/>
    <cellStyle name="Input 3 14 2 3 2 2" xfId="44247"/>
    <cellStyle name="Input 3 14 2 3 2 3" xfId="48156"/>
    <cellStyle name="Input 3 14 2 3 2 4" xfId="36338"/>
    <cellStyle name="Input 3 14 2 3 3" xfId="19386"/>
    <cellStyle name="Input 3 14 2 3 3 2" xfId="44908"/>
    <cellStyle name="Input 3 14 2 3 3 3" xfId="48814"/>
    <cellStyle name="Input 3 14 2 3 3 4" xfId="36937"/>
    <cellStyle name="Input 3 14 2 3 4" xfId="12649"/>
    <cellStyle name="Input 3 14 2 3 4 2" xfId="42109"/>
    <cellStyle name="Input 3 14 2 3 4 3" xfId="40310"/>
    <cellStyle name="Input 3 14 2 3 4 4" xfId="30300"/>
    <cellStyle name="Input 3 14 2 3 5" xfId="21128"/>
    <cellStyle name="Input 3 14 2 3 5 2" xfId="46650"/>
    <cellStyle name="Input 3 14 2 3 5 3" xfId="50556"/>
    <cellStyle name="Input 3 14 2 3 5 4" xfId="38520"/>
    <cellStyle name="Input 3 14 2 3 6" xfId="21781"/>
    <cellStyle name="Input 3 14 2 3 6 2" xfId="47303"/>
    <cellStyle name="Input 3 14 2 3 6 3" xfId="51209"/>
    <cellStyle name="Input 3 14 2 3 7" xfId="41106"/>
    <cellStyle name="Input 3 14 2 3 8" xfId="43480"/>
    <cellStyle name="Input 3 14 2 4" xfId="14888"/>
    <cellStyle name="Input 3 14 2 4 2" xfId="42986"/>
    <cellStyle name="Input 3 14 2 4 3" xfId="41260"/>
    <cellStyle name="Input 3 14 2 4 4" xfId="32509"/>
    <cellStyle name="Input 3 14 2 5" xfId="12017"/>
    <cellStyle name="Input 3 14 2 5 2" xfId="41754"/>
    <cellStyle name="Input 3 14 2 5 3" xfId="47478"/>
    <cellStyle name="Input 3 14 2 5 4" xfId="29685"/>
    <cellStyle name="Input 3 14 2 6" xfId="19934"/>
    <cellStyle name="Input 3 14 2 6 2" xfId="45456"/>
    <cellStyle name="Input 3 14 2 6 3" xfId="49362"/>
    <cellStyle name="Input 3 14 2 6 4" xfId="37428"/>
    <cellStyle name="Input 3 14 2 7" xfId="19813"/>
    <cellStyle name="Input 3 14 2 7 2" xfId="45335"/>
    <cellStyle name="Input 3 14 2 7 3" xfId="49241"/>
    <cellStyle name="Input 3 14 2 7 4" xfId="37317"/>
    <cellStyle name="Input 3 14 2 8" xfId="19001"/>
    <cellStyle name="Input 3 14 2 8 2" xfId="44523"/>
    <cellStyle name="Input 3 14 2 8 3" xfId="48429"/>
    <cellStyle name="Input 3 14 2 9" xfId="39846"/>
    <cellStyle name="Input 3 15" xfId="4233"/>
    <cellStyle name="Input 3 15 2" xfId="7107"/>
    <cellStyle name="Input 3 15 2 10" xfId="47573"/>
    <cellStyle name="Input 3 15 2 2" xfId="10634"/>
    <cellStyle name="Input 3 15 2 2 2" xfId="18421"/>
    <cellStyle name="Input 3 15 2 2 2 2" xfId="43953"/>
    <cellStyle name="Input 3 15 2 2 2 3" xfId="47862"/>
    <cellStyle name="Input 3 15 2 2 2 4" xfId="36044"/>
    <cellStyle name="Input 3 15 2 2 3" xfId="19597"/>
    <cellStyle name="Input 3 15 2 2 3 2" xfId="45119"/>
    <cellStyle name="Input 3 15 2 2 3 3" xfId="49025"/>
    <cellStyle name="Input 3 15 2 2 3 4" xfId="37123"/>
    <cellStyle name="Input 3 15 2 2 4" xfId="11439"/>
    <cellStyle name="Input 3 15 2 2 4 2" xfId="41430"/>
    <cellStyle name="Input 3 15 2 2 4 3" xfId="42004"/>
    <cellStyle name="Input 3 15 2 2 4 4" xfId="29145"/>
    <cellStyle name="Input 3 15 2 2 5" xfId="20834"/>
    <cellStyle name="Input 3 15 2 2 5 2" xfId="46356"/>
    <cellStyle name="Input 3 15 2 2 5 3" xfId="50262"/>
    <cellStyle name="Input 3 15 2 2 5 4" xfId="38226"/>
    <cellStyle name="Input 3 15 2 2 6" xfId="21487"/>
    <cellStyle name="Input 3 15 2 2 6 2" xfId="47009"/>
    <cellStyle name="Input 3 15 2 2 6 3" xfId="50915"/>
    <cellStyle name="Input 3 15 2 2 7" xfId="40812"/>
    <cellStyle name="Input 3 15 2 2 8" xfId="40225"/>
    <cellStyle name="Input 3 15 2 3" xfId="10929"/>
    <cellStyle name="Input 3 15 2 3 2" xfId="18716"/>
    <cellStyle name="Input 3 15 2 3 2 2" xfId="44248"/>
    <cellStyle name="Input 3 15 2 3 2 3" xfId="48157"/>
    <cellStyle name="Input 3 15 2 3 2 4" xfId="36339"/>
    <cellStyle name="Input 3 15 2 3 3" xfId="19993"/>
    <cellStyle name="Input 3 15 2 3 3 2" xfId="45515"/>
    <cellStyle name="Input 3 15 2 3 3 3" xfId="49421"/>
    <cellStyle name="Input 3 15 2 3 3 4" xfId="37477"/>
    <cellStyle name="Input 3 15 2 3 4" xfId="12081"/>
    <cellStyle name="Input 3 15 2 3 4 2" xfId="41806"/>
    <cellStyle name="Input 3 15 2 3 4 3" xfId="39114"/>
    <cellStyle name="Input 3 15 2 3 4 4" xfId="29743"/>
    <cellStyle name="Input 3 15 2 3 5" xfId="21129"/>
    <cellStyle name="Input 3 15 2 3 5 2" xfId="46651"/>
    <cellStyle name="Input 3 15 2 3 5 3" xfId="50557"/>
    <cellStyle name="Input 3 15 2 3 5 4" xfId="38521"/>
    <cellStyle name="Input 3 15 2 3 6" xfId="21782"/>
    <cellStyle name="Input 3 15 2 3 6 2" xfId="47304"/>
    <cellStyle name="Input 3 15 2 3 6 3" xfId="51210"/>
    <cellStyle name="Input 3 15 2 3 7" xfId="41107"/>
    <cellStyle name="Input 3 15 2 3 8" xfId="40343"/>
    <cellStyle name="Input 3 15 2 4" xfId="14889"/>
    <cellStyle name="Input 3 15 2 4 2" xfId="42987"/>
    <cellStyle name="Input 3 15 2 4 3" xfId="43153"/>
    <cellStyle name="Input 3 15 2 4 4" xfId="32510"/>
    <cellStyle name="Input 3 15 2 5" xfId="12018"/>
    <cellStyle name="Input 3 15 2 5 2" xfId="41755"/>
    <cellStyle name="Input 3 15 2 5 3" xfId="41328"/>
    <cellStyle name="Input 3 15 2 5 4" xfId="29686"/>
    <cellStyle name="Input 3 15 2 6" xfId="19835"/>
    <cellStyle name="Input 3 15 2 6 2" xfId="45357"/>
    <cellStyle name="Input 3 15 2 6 3" xfId="49263"/>
    <cellStyle name="Input 3 15 2 6 4" xfId="37337"/>
    <cellStyle name="Input 3 15 2 7" xfId="12124"/>
    <cellStyle name="Input 3 15 2 7 2" xfId="41849"/>
    <cellStyle name="Input 3 15 2 7 3" xfId="39090"/>
    <cellStyle name="Input 3 15 2 7 4" xfId="29783"/>
    <cellStyle name="Input 3 15 2 8" xfId="19967"/>
    <cellStyle name="Input 3 15 2 8 2" xfId="45489"/>
    <cellStyle name="Input 3 15 2 8 3" xfId="49395"/>
    <cellStyle name="Input 3 15 2 9" xfId="39847"/>
    <cellStyle name="Input 3 16" xfId="4234"/>
    <cellStyle name="Input 3 16 2" xfId="7108"/>
    <cellStyle name="Input 3 16 2 10" xfId="41696"/>
    <cellStyle name="Input 3 16 2 2" xfId="10635"/>
    <cellStyle name="Input 3 16 2 2 2" xfId="18422"/>
    <cellStyle name="Input 3 16 2 2 2 2" xfId="43954"/>
    <cellStyle name="Input 3 16 2 2 2 3" xfId="47863"/>
    <cellStyle name="Input 3 16 2 2 2 4" xfId="36045"/>
    <cellStyle name="Input 3 16 2 2 3" xfId="20151"/>
    <cellStyle name="Input 3 16 2 2 3 2" xfId="45673"/>
    <cellStyle name="Input 3 16 2 2 3 3" xfId="49579"/>
    <cellStyle name="Input 3 16 2 2 3 4" xfId="37623"/>
    <cellStyle name="Input 3 16 2 2 4" xfId="19071"/>
    <cellStyle name="Input 3 16 2 2 4 2" xfId="44593"/>
    <cellStyle name="Input 3 16 2 2 4 3" xfId="48499"/>
    <cellStyle name="Input 3 16 2 2 4 4" xfId="36653"/>
    <cellStyle name="Input 3 16 2 2 5" xfId="20835"/>
    <cellStyle name="Input 3 16 2 2 5 2" xfId="46357"/>
    <cellStyle name="Input 3 16 2 2 5 3" xfId="50263"/>
    <cellStyle name="Input 3 16 2 2 5 4" xfId="38227"/>
    <cellStyle name="Input 3 16 2 2 6" xfId="21488"/>
    <cellStyle name="Input 3 16 2 2 6 2" xfId="47010"/>
    <cellStyle name="Input 3 16 2 2 6 3" xfId="50916"/>
    <cellStyle name="Input 3 16 2 2 7" xfId="40813"/>
    <cellStyle name="Input 3 16 2 2 8" xfId="39365"/>
    <cellStyle name="Input 3 16 2 3" xfId="10930"/>
    <cellStyle name="Input 3 16 2 3 2" xfId="18717"/>
    <cellStyle name="Input 3 16 2 3 2 2" xfId="44249"/>
    <cellStyle name="Input 3 16 2 3 2 3" xfId="48158"/>
    <cellStyle name="Input 3 16 2 3 2 4" xfId="36340"/>
    <cellStyle name="Input 3 16 2 3 3" xfId="19259"/>
    <cellStyle name="Input 3 16 2 3 3 2" xfId="44781"/>
    <cellStyle name="Input 3 16 2 3 3 3" xfId="48687"/>
    <cellStyle name="Input 3 16 2 3 3 4" xfId="36823"/>
    <cellStyle name="Input 3 16 2 3 4" xfId="11652"/>
    <cellStyle name="Input 3 16 2 3 4 2" xfId="41643"/>
    <cellStyle name="Input 3 16 2 3 4 3" xfId="43315"/>
    <cellStyle name="Input 3 16 2 3 4 4" xfId="29337"/>
    <cellStyle name="Input 3 16 2 3 5" xfId="21130"/>
    <cellStyle name="Input 3 16 2 3 5 2" xfId="46652"/>
    <cellStyle name="Input 3 16 2 3 5 3" xfId="50558"/>
    <cellStyle name="Input 3 16 2 3 5 4" xfId="38522"/>
    <cellStyle name="Input 3 16 2 3 6" xfId="21783"/>
    <cellStyle name="Input 3 16 2 3 6 2" xfId="47305"/>
    <cellStyle name="Input 3 16 2 3 6 3" xfId="51211"/>
    <cellStyle name="Input 3 16 2 3 7" xfId="41108"/>
    <cellStyle name="Input 3 16 2 3 8" xfId="39455"/>
    <cellStyle name="Input 3 16 2 4" xfId="14890"/>
    <cellStyle name="Input 3 16 2 4 2" xfId="42988"/>
    <cellStyle name="Input 3 16 2 4 3" xfId="40012"/>
    <cellStyle name="Input 3 16 2 4 4" xfId="32511"/>
    <cellStyle name="Input 3 16 2 5" xfId="13138"/>
    <cellStyle name="Input 3 16 2 5 2" xfId="42340"/>
    <cellStyle name="Input 3 16 2 5 3" xfId="39270"/>
    <cellStyle name="Input 3 16 2 5 4" xfId="30773"/>
    <cellStyle name="Input 3 16 2 6" xfId="18966"/>
    <cellStyle name="Input 3 16 2 6 2" xfId="44488"/>
    <cellStyle name="Input 3 16 2 6 3" xfId="48394"/>
    <cellStyle name="Input 3 16 2 6 4" xfId="36576"/>
    <cellStyle name="Input 3 16 2 7" xfId="19630"/>
    <cellStyle name="Input 3 16 2 7 2" xfId="45152"/>
    <cellStyle name="Input 3 16 2 7 3" xfId="49058"/>
    <cellStyle name="Input 3 16 2 7 4" xfId="37152"/>
    <cellStyle name="Input 3 16 2 8" xfId="19810"/>
    <cellStyle name="Input 3 16 2 8 2" xfId="45332"/>
    <cellStyle name="Input 3 16 2 8 3" xfId="49238"/>
    <cellStyle name="Input 3 16 2 9" xfId="39848"/>
    <cellStyle name="Input 3 17" xfId="4235"/>
    <cellStyle name="Input 3 17 2" xfId="10456"/>
    <cellStyle name="Input 3 17 2 2" xfId="18243"/>
    <cellStyle name="Input 3 17 2 2 2" xfId="43775"/>
    <cellStyle name="Input 3 17 2 2 3" xfId="47684"/>
    <cellStyle name="Input 3 17 2 2 4" xfId="35866"/>
    <cellStyle name="Input 3 17 2 3" xfId="13311"/>
    <cellStyle name="Input 3 17 2 3 2" xfId="42462"/>
    <cellStyle name="Input 3 17 2 3 3" xfId="43652"/>
    <cellStyle name="Input 3 17 2 3 4" xfId="30937"/>
    <cellStyle name="Input 3 17 2 4" xfId="20292"/>
    <cellStyle name="Input 3 17 2 4 2" xfId="45814"/>
    <cellStyle name="Input 3 17 2 4 3" xfId="49720"/>
    <cellStyle name="Input 3 17 2 4 4" xfId="37744"/>
    <cellStyle name="Input 3 17 2 5" xfId="20656"/>
    <cellStyle name="Input 3 17 2 5 2" xfId="46178"/>
    <cellStyle name="Input 3 17 2 5 3" xfId="50084"/>
    <cellStyle name="Input 3 17 2 5 4" xfId="38048"/>
    <cellStyle name="Input 3 17 2 6" xfId="21309"/>
    <cellStyle name="Input 3 17 2 6 2" xfId="46831"/>
    <cellStyle name="Input 3 17 2 6 3" xfId="50737"/>
    <cellStyle name="Input 3 17 2 7" xfId="40634"/>
    <cellStyle name="Input 3 17 2 8" xfId="39689"/>
    <cellStyle name="Input 3 17 3" xfId="8459"/>
    <cellStyle name="Input 3 17 3 2" xfId="16249"/>
    <cellStyle name="Input 3 17 3 2 2" xfId="43384"/>
    <cellStyle name="Input 3 17 3 2 3" xfId="42635"/>
    <cellStyle name="Input 3 17 3 2 4" xfId="33870"/>
    <cellStyle name="Input 3 17 3 3" xfId="12122"/>
    <cellStyle name="Input 3 17 3 3 2" xfId="41847"/>
    <cellStyle name="Input 3 17 3 3 3" xfId="43145"/>
    <cellStyle name="Input 3 17 3 3 4" xfId="29781"/>
    <cellStyle name="Input 3 17 3 4" xfId="18958"/>
    <cellStyle name="Input 3 17 3 4 2" xfId="44480"/>
    <cellStyle name="Input 3 17 3 4 3" xfId="48386"/>
    <cellStyle name="Input 3 17 3 4 4" xfId="36569"/>
    <cellStyle name="Input 3 17 3 5" xfId="20489"/>
    <cellStyle name="Input 3 17 3 5 2" xfId="46011"/>
    <cellStyle name="Input 3 17 3 5 3" xfId="49917"/>
    <cellStyle name="Input 3 17 3 5 4" xfId="37918"/>
    <cellStyle name="Input 3 17 3 6" xfId="19185"/>
    <cellStyle name="Input 3 17 3 6 2" xfId="44707"/>
    <cellStyle name="Input 3 17 3 6 3" xfId="48613"/>
    <cellStyle name="Input 3 17 3 7" xfId="40246"/>
    <cellStyle name="Input 3 17 3 8" xfId="39200"/>
    <cellStyle name="Input 3 18" xfId="7101"/>
    <cellStyle name="Input 3 18 10" xfId="47599"/>
    <cellStyle name="Input 3 18 2" xfId="10628"/>
    <cellStyle name="Input 3 18 2 2" xfId="18415"/>
    <cellStyle name="Input 3 18 2 2 2" xfId="43947"/>
    <cellStyle name="Input 3 18 2 2 3" xfId="47856"/>
    <cellStyle name="Input 3 18 2 2 4" xfId="36038"/>
    <cellStyle name="Input 3 18 2 3" xfId="19411"/>
    <cellStyle name="Input 3 18 2 3 2" xfId="44933"/>
    <cellStyle name="Input 3 18 2 3 3" xfId="48839"/>
    <cellStyle name="Input 3 18 2 3 4" xfId="36962"/>
    <cellStyle name="Input 3 18 2 4" xfId="18919"/>
    <cellStyle name="Input 3 18 2 4 2" xfId="44441"/>
    <cellStyle name="Input 3 18 2 4 3" xfId="48347"/>
    <cellStyle name="Input 3 18 2 4 4" xfId="36533"/>
    <cellStyle name="Input 3 18 2 5" xfId="20828"/>
    <cellStyle name="Input 3 18 2 5 2" xfId="46350"/>
    <cellStyle name="Input 3 18 2 5 3" xfId="50256"/>
    <cellStyle name="Input 3 18 2 5 4" xfId="38220"/>
    <cellStyle name="Input 3 18 2 6" xfId="21481"/>
    <cellStyle name="Input 3 18 2 6 2" xfId="47003"/>
    <cellStyle name="Input 3 18 2 6 3" xfId="50909"/>
    <cellStyle name="Input 3 18 2 7" xfId="40806"/>
    <cellStyle name="Input 3 18 2 8" xfId="43364"/>
    <cellStyle name="Input 3 18 3" xfId="10923"/>
    <cellStyle name="Input 3 18 3 2" xfId="18710"/>
    <cellStyle name="Input 3 18 3 2 2" xfId="44242"/>
    <cellStyle name="Input 3 18 3 2 3" xfId="48151"/>
    <cellStyle name="Input 3 18 3 2 4" xfId="36333"/>
    <cellStyle name="Input 3 18 3 3" xfId="19701"/>
    <cellStyle name="Input 3 18 3 3 2" xfId="45223"/>
    <cellStyle name="Input 3 18 3 3 3" xfId="49129"/>
    <cellStyle name="Input 3 18 3 3 4" xfId="37214"/>
    <cellStyle name="Input 3 18 3 4" xfId="13252"/>
    <cellStyle name="Input 3 18 3 4 2" xfId="42405"/>
    <cellStyle name="Input 3 18 3 4 3" xfId="43654"/>
    <cellStyle name="Input 3 18 3 4 4" xfId="30883"/>
    <cellStyle name="Input 3 18 3 5" xfId="21123"/>
    <cellStyle name="Input 3 18 3 5 2" xfId="46645"/>
    <cellStyle name="Input 3 18 3 5 3" xfId="50551"/>
    <cellStyle name="Input 3 18 3 5 4" xfId="38515"/>
    <cellStyle name="Input 3 18 3 6" xfId="21776"/>
    <cellStyle name="Input 3 18 3 6 2" xfId="47298"/>
    <cellStyle name="Input 3 18 3 6 3" xfId="51204"/>
    <cellStyle name="Input 3 18 3 7" xfId="41101"/>
    <cellStyle name="Input 3 18 3 8" xfId="42702"/>
    <cellStyle name="Input 3 18 4" xfId="14883"/>
    <cellStyle name="Input 3 18 4 2" xfId="42981"/>
    <cellStyle name="Input 3 18 4 3" xfId="39245"/>
    <cellStyle name="Input 3 18 4 4" xfId="32504"/>
    <cellStyle name="Input 3 18 5" xfId="13133"/>
    <cellStyle name="Input 3 18 5 2" xfId="42335"/>
    <cellStyle name="Input 3 18 5 3" xfId="43290"/>
    <cellStyle name="Input 3 18 5 4" xfId="30768"/>
    <cellStyle name="Input 3 18 6" xfId="12316"/>
    <cellStyle name="Input 3 18 6 2" xfId="41930"/>
    <cellStyle name="Input 3 18 6 3" xfId="42674"/>
    <cellStyle name="Input 3 18 6 4" xfId="29973"/>
    <cellStyle name="Input 3 18 7" xfId="20086"/>
    <cellStyle name="Input 3 18 7 2" xfId="45608"/>
    <cellStyle name="Input 3 18 7 3" xfId="49514"/>
    <cellStyle name="Input 3 18 7 4" xfId="37561"/>
    <cellStyle name="Input 3 18 8" xfId="13893"/>
    <cellStyle name="Input 3 18 8 2" xfId="42609"/>
    <cellStyle name="Input 3 18 8 3" xfId="43540"/>
    <cellStyle name="Input 3 18 9" xfId="39841"/>
    <cellStyle name="Input 3 19" xfId="1934"/>
    <cellStyle name="Input 3 2" xfId="1940"/>
    <cellStyle name="Input 3 2 2" xfId="1941"/>
    <cellStyle name="Input 3 2 2 2" xfId="7110"/>
    <cellStyle name="Input 3 2 2 2 10" xfId="40106"/>
    <cellStyle name="Input 3 2 2 2 2" xfId="10637"/>
    <cellStyle name="Input 3 2 2 2 2 2" xfId="18424"/>
    <cellStyle name="Input 3 2 2 2 2 2 2" xfId="43956"/>
    <cellStyle name="Input 3 2 2 2 2 2 3" xfId="47865"/>
    <cellStyle name="Input 3 2 2 2 2 2 4" xfId="36047"/>
    <cellStyle name="Input 3 2 2 2 2 3" xfId="20017"/>
    <cellStyle name="Input 3 2 2 2 2 3 2" xfId="45539"/>
    <cellStyle name="Input 3 2 2 2 2 3 3" xfId="49445"/>
    <cellStyle name="Input 3 2 2 2 2 3 4" xfId="37501"/>
    <cellStyle name="Input 3 2 2 2 2 4" xfId="19441"/>
    <cellStyle name="Input 3 2 2 2 2 4 2" xfId="44963"/>
    <cellStyle name="Input 3 2 2 2 2 4 3" xfId="48869"/>
    <cellStyle name="Input 3 2 2 2 2 4 4" xfId="36988"/>
    <cellStyle name="Input 3 2 2 2 2 5" xfId="20837"/>
    <cellStyle name="Input 3 2 2 2 2 5 2" xfId="46359"/>
    <cellStyle name="Input 3 2 2 2 2 5 3" xfId="50265"/>
    <cellStyle name="Input 3 2 2 2 2 5 4" xfId="38229"/>
    <cellStyle name="Input 3 2 2 2 2 6" xfId="21490"/>
    <cellStyle name="Input 3 2 2 2 2 6 2" xfId="47012"/>
    <cellStyle name="Input 3 2 2 2 2 6 3" xfId="50918"/>
    <cellStyle name="Input 3 2 2 2 2 7" xfId="40815"/>
    <cellStyle name="Input 3 2 2 2 2 8" xfId="43362"/>
    <cellStyle name="Input 3 2 2 2 3" xfId="10932"/>
    <cellStyle name="Input 3 2 2 2 3 2" xfId="18719"/>
    <cellStyle name="Input 3 2 2 2 3 2 2" xfId="44251"/>
    <cellStyle name="Input 3 2 2 2 3 2 3" xfId="48160"/>
    <cellStyle name="Input 3 2 2 2 3 2 4" xfId="36342"/>
    <cellStyle name="Input 3 2 2 2 3 3" xfId="19091"/>
    <cellStyle name="Input 3 2 2 2 3 3 2" xfId="44613"/>
    <cellStyle name="Input 3 2 2 2 3 3 3" xfId="48519"/>
    <cellStyle name="Input 3 2 2 2 3 3 4" xfId="36672"/>
    <cellStyle name="Input 3 2 2 2 3 4" xfId="19977"/>
    <cellStyle name="Input 3 2 2 2 3 4 2" xfId="45499"/>
    <cellStyle name="Input 3 2 2 2 3 4 3" xfId="49405"/>
    <cellStyle name="Input 3 2 2 2 3 4 4" xfId="37461"/>
    <cellStyle name="Input 3 2 2 2 3 5" xfId="21132"/>
    <cellStyle name="Input 3 2 2 2 3 5 2" xfId="46654"/>
    <cellStyle name="Input 3 2 2 2 3 5 3" xfId="50560"/>
    <cellStyle name="Input 3 2 2 2 3 5 4" xfId="38524"/>
    <cellStyle name="Input 3 2 2 2 3 6" xfId="21785"/>
    <cellStyle name="Input 3 2 2 2 3 6 2" xfId="47307"/>
    <cellStyle name="Input 3 2 2 2 3 6 3" xfId="51213"/>
    <cellStyle name="Input 3 2 2 2 3 7" xfId="41110"/>
    <cellStyle name="Input 3 2 2 2 3 8" xfId="43342"/>
    <cellStyle name="Input 3 2 2 2 4" xfId="14892"/>
    <cellStyle name="Input 3 2 2 2 4 2" xfId="42990"/>
    <cellStyle name="Input 3 2 2 2 4 3" xfId="43640"/>
    <cellStyle name="Input 3 2 2 2 4 4" xfId="32513"/>
    <cellStyle name="Input 3 2 2 2 5" xfId="12467"/>
    <cellStyle name="Input 3 2 2 2 5 2" xfId="41969"/>
    <cellStyle name="Input 3 2 2 2 5 3" xfId="42778"/>
    <cellStyle name="Input 3 2 2 2 5 4" xfId="30124"/>
    <cellStyle name="Input 3 2 2 2 6" xfId="11336"/>
    <cellStyle name="Input 3 2 2 2 6 2" xfId="41355"/>
    <cellStyle name="Input 3 2 2 2 6 3" xfId="40545"/>
    <cellStyle name="Input 3 2 2 2 6 4" xfId="29048"/>
    <cellStyle name="Input 3 2 2 2 7" xfId="19553"/>
    <cellStyle name="Input 3 2 2 2 7 2" xfId="45075"/>
    <cellStyle name="Input 3 2 2 2 7 3" xfId="48981"/>
    <cellStyle name="Input 3 2 2 2 7 4" xfId="37080"/>
    <cellStyle name="Input 3 2 2 2 8" xfId="19969"/>
    <cellStyle name="Input 3 2 2 2 8 2" xfId="45491"/>
    <cellStyle name="Input 3 2 2 2 8 3" xfId="49397"/>
    <cellStyle name="Input 3 2 2 2 9" xfId="39850"/>
    <cellStyle name="Input 3 2 2 3" xfId="53093"/>
    <cellStyle name="Input 3 2 3" xfId="1942"/>
    <cellStyle name="Input 3 2 3 2" xfId="7111"/>
    <cellStyle name="Input 3 2 3 2 10" xfId="43075"/>
    <cellStyle name="Input 3 2 3 2 2" xfId="10638"/>
    <cellStyle name="Input 3 2 3 2 2 2" xfId="18425"/>
    <cellStyle name="Input 3 2 3 2 2 2 2" xfId="43957"/>
    <cellStyle name="Input 3 2 3 2 2 2 3" xfId="47866"/>
    <cellStyle name="Input 3 2 3 2 2 2 4" xfId="36048"/>
    <cellStyle name="Input 3 2 3 2 2 3" xfId="19283"/>
    <cellStyle name="Input 3 2 3 2 2 3 2" xfId="44805"/>
    <cellStyle name="Input 3 2 3 2 2 3 3" xfId="48711"/>
    <cellStyle name="Input 3 2 3 2 2 3 4" xfId="36847"/>
    <cellStyle name="Input 3 2 3 2 2 4" xfId="18914"/>
    <cellStyle name="Input 3 2 3 2 2 4 2" xfId="44436"/>
    <cellStyle name="Input 3 2 3 2 2 4 3" xfId="48342"/>
    <cellStyle name="Input 3 2 3 2 2 4 4" xfId="36528"/>
    <cellStyle name="Input 3 2 3 2 2 5" xfId="20838"/>
    <cellStyle name="Input 3 2 3 2 2 5 2" xfId="46360"/>
    <cellStyle name="Input 3 2 3 2 2 5 3" xfId="50266"/>
    <cellStyle name="Input 3 2 3 2 2 5 4" xfId="38230"/>
    <cellStyle name="Input 3 2 3 2 2 6" xfId="21491"/>
    <cellStyle name="Input 3 2 3 2 2 6 2" xfId="47013"/>
    <cellStyle name="Input 3 2 3 2 2 6 3" xfId="50919"/>
    <cellStyle name="Input 3 2 3 2 2 7" xfId="40816"/>
    <cellStyle name="Input 3 2 3 2 2 8" xfId="40224"/>
    <cellStyle name="Input 3 2 3 2 3" xfId="10933"/>
    <cellStyle name="Input 3 2 3 2 3 2" xfId="18720"/>
    <cellStyle name="Input 3 2 3 2 3 2 2" xfId="44252"/>
    <cellStyle name="Input 3 2 3 2 3 2 3" xfId="48161"/>
    <cellStyle name="Input 3 2 3 2 3 2 4" xfId="36343"/>
    <cellStyle name="Input 3 2 3 2 3 3" xfId="19700"/>
    <cellStyle name="Input 3 2 3 2 3 3 2" xfId="45222"/>
    <cellStyle name="Input 3 2 3 2 3 3 3" xfId="49128"/>
    <cellStyle name="Input 3 2 3 2 3 3 4" xfId="37213"/>
    <cellStyle name="Input 3 2 3 2 3 4" xfId="19046"/>
    <cellStyle name="Input 3 2 3 2 3 4 2" xfId="44568"/>
    <cellStyle name="Input 3 2 3 2 3 4 3" xfId="48474"/>
    <cellStyle name="Input 3 2 3 2 3 4 4" xfId="36631"/>
    <cellStyle name="Input 3 2 3 2 3 5" xfId="21133"/>
    <cellStyle name="Input 3 2 3 2 3 5 2" xfId="46655"/>
    <cellStyle name="Input 3 2 3 2 3 5 3" xfId="50561"/>
    <cellStyle name="Input 3 2 3 2 3 5 4" xfId="38525"/>
    <cellStyle name="Input 3 2 3 2 3 6" xfId="21786"/>
    <cellStyle name="Input 3 2 3 2 3 6 2" xfId="47308"/>
    <cellStyle name="Input 3 2 3 2 3 6 3" xfId="51214"/>
    <cellStyle name="Input 3 2 3 2 3 7" xfId="41111"/>
    <cellStyle name="Input 3 2 3 2 3 8" xfId="40204"/>
    <cellStyle name="Input 3 2 3 2 4" xfId="14893"/>
    <cellStyle name="Input 3 2 3 2 4 2" xfId="42991"/>
    <cellStyle name="Input 3 2 3 2 4 3" xfId="40499"/>
    <cellStyle name="Input 3 2 3 2 4 4" xfId="32514"/>
    <cellStyle name="Input 3 2 3 2 5" xfId="12468"/>
    <cellStyle name="Input 3 2 3 2 5 2" xfId="41970"/>
    <cellStyle name="Input 3 2 3 2 5 3" xfId="43667"/>
    <cellStyle name="Input 3 2 3 2 5 4" xfId="30125"/>
    <cellStyle name="Input 3 2 3 2 6" xfId="11469"/>
    <cellStyle name="Input 3 2 3 2 6 2" xfId="41460"/>
    <cellStyle name="Input 3 2 3 2 6 3" xfId="40049"/>
    <cellStyle name="Input 3 2 3 2 6 4" xfId="29171"/>
    <cellStyle name="Input 3 2 3 2 7" xfId="11463"/>
    <cellStyle name="Input 3 2 3 2 7 2" xfId="41454"/>
    <cellStyle name="Input 3 2 3 2 7 3" xfId="43326"/>
    <cellStyle name="Input 3 2 3 2 7 4" xfId="29165"/>
    <cellStyle name="Input 3 2 3 2 8" xfId="20236"/>
    <cellStyle name="Input 3 2 3 2 8 2" xfId="45758"/>
    <cellStyle name="Input 3 2 3 2 8 3" xfId="49664"/>
    <cellStyle name="Input 3 2 3 2 9" xfId="39851"/>
    <cellStyle name="Input 3 2 3 3" xfId="22911"/>
    <cellStyle name="Input 3 2 3 3 2" xfId="47593"/>
    <cellStyle name="Input 3 2 3 3 3" xfId="51408"/>
    <cellStyle name="Input 3 2 3 3 4" xfId="39006"/>
    <cellStyle name="Input 3 2 3 4" xfId="23051"/>
    <cellStyle name="Input 3 2 3 4 2" xfId="47637"/>
    <cellStyle name="Input 3 2 3 4 3" xfId="51448"/>
    <cellStyle name="Input 3 2 3 5" xfId="53094"/>
    <cellStyle name="Input 3 2 4" xfId="4236"/>
    <cellStyle name="Input 3 2 4 2" xfId="7112"/>
    <cellStyle name="Input 3 2 4 2 10" xfId="43742"/>
    <cellStyle name="Input 3 2 4 2 2" xfId="10639"/>
    <cellStyle name="Input 3 2 4 2 2 2" xfId="18426"/>
    <cellStyle name="Input 3 2 4 2 2 2 2" xfId="43958"/>
    <cellStyle name="Input 3 2 4 2 2 2 3" xfId="47867"/>
    <cellStyle name="Input 3 2 4 2 2 2 4" xfId="36049"/>
    <cellStyle name="Input 3 2 4 2 2 3" xfId="19892"/>
    <cellStyle name="Input 3 2 4 2 2 3 2" xfId="45414"/>
    <cellStyle name="Input 3 2 4 2 2 3 3" xfId="49320"/>
    <cellStyle name="Input 3 2 4 2 2 3 4" xfId="37392"/>
    <cellStyle name="Input 3 2 4 2 2 4" xfId="19799"/>
    <cellStyle name="Input 3 2 4 2 2 4 2" xfId="45321"/>
    <cellStyle name="Input 3 2 4 2 2 4 3" xfId="49227"/>
    <cellStyle name="Input 3 2 4 2 2 4 4" xfId="37306"/>
    <cellStyle name="Input 3 2 4 2 2 5" xfId="20839"/>
    <cellStyle name="Input 3 2 4 2 2 5 2" xfId="46361"/>
    <cellStyle name="Input 3 2 4 2 2 5 3" xfId="50267"/>
    <cellStyle name="Input 3 2 4 2 2 5 4" xfId="38231"/>
    <cellStyle name="Input 3 2 4 2 2 6" xfId="21492"/>
    <cellStyle name="Input 3 2 4 2 2 6 2" xfId="47014"/>
    <cellStyle name="Input 3 2 4 2 2 6 3" xfId="50920"/>
    <cellStyle name="Input 3 2 4 2 2 7" xfId="40817"/>
    <cellStyle name="Input 3 2 4 2 2 8" xfId="39364"/>
    <cellStyle name="Input 3 2 4 2 3" xfId="10934"/>
    <cellStyle name="Input 3 2 4 2 3 2" xfId="18721"/>
    <cellStyle name="Input 3 2 4 2 3 2 2" xfId="44253"/>
    <cellStyle name="Input 3 2 4 2 3 2 3" xfId="48162"/>
    <cellStyle name="Input 3 2 4 2 3 2 4" xfId="36344"/>
    <cellStyle name="Input 3 2 4 2 3 3" xfId="11524"/>
    <cellStyle name="Input 3 2 4 2 3 3 2" xfId="41515"/>
    <cellStyle name="Input 3 2 4 2 3 3 3" xfId="40185"/>
    <cellStyle name="Input 3 2 4 2 3 3 4" xfId="29225"/>
    <cellStyle name="Input 3 2 4 2 3 4" xfId="19146"/>
    <cellStyle name="Input 3 2 4 2 3 4 2" xfId="44668"/>
    <cellStyle name="Input 3 2 4 2 3 4 3" xfId="48574"/>
    <cellStyle name="Input 3 2 4 2 3 4 4" xfId="36724"/>
    <cellStyle name="Input 3 2 4 2 3 5" xfId="21134"/>
    <cellStyle name="Input 3 2 4 2 3 5 2" xfId="46656"/>
    <cellStyle name="Input 3 2 4 2 3 5 3" xfId="50562"/>
    <cellStyle name="Input 3 2 4 2 3 5 4" xfId="38526"/>
    <cellStyle name="Input 3 2 4 2 3 6" xfId="21787"/>
    <cellStyle name="Input 3 2 4 2 3 6 2" xfId="47309"/>
    <cellStyle name="Input 3 2 4 2 3 6 3" xfId="51215"/>
    <cellStyle name="Input 3 2 4 2 3 7" xfId="41112"/>
    <cellStyle name="Input 3 2 4 2 3 8" xfId="39344"/>
    <cellStyle name="Input 3 2 4 2 4" xfId="14894"/>
    <cellStyle name="Input 3 2 4 2 4 2" xfId="42992"/>
    <cellStyle name="Input 3 2 4 2 4 3" xfId="39607"/>
    <cellStyle name="Input 3 2 4 2 4 4" xfId="32515"/>
    <cellStyle name="Input 3 2 4 2 5" xfId="11303"/>
    <cellStyle name="Input 3 2 4 2 5 2" xfId="41329"/>
    <cellStyle name="Input 3 2 4 2 5 3" xfId="42561"/>
    <cellStyle name="Input 3 2 4 2 5 4" xfId="29017"/>
    <cellStyle name="Input 3 2 4 2 6" xfId="19345"/>
    <cellStyle name="Input 3 2 4 2 6 2" xfId="44867"/>
    <cellStyle name="Input 3 2 4 2 6 3" xfId="48773"/>
    <cellStyle name="Input 3 2 4 2 6 4" xfId="36900"/>
    <cellStyle name="Input 3 2 4 2 7" xfId="19007"/>
    <cellStyle name="Input 3 2 4 2 7 2" xfId="44529"/>
    <cellStyle name="Input 3 2 4 2 7 3" xfId="48435"/>
    <cellStyle name="Input 3 2 4 2 7 4" xfId="36601"/>
    <cellStyle name="Input 3 2 4 2 8" xfId="19137"/>
    <cellStyle name="Input 3 2 4 2 8 2" xfId="44659"/>
    <cellStyle name="Input 3 2 4 2 8 3" xfId="48565"/>
    <cellStyle name="Input 3 2 4 2 9" xfId="39852"/>
    <cellStyle name="Input 3 2 4 3" xfId="22451"/>
    <cellStyle name="Input 3 2 5" xfId="4237"/>
    <cellStyle name="Input 3 2 5 2" xfId="10457"/>
    <cellStyle name="Input 3 2 5 2 2" xfId="18244"/>
    <cellStyle name="Input 3 2 5 2 2 2" xfId="43776"/>
    <cellStyle name="Input 3 2 5 2 2 3" xfId="47685"/>
    <cellStyle name="Input 3 2 5 2 2 4" xfId="35867"/>
    <cellStyle name="Input 3 2 5 2 3" xfId="19611"/>
    <cellStyle name="Input 3 2 5 2 3 2" xfId="45133"/>
    <cellStyle name="Input 3 2 5 2 3 3" xfId="49039"/>
    <cellStyle name="Input 3 2 5 2 3 4" xfId="37137"/>
    <cellStyle name="Input 3 2 5 2 4" xfId="20043"/>
    <cellStyle name="Input 3 2 5 2 4 2" xfId="45565"/>
    <cellStyle name="Input 3 2 5 2 4 3" xfId="49471"/>
    <cellStyle name="Input 3 2 5 2 4 4" xfId="37525"/>
    <cellStyle name="Input 3 2 5 2 5" xfId="20657"/>
    <cellStyle name="Input 3 2 5 2 5 2" xfId="46179"/>
    <cellStyle name="Input 3 2 5 2 5 3" xfId="50085"/>
    <cellStyle name="Input 3 2 5 2 5 4" xfId="38049"/>
    <cellStyle name="Input 3 2 5 2 6" xfId="21310"/>
    <cellStyle name="Input 3 2 5 2 6 2" xfId="46832"/>
    <cellStyle name="Input 3 2 5 2 6 3" xfId="50738"/>
    <cellStyle name="Input 3 2 5 2 7" xfId="40635"/>
    <cellStyle name="Input 3 2 5 2 8" xfId="42726"/>
    <cellStyle name="Input 3 2 5 3" xfId="8460"/>
    <cellStyle name="Input 3 2 5 3 2" xfId="16250"/>
    <cellStyle name="Input 3 2 5 3 2 2" xfId="43385"/>
    <cellStyle name="Input 3 2 5 3 2 3" xfId="43524"/>
    <cellStyle name="Input 3 2 5 3 2 4" xfId="33871"/>
    <cellStyle name="Input 3 2 5 3 3" xfId="12123"/>
    <cellStyle name="Input 3 2 5 3 3 2" xfId="41848"/>
    <cellStyle name="Input 3 2 5 3 3 3" xfId="40003"/>
    <cellStyle name="Input 3 2 5 3 3 4" xfId="29782"/>
    <cellStyle name="Input 3 2 5 3 4" xfId="11731"/>
    <cellStyle name="Input 3 2 5 3 4 2" xfId="41697"/>
    <cellStyle name="Input 3 2 5 3 4 3" xfId="40427"/>
    <cellStyle name="Input 3 2 5 3 4 4" xfId="29404"/>
    <cellStyle name="Input 3 2 5 3 5" xfId="12639"/>
    <cellStyle name="Input 3 2 5 3 5 2" xfId="42099"/>
    <cellStyle name="Input 3 2 5 3 5 3" xfId="42776"/>
    <cellStyle name="Input 3 2 5 3 5 4" xfId="30290"/>
    <cellStyle name="Input 3 2 5 3 6" xfId="18976"/>
    <cellStyle name="Input 3 2 5 3 6 2" xfId="44498"/>
    <cellStyle name="Input 3 2 5 3 6 3" xfId="48404"/>
    <cellStyle name="Input 3 2 5 3 7" xfId="40247"/>
    <cellStyle name="Input 3 2 5 3 8" xfId="39199"/>
    <cellStyle name="Input 3 2 6" xfId="7109"/>
    <cellStyle name="Input 3 2 6 10" xfId="43247"/>
    <cellStyle name="Input 3 2 6 2" xfId="10636"/>
    <cellStyle name="Input 3 2 6 2 2" xfId="18423"/>
    <cellStyle name="Input 3 2 6 2 2 2" xfId="43955"/>
    <cellStyle name="Input 3 2 6 2 2 3" xfId="47864"/>
    <cellStyle name="Input 3 2 6 2 2 4" xfId="36046"/>
    <cellStyle name="Input 3 2 6 2 3" xfId="19410"/>
    <cellStyle name="Input 3 2 6 2 3 2" xfId="44932"/>
    <cellStyle name="Input 3 2 6 2 3 3" xfId="48838"/>
    <cellStyle name="Input 3 2 6 2 3 4" xfId="36961"/>
    <cellStyle name="Input 3 2 6 2 4" xfId="11628"/>
    <cellStyle name="Input 3 2 6 2 4 2" xfId="41619"/>
    <cellStyle name="Input 3 2 6 2 4 3" xfId="41993"/>
    <cellStyle name="Input 3 2 6 2 4 4" xfId="29315"/>
    <cellStyle name="Input 3 2 6 2 5" xfId="20836"/>
    <cellStyle name="Input 3 2 6 2 5 2" xfId="46358"/>
    <cellStyle name="Input 3 2 6 2 5 3" xfId="50264"/>
    <cellStyle name="Input 3 2 6 2 5 4" xfId="38228"/>
    <cellStyle name="Input 3 2 6 2 6" xfId="21489"/>
    <cellStyle name="Input 3 2 6 2 6 2" xfId="47011"/>
    <cellStyle name="Input 3 2 6 2 6 3" xfId="50917"/>
    <cellStyle name="Input 3 2 6 2 7" xfId="40814"/>
    <cellStyle name="Input 3 2 6 2 8" xfId="42043"/>
    <cellStyle name="Input 3 2 6 3" xfId="10931"/>
    <cellStyle name="Input 3 2 6 3 2" xfId="18718"/>
    <cellStyle name="Input 3 2 6 3 2 2" xfId="44250"/>
    <cellStyle name="Input 3 2 6 3 2 3" xfId="48159"/>
    <cellStyle name="Input 3 2 6 3 2 4" xfId="36341"/>
    <cellStyle name="Input 3 2 6 3 3" xfId="19868"/>
    <cellStyle name="Input 3 2 6 3 3 2" xfId="45390"/>
    <cellStyle name="Input 3 2 6 3 3 3" xfId="49296"/>
    <cellStyle name="Input 3 2 6 3 3 4" xfId="37368"/>
    <cellStyle name="Input 3 2 6 3 4" xfId="19464"/>
    <cellStyle name="Input 3 2 6 3 4 2" xfId="44986"/>
    <cellStyle name="Input 3 2 6 3 4 3" xfId="48892"/>
    <cellStyle name="Input 3 2 6 3 4 4" xfId="37007"/>
    <cellStyle name="Input 3 2 6 3 5" xfId="21131"/>
    <cellStyle name="Input 3 2 6 3 5 2" xfId="46653"/>
    <cellStyle name="Input 3 2 6 3 5 3" xfId="50559"/>
    <cellStyle name="Input 3 2 6 3 5 4" xfId="38523"/>
    <cellStyle name="Input 3 2 6 3 6" xfId="21784"/>
    <cellStyle name="Input 3 2 6 3 6 2" xfId="47306"/>
    <cellStyle name="Input 3 2 6 3 6 3" xfId="51212"/>
    <cellStyle name="Input 3 2 6 3 7" xfId="41109"/>
    <cellStyle name="Input 3 2 6 3 8" xfId="42023"/>
    <cellStyle name="Input 3 2 6 4" xfId="14891"/>
    <cellStyle name="Input 3 2 6 4 2" xfId="42989"/>
    <cellStyle name="Input 3 2 6 4 3" xfId="42753"/>
    <cellStyle name="Input 3 2 6 4 4" xfId="32512"/>
    <cellStyle name="Input 3 2 6 5" xfId="13139"/>
    <cellStyle name="Input 3 2 6 5 2" xfId="42341"/>
    <cellStyle name="Input 3 2 6 5 3" xfId="39269"/>
    <cellStyle name="Input 3 2 6 5 4" xfId="30774"/>
    <cellStyle name="Input 3 2 6 6" xfId="20362"/>
    <cellStyle name="Input 3 2 6 6 2" xfId="45884"/>
    <cellStyle name="Input 3 2 6 6 3" xfId="49790"/>
    <cellStyle name="Input 3 2 6 6 4" xfId="37804"/>
    <cellStyle name="Input 3 2 6 7" xfId="18921"/>
    <cellStyle name="Input 3 2 6 7 2" xfId="44443"/>
    <cellStyle name="Input 3 2 6 7 3" xfId="48349"/>
    <cellStyle name="Input 3 2 6 7 4" xfId="36534"/>
    <cellStyle name="Input 3 2 6 8" xfId="19437"/>
    <cellStyle name="Input 3 2 6 8 2" xfId="44959"/>
    <cellStyle name="Input 3 2 6 8 3" xfId="48865"/>
    <cellStyle name="Input 3 2 6 9" xfId="39849"/>
    <cellStyle name="Input 3 2 7" xfId="53092"/>
    <cellStyle name="Input 3 2_Sheet1" xfId="1943"/>
    <cellStyle name="Input 3 20" xfId="52729"/>
    <cellStyle name="Input 3 21" xfId="52711"/>
    <cellStyle name="Input 3 22" xfId="52726"/>
    <cellStyle name="Input 3 23" xfId="52713"/>
    <cellStyle name="Input 3 24" xfId="52727"/>
    <cellStyle name="Input 3 25" xfId="52751"/>
    <cellStyle name="Input 3 26" xfId="52724"/>
    <cellStyle name="Input 3 27" xfId="52750"/>
    <cellStyle name="Input 3 28" xfId="52790"/>
    <cellStyle name="Input 3 29" xfId="52766"/>
    <cellStyle name="Input 3 3" xfId="1944"/>
    <cellStyle name="Input 3 3 2" xfId="7113"/>
    <cellStyle name="Input 3 3 2 10" xfId="40601"/>
    <cellStyle name="Input 3 3 2 11" xfId="53096"/>
    <cellStyle name="Input 3 3 2 2" xfId="10640"/>
    <cellStyle name="Input 3 3 2 2 2" xfId="18427"/>
    <cellStyle name="Input 3 3 2 2 2 2" xfId="43959"/>
    <cellStyle name="Input 3 3 2 2 2 3" xfId="47868"/>
    <cellStyle name="Input 3 3 2 2 2 4" xfId="36050"/>
    <cellStyle name="Input 3 3 2 2 3" xfId="19115"/>
    <cellStyle name="Input 3 3 2 2 3 2" xfId="44637"/>
    <cellStyle name="Input 3 3 2 2 3 3" xfId="48543"/>
    <cellStyle name="Input 3 3 2 2 3 4" xfId="36696"/>
    <cellStyle name="Input 3 3 2 2 4" xfId="19821"/>
    <cellStyle name="Input 3 3 2 2 4 2" xfId="45343"/>
    <cellStyle name="Input 3 3 2 2 4 3" xfId="49249"/>
    <cellStyle name="Input 3 3 2 2 4 4" xfId="37325"/>
    <cellStyle name="Input 3 3 2 2 5" xfId="20840"/>
    <cellStyle name="Input 3 3 2 2 5 2" xfId="46362"/>
    <cellStyle name="Input 3 3 2 2 5 3" xfId="50268"/>
    <cellStyle name="Input 3 3 2 2 5 4" xfId="38232"/>
    <cellStyle name="Input 3 3 2 2 6" xfId="21493"/>
    <cellStyle name="Input 3 3 2 2 6 2" xfId="47015"/>
    <cellStyle name="Input 3 3 2 2 6 3" xfId="50921"/>
    <cellStyle name="Input 3 3 2 2 7" xfId="40818"/>
    <cellStyle name="Input 3 3 2 2 8" xfId="41410"/>
    <cellStyle name="Input 3 3 2 3" xfId="10935"/>
    <cellStyle name="Input 3 3 2 3 2" xfId="18722"/>
    <cellStyle name="Input 3 3 2 3 2 2" xfId="44254"/>
    <cellStyle name="Input 3 3 2 3 2 3" xfId="48163"/>
    <cellStyle name="Input 3 3 2 3 2 4" xfId="36345"/>
    <cellStyle name="Input 3 3 2 3 3" xfId="13348"/>
    <cellStyle name="Input 3 3 2 3 3 2" xfId="42499"/>
    <cellStyle name="Input 3 3 2 3 3 3" xfId="43649"/>
    <cellStyle name="Input 3 3 2 3 3 4" xfId="30974"/>
    <cellStyle name="Input 3 3 2 3 4" xfId="19502"/>
    <cellStyle name="Input 3 3 2 3 4 2" xfId="45024"/>
    <cellStyle name="Input 3 3 2 3 4 3" xfId="48930"/>
    <cellStyle name="Input 3 3 2 3 4 4" xfId="37036"/>
    <cellStyle name="Input 3 3 2 3 5" xfId="21135"/>
    <cellStyle name="Input 3 3 2 3 5 2" xfId="46657"/>
    <cellStyle name="Input 3 3 2 3 5 3" xfId="50563"/>
    <cellStyle name="Input 3 3 2 3 5 4" xfId="38527"/>
    <cellStyle name="Input 3 3 2 3 6" xfId="21788"/>
    <cellStyle name="Input 3 3 2 3 6 2" xfId="47310"/>
    <cellStyle name="Input 3 3 2 3 6 3" xfId="51216"/>
    <cellStyle name="Input 3 3 2 3 7" xfId="41113"/>
    <cellStyle name="Input 3 3 2 3 8" xfId="42025"/>
    <cellStyle name="Input 3 3 2 4" xfId="14895"/>
    <cellStyle name="Input 3 3 2 4 2" xfId="42993"/>
    <cellStyle name="Input 3 3 2 4 3" xfId="42643"/>
    <cellStyle name="Input 3 3 2 4 4" xfId="32516"/>
    <cellStyle name="Input 3 3 2 5" xfId="12471"/>
    <cellStyle name="Input 3 3 2 5 2" xfId="41973"/>
    <cellStyle name="Input 3 3 2 5 3" xfId="42672"/>
    <cellStyle name="Input 3 3 2 5 4" xfId="30128"/>
    <cellStyle name="Input 3 3 2 6" xfId="20200"/>
    <cellStyle name="Input 3 3 2 6 2" xfId="45722"/>
    <cellStyle name="Input 3 3 2 6 3" xfId="49628"/>
    <cellStyle name="Input 3 3 2 6 4" xfId="37664"/>
    <cellStyle name="Input 3 3 2 7" xfId="12942"/>
    <cellStyle name="Input 3 3 2 7 2" xfId="42233"/>
    <cellStyle name="Input 3 3 2 7 3" xfId="40155"/>
    <cellStyle name="Input 3 3 2 7 4" xfId="30577"/>
    <cellStyle name="Input 3 3 2 8" xfId="12082"/>
    <cellStyle name="Input 3 3 2 8 2" xfId="41807"/>
    <cellStyle name="Input 3 3 2 8 3" xfId="39113"/>
    <cellStyle name="Input 3 3 2 9" xfId="39853"/>
    <cellStyle name="Input 3 3 3" xfId="22452"/>
    <cellStyle name="Input 3 3 4" xfId="53095"/>
    <cellStyle name="Input 3 30" xfId="52793"/>
    <cellStyle name="Input 3 31" xfId="52765"/>
    <cellStyle name="Input 3 32" xfId="52791"/>
    <cellStyle name="Input 3 33" xfId="52808"/>
    <cellStyle name="Input 3 34" xfId="52788"/>
    <cellStyle name="Input 3 35" xfId="52811"/>
    <cellStyle name="Input 3 36" xfId="52794"/>
    <cellStyle name="Input 3 37" xfId="52764"/>
    <cellStyle name="Input 3 38" xfId="52812"/>
    <cellStyle name="Input 3 39" xfId="52768"/>
    <cellStyle name="Input 3 4" xfId="1945"/>
    <cellStyle name="Input 3 4 2" xfId="7114"/>
    <cellStyle name="Input 3 4 2 10" xfId="39935"/>
    <cellStyle name="Input 3 4 2 11" xfId="53098"/>
    <cellStyle name="Input 3 4 2 2" xfId="10641"/>
    <cellStyle name="Input 3 4 2 2 2" xfId="18428"/>
    <cellStyle name="Input 3 4 2 2 2 2" xfId="43960"/>
    <cellStyle name="Input 3 4 2 2 2 3" xfId="47869"/>
    <cellStyle name="Input 3 4 2 2 2 4" xfId="36051"/>
    <cellStyle name="Input 3 4 2 2 3" xfId="19734"/>
    <cellStyle name="Input 3 4 2 2 3 2" xfId="45256"/>
    <cellStyle name="Input 3 4 2 2 3 3" xfId="49162"/>
    <cellStyle name="Input 3 4 2 2 3 4" xfId="37247"/>
    <cellStyle name="Input 3 4 2 2 4" xfId="18930"/>
    <cellStyle name="Input 3 4 2 2 4 2" xfId="44452"/>
    <cellStyle name="Input 3 4 2 2 4 3" xfId="48358"/>
    <cellStyle name="Input 3 4 2 2 4 4" xfId="36543"/>
    <cellStyle name="Input 3 4 2 2 5" xfId="20841"/>
    <cellStyle name="Input 3 4 2 2 5 2" xfId="46363"/>
    <cellStyle name="Input 3 4 2 2 5 3" xfId="50269"/>
    <cellStyle name="Input 3 4 2 2 5 4" xfId="38233"/>
    <cellStyle name="Input 3 4 2 2 6" xfId="21494"/>
    <cellStyle name="Input 3 4 2 2 6 2" xfId="47016"/>
    <cellStyle name="Input 3 4 2 2 6 3" xfId="50922"/>
    <cellStyle name="Input 3 4 2 2 7" xfId="40819"/>
    <cellStyle name="Input 3 4 2 2 8" xfId="43213"/>
    <cellStyle name="Input 3 4 2 3" xfId="10936"/>
    <cellStyle name="Input 3 4 2 3 2" xfId="18723"/>
    <cellStyle name="Input 3 4 2 3 2 2" xfId="44255"/>
    <cellStyle name="Input 3 4 2 3 2 3" xfId="48164"/>
    <cellStyle name="Input 3 4 2 3 2 4" xfId="36346"/>
    <cellStyle name="Input 3 4 2 3 3" xfId="19572"/>
    <cellStyle name="Input 3 4 2 3 3 2" xfId="45094"/>
    <cellStyle name="Input 3 4 2 3 3 3" xfId="49000"/>
    <cellStyle name="Input 3 4 2 3 3 4" xfId="37098"/>
    <cellStyle name="Input 3 4 2 3 4" xfId="18925"/>
    <cellStyle name="Input 3 4 2 3 4 2" xfId="44447"/>
    <cellStyle name="Input 3 4 2 3 4 3" xfId="48353"/>
    <cellStyle name="Input 3 4 2 3 4 4" xfId="36538"/>
    <cellStyle name="Input 3 4 2 3 5" xfId="21136"/>
    <cellStyle name="Input 3 4 2 3 5 2" xfId="46658"/>
    <cellStyle name="Input 3 4 2 3 5 3" xfId="50564"/>
    <cellStyle name="Input 3 4 2 3 5 4" xfId="38528"/>
    <cellStyle name="Input 3 4 2 3 6" xfId="21789"/>
    <cellStyle name="Input 3 4 2 3 6 2" xfId="47311"/>
    <cellStyle name="Input 3 4 2 3 6 3" xfId="51217"/>
    <cellStyle name="Input 3 4 2 3 7" xfId="41114"/>
    <cellStyle name="Input 3 4 2 3 8" xfId="43344"/>
    <cellStyle name="Input 3 4 2 4" xfId="14896"/>
    <cellStyle name="Input 3 4 2 4 2" xfId="42994"/>
    <cellStyle name="Input 3 4 2 4 3" xfId="43531"/>
    <cellStyle name="Input 3 4 2 4 4" xfId="32517"/>
    <cellStyle name="Input 3 4 2 5" xfId="13137"/>
    <cellStyle name="Input 3 4 2 5 2" xfId="42339"/>
    <cellStyle name="Input 3 4 2 5 3" xfId="39271"/>
    <cellStyle name="Input 3 4 2 5 4" xfId="30772"/>
    <cellStyle name="Input 3 4 2 6" xfId="19162"/>
    <cellStyle name="Input 3 4 2 6 2" xfId="44684"/>
    <cellStyle name="Input 3 4 2 6 3" xfId="48590"/>
    <cellStyle name="Input 3 4 2 6 4" xfId="36739"/>
    <cellStyle name="Input 3 4 2 7" xfId="20093"/>
    <cellStyle name="Input 3 4 2 7 2" xfId="45615"/>
    <cellStyle name="Input 3 4 2 7 3" xfId="49521"/>
    <cellStyle name="Input 3 4 2 7 4" xfId="37567"/>
    <cellStyle name="Input 3 4 2 8" xfId="20177"/>
    <cellStyle name="Input 3 4 2 8 2" xfId="45699"/>
    <cellStyle name="Input 3 4 2 8 3" xfId="49605"/>
    <cellStyle name="Input 3 4 2 9" xfId="39854"/>
    <cellStyle name="Input 3 4 3" xfId="22453"/>
    <cellStyle name="Input 3 4 4" xfId="53097"/>
    <cellStyle name="Input 3 40" xfId="52817"/>
    <cellStyle name="Input 3 41" xfId="52770"/>
    <cellStyle name="Input 3 42" xfId="52796"/>
    <cellStyle name="Input 3 43" xfId="52772"/>
    <cellStyle name="Input 3 44" xfId="52762"/>
    <cellStyle name="Input 3 45" xfId="52852"/>
    <cellStyle name="Input 3 46" xfId="52829"/>
    <cellStyle name="Input 3 47" xfId="52850"/>
    <cellStyle name="Input 3 48" xfId="52827"/>
    <cellStyle name="Input 3 49" xfId="52848"/>
    <cellStyle name="Input 3 5" xfId="1946"/>
    <cellStyle name="Input 3 5 2" xfId="7115"/>
    <cellStyle name="Input 3 5 2 10" xfId="42735"/>
    <cellStyle name="Input 3 5 2 11" xfId="53100"/>
    <cellStyle name="Input 3 5 2 2" xfId="10642"/>
    <cellStyle name="Input 3 5 2 2 2" xfId="18429"/>
    <cellStyle name="Input 3 5 2 2 2 2" xfId="43961"/>
    <cellStyle name="Input 3 5 2 2 2 3" xfId="47870"/>
    <cellStyle name="Input 3 5 2 2 2 4" xfId="36052"/>
    <cellStyle name="Input 3 5 2 2 3" xfId="12620"/>
    <cellStyle name="Input 3 5 2 2 3 2" xfId="42080"/>
    <cellStyle name="Input 3 5 2 2 3 3" xfId="43665"/>
    <cellStyle name="Input 3 5 2 2 3 4" xfId="30271"/>
    <cellStyle name="Input 3 5 2 2 4" xfId="20107"/>
    <cellStyle name="Input 3 5 2 2 4 2" xfId="45629"/>
    <cellStyle name="Input 3 5 2 2 4 3" xfId="49535"/>
    <cellStyle name="Input 3 5 2 2 4 4" xfId="37579"/>
    <cellStyle name="Input 3 5 2 2 5" xfId="20842"/>
    <cellStyle name="Input 3 5 2 2 5 2" xfId="46364"/>
    <cellStyle name="Input 3 5 2 2 5 3" xfId="50270"/>
    <cellStyle name="Input 3 5 2 2 5 4" xfId="38234"/>
    <cellStyle name="Input 3 5 2 2 6" xfId="21495"/>
    <cellStyle name="Input 3 5 2 2 6 2" xfId="47017"/>
    <cellStyle name="Input 3 5 2 2 6 3" xfId="50923"/>
    <cellStyle name="Input 3 5 2 2 7" xfId="40820"/>
    <cellStyle name="Input 3 5 2 2 8" xfId="40072"/>
    <cellStyle name="Input 3 5 2 3" xfId="10937"/>
    <cellStyle name="Input 3 5 2 3 2" xfId="18724"/>
    <cellStyle name="Input 3 5 2 3 2 2" xfId="44256"/>
    <cellStyle name="Input 3 5 2 3 2 3" xfId="48165"/>
    <cellStyle name="Input 3 5 2 3 2 4" xfId="36347"/>
    <cellStyle name="Input 3 5 2 3 3" xfId="20126"/>
    <cellStyle name="Input 3 5 2 3 3 2" xfId="45648"/>
    <cellStyle name="Input 3 5 2 3 3 3" xfId="49554"/>
    <cellStyle name="Input 3 5 2 3 3 4" xfId="37598"/>
    <cellStyle name="Input 3 5 2 3 4" xfId="18935"/>
    <cellStyle name="Input 3 5 2 3 4 2" xfId="44457"/>
    <cellStyle name="Input 3 5 2 3 4 3" xfId="48363"/>
    <cellStyle name="Input 3 5 2 3 4 4" xfId="36547"/>
    <cellStyle name="Input 3 5 2 3 5" xfId="21137"/>
    <cellStyle name="Input 3 5 2 3 5 2" xfId="46659"/>
    <cellStyle name="Input 3 5 2 3 5 3" xfId="50565"/>
    <cellStyle name="Input 3 5 2 3 5 4" xfId="38529"/>
    <cellStyle name="Input 3 5 2 3 6" xfId="21790"/>
    <cellStyle name="Input 3 5 2 3 6 2" xfId="47312"/>
    <cellStyle name="Input 3 5 2 3 6 3" xfId="51218"/>
    <cellStyle name="Input 3 5 2 3 7" xfId="41115"/>
    <cellStyle name="Input 3 5 2 3 8" xfId="40206"/>
    <cellStyle name="Input 3 5 2 4" xfId="14897"/>
    <cellStyle name="Input 3 5 2 4 2" xfId="42995"/>
    <cellStyle name="Input 3 5 2 4 3" xfId="40392"/>
    <cellStyle name="Input 3 5 2 4 4" xfId="32518"/>
    <cellStyle name="Input 3 5 2 5" xfId="13140"/>
    <cellStyle name="Input 3 5 2 5 2" xfId="42342"/>
    <cellStyle name="Input 3 5 2 5 3" xfId="39074"/>
    <cellStyle name="Input 3 5 2 5 4" xfId="30775"/>
    <cellStyle name="Input 3 5 2 6" xfId="20210"/>
    <cellStyle name="Input 3 5 2 6 2" xfId="45732"/>
    <cellStyle name="Input 3 5 2 6 3" xfId="49638"/>
    <cellStyle name="Input 3 5 2 6 4" xfId="37673"/>
    <cellStyle name="Input 3 5 2 7" xfId="19688"/>
    <cellStyle name="Input 3 5 2 7 2" xfId="45210"/>
    <cellStyle name="Input 3 5 2 7 3" xfId="49116"/>
    <cellStyle name="Input 3 5 2 7 4" xfId="37203"/>
    <cellStyle name="Input 3 5 2 8" xfId="20599"/>
    <cellStyle name="Input 3 5 2 8 2" xfId="46121"/>
    <cellStyle name="Input 3 5 2 8 3" xfId="50027"/>
    <cellStyle name="Input 3 5 2 9" xfId="39855"/>
    <cellStyle name="Input 3 5 3" xfId="22454"/>
    <cellStyle name="Input 3 5 4" xfId="53099"/>
    <cellStyle name="Input 3 50" xfId="52826"/>
    <cellStyle name="Input 3 51" xfId="52864"/>
    <cellStyle name="Input 3 52" xfId="52866"/>
    <cellStyle name="Input 3 53" xfId="52855"/>
    <cellStyle name="Input 3 54" xfId="52834"/>
    <cellStyle name="Input 3 55" xfId="52856"/>
    <cellStyle name="Input 3 56" xfId="52832"/>
    <cellStyle name="Input 3 57" xfId="52853"/>
    <cellStyle name="Input 3 58" xfId="52831"/>
    <cellStyle name="Input 3 59" xfId="53087"/>
    <cellStyle name="Input 3 6" xfId="1947"/>
    <cellStyle name="Input 3 6 2" xfId="7116"/>
    <cellStyle name="Input 3 6 2 10" xfId="43623"/>
    <cellStyle name="Input 3 6 2 2" xfId="10643"/>
    <cellStyle name="Input 3 6 2 2 2" xfId="18430"/>
    <cellStyle name="Input 3 6 2 2 2 2" xfId="43962"/>
    <cellStyle name="Input 3 6 2 2 2 3" xfId="47871"/>
    <cellStyle name="Input 3 6 2 2 2 4" xfId="36053"/>
    <cellStyle name="Input 3 6 2 2 3" xfId="13318"/>
    <cellStyle name="Input 3 6 2 2 3 2" xfId="42469"/>
    <cellStyle name="Input 3 6 2 2 3 3" xfId="42522"/>
    <cellStyle name="Input 3 6 2 2 3 4" xfId="30944"/>
    <cellStyle name="Input 3 6 2 2 4" xfId="12795"/>
    <cellStyle name="Input 3 6 2 2 4 2" xfId="42191"/>
    <cellStyle name="Input 3 6 2 2 4 3" xfId="40417"/>
    <cellStyle name="Input 3 6 2 2 4 4" xfId="30438"/>
    <cellStyle name="Input 3 6 2 2 5" xfId="20843"/>
    <cellStyle name="Input 3 6 2 2 5 2" xfId="46365"/>
    <cellStyle name="Input 3 6 2 2 5 3" xfId="50271"/>
    <cellStyle name="Input 3 6 2 2 5 4" xfId="38235"/>
    <cellStyle name="Input 3 6 2 2 6" xfId="21496"/>
    <cellStyle name="Input 3 6 2 2 6 2" xfId="47018"/>
    <cellStyle name="Input 3 6 2 2 6 3" xfId="50924"/>
    <cellStyle name="Input 3 6 2 2 7" xfId="40821"/>
    <cellStyle name="Input 3 6 2 2 8" xfId="42821"/>
    <cellStyle name="Input 3 6 2 3" xfId="10938"/>
    <cellStyle name="Input 3 6 2 3 2" xfId="18725"/>
    <cellStyle name="Input 3 6 2 3 2 2" xfId="44257"/>
    <cellStyle name="Input 3 6 2 3 2 3" xfId="48166"/>
    <cellStyle name="Input 3 6 2 3 2 4" xfId="36348"/>
    <cellStyle name="Input 3 6 2 3 3" xfId="19385"/>
    <cellStyle name="Input 3 6 2 3 3 2" xfId="44907"/>
    <cellStyle name="Input 3 6 2 3 3 3" xfId="48813"/>
    <cellStyle name="Input 3 6 2 3 3 4" xfId="36936"/>
    <cellStyle name="Input 3 6 2 3 4" xfId="20224"/>
    <cellStyle name="Input 3 6 2 3 4 2" xfId="45746"/>
    <cellStyle name="Input 3 6 2 3 4 3" xfId="49652"/>
    <cellStyle name="Input 3 6 2 3 4 4" xfId="37683"/>
    <cellStyle name="Input 3 6 2 3 5" xfId="21138"/>
    <cellStyle name="Input 3 6 2 3 5 2" xfId="46660"/>
    <cellStyle name="Input 3 6 2 3 5 3" xfId="50566"/>
    <cellStyle name="Input 3 6 2 3 5 4" xfId="38530"/>
    <cellStyle name="Input 3 6 2 3 6" xfId="21791"/>
    <cellStyle name="Input 3 6 2 3 6 2" xfId="47313"/>
    <cellStyle name="Input 3 6 2 3 6 3" xfId="51219"/>
    <cellStyle name="Input 3 6 2 3 7" xfId="41116"/>
    <cellStyle name="Input 3 6 2 3 8" xfId="42808"/>
    <cellStyle name="Input 3 6 2 4" xfId="14898"/>
    <cellStyle name="Input 3 6 2 4 2" xfId="42996"/>
    <cellStyle name="Input 3 6 2 4 3" xfId="39501"/>
    <cellStyle name="Input 3 6 2 4 4" xfId="32519"/>
    <cellStyle name="Input 3 6 2 5" xfId="13141"/>
    <cellStyle name="Input 3 6 2 5 2" xfId="42343"/>
    <cellStyle name="Input 3 6 2 5 3" xfId="39073"/>
    <cellStyle name="Input 3 6 2 5 4" xfId="30776"/>
    <cellStyle name="Input 3 6 2 6" xfId="20190"/>
    <cellStyle name="Input 3 6 2 6 2" xfId="45712"/>
    <cellStyle name="Input 3 6 2 6 3" xfId="49618"/>
    <cellStyle name="Input 3 6 2 6 4" xfId="37658"/>
    <cellStyle name="Input 3 6 2 7" xfId="19056"/>
    <cellStyle name="Input 3 6 2 7 2" xfId="44578"/>
    <cellStyle name="Input 3 6 2 7 3" xfId="48484"/>
    <cellStyle name="Input 3 6 2 7 4" xfId="36641"/>
    <cellStyle name="Input 3 6 2 8" xfId="19359"/>
    <cellStyle name="Input 3 6 2 8 2" xfId="44881"/>
    <cellStyle name="Input 3 6 2 8 3" xfId="48787"/>
    <cellStyle name="Input 3 6 2 9" xfId="39856"/>
    <cellStyle name="Input 3 6 3" xfId="53101"/>
    <cellStyle name="Input 3 7" xfId="1948"/>
    <cellStyle name="Input 3 7 2" xfId="7117"/>
    <cellStyle name="Input 3 7 2 10" xfId="39857"/>
    <cellStyle name="Input 3 7 2 11" xfId="40481"/>
    <cellStyle name="Input 3 7 2 2" xfId="10644"/>
    <cellStyle name="Input 3 7 2 2 2" xfId="18431"/>
    <cellStyle name="Input 3 7 2 2 2 2" xfId="43963"/>
    <cellStyle name="Input 3 7 2 2 2 3" xfId="47872"/>
    <cellStyle name="Input 3 7 2 2 2 4" xfId="36054"/>
    <cellStyle name="Input 3 7 2 2 3" xfId="13912"/>
    <cellStyle name="Input 3 7 2 2 3 2" xfId="42628"/>
    <cellStyle name="Input 3 7 2 2 3 3" xfId="40507"/>
    <cellStyle name="Input 3 7 2 2 3 4" xfId="31534"/>
    <cellStyle name="Input 3 7 2 2 4" xfId="20352"/>
    <cellStyle name="Input 3 7 2 2 4 2" xfId="45874"/>
    <cellStyle name="Input 3 7 2 2 4 3" xfId="49780"/>
    <cellStyle name="Input 3 7 2 2 4 4" xfId="37794"/>
    <cellStyle name="Input 3 7 2 2 5" xfId="20844"/>
    <cellStyle name="Input 3 7 2 2 5 2" xfId="46366"/>
    <cellStyle name="Input 3 7 2 2 5 3" xfId="50272"/>
    <cellStyle name="Input 3 7 2 2 5 4" xfId="38236"/>
    <cellStyle name="Input 3 7 2 2 6" xfId="21497"/>
    <cellStyle name="Input 3 7 2 2 6 2" xfId="47019"/>
    <cellStyle name="Input 3 7 2 2 6 3" xfId="50925"/>
    <cellStyle name="Input 3 7 2 2 7" xfId="40822"/>
    <cellStyle name="Input 3 7 2 2 8" xfId="43710"/>
    <cellStyle name="Input 3 7 2 3" xfId="10939"/>
    <cellStyle name="Input 3 7 2 3 2" xfId="18726"/>
    <cellStyle name="Input 3 7 2 3 2 2" xfId="44258"/>
    <cellStyle name="Input 3 7 2 3 2 3" xfId="48167"/>
    <cellStyle name="Input 3 7 2 3 2 4" xfId="36349"/>
    <cellStyle name="Input 3 7 2 3 3" xfId="19992"/>
    <cellStyle name="Input 3 7 2 3 3 2" xfId="45514"/>
    <cellStyle name="Input 3 7 2 3 3 3" xfId="49420"/>
    <cellStyle name="Input 3 7 2 3 3 4" xfId="37476"/>
    <cellStyle name="Input 3 7 2 3 4" xfId="19667"/>
    <cellStyle name="Input 3 7 2 3 4 2" xfId="45189"/>
    <cellStyle name="Input 3 7 2 3 4 3" xfId="49095"/>
    <cellStyle name="Input 3 7 2 3 4 4" xfId="37185"/>
    <cellStyle name="Input 3 7 2 3 5" xfId="21139"/>
    <cellStyle name="Input 3 7 2 3 5 2" xfId="46661"/>
    <cellStyle name="Input 3 7 2 3 5 3" xfId="50567"/>
    <cellStyle name="Input 3 7 2 3 5 4" xfId="38531"/>
    <cellStyle name="Input 3 7 2 3 6" xfId="21792"/>
    <cellStyle name="Input 3 7 2 3 6 2" xfId="47314"/>
    <cellStyle name="Input 3 7 2 3 6 3" xfId="51220"/>
    <cellStyle name="Input 3 7 2 3 7" xfId="41117"/>
    <cellStyle name="Input 3 7 2 3 8" xfId="43697"/>
    <cellStyle name="Input 3 7 2 4" xfId="14899"/>
    <cellStyle name="Input 3 7 2 4 2" xfId="42997"/>
    <cellStyle name="Input 3 7 2 4 3" xfId="42511"/>
    <cellStyle name="Input 3 7 2 4 4" xfId="32520"/>
    <cellStyle name="Input 3 7 2 5" xfId="13142"/>
    <cellStyle name="Input 3 7 2 5 2" xfId="42344"/>
    <cellStyle name="Input 3 7 2 5 3" xfId="47460"/>
    <cellStyle name="Input 3 7 2 5 4" xfId="30777"/>
    <cellStyle name="Input 3 7 2 6" xfId="11165"/>
    <cellStyle name="Input 3 7 2 6 2" xfId="41268"/>
    <cellStyle name="Input 3 7 2 6 3" xfId="43194"/>
    <cellStyle name="Input 3 7 2 6 4" xfId="28879"/>
    <cellStyle name="Input 3 7 2 7" xfId="11685"/>
    <cellStyle name="Input 3 7 2 7 2" xfId="41672"/>
    <cellStyle name="Input 3 7 2 7 3" xfId="42680"/>
    <cellStyle name="Input 3 7 2 7 4" xfId="29364"/>
    <cellStyle name="Input 3 7 2 8" xfId="11639"/>
    <cellStyle name="Input 3 7 2 8 2" xfId="41630"/>
    <cellStyle name="Input 3 7 2 8 3" xfId="42787"/>
    <cellStyle name="Input 3 7 2 9" xfId="22456"/>
    <cellStyle name="Input 3 7 3" xfId="22457"/>
    <cellStyle name="Input 3 7 3 2" xfId="22458"/>
    <cellStyle name="Input 3 7 4" xfId="22912"/>
    <cellStyle name="Input 3 7 4 2" xfId="23052"/>
    <cellStyle name="Input 3 7 4 2 2" xfId="47638"/>
    <cellStyle name="Input 3 7 4 2 3" xfId="51449"/>
    <cellStyle name="Input 3 7 4 3" xfId="47594"/>
    <cellStyle name="Input 3 7 4 4" xfId="51409"/>
    <cellStyle name="Input 3 7 4 5" xfId="53103"/>
    <cellStyle name="Input 3 7 5" xfId="22455"/>
    <cellStyle name="Input 3 7 6" xfId="53102"/>
    <cellStyle name="Input 3 8" xfId="1949"/>
    <cellStyle name="Input 3 8 2" xfId="7118"/>
    <cellStyle name="Input 3 8 2 10" xfId="39591"/>
    <cellStyle name="Input 3 8 2 2" xfId="10645"/>
    <cellStyle name="Input 3 8 2 2 2" xfId="18432"/>
    <cellStyle name="Input 3 8 2 2 2 2" xfId="43964"/>
    <cellStyle name="Input 3 8 2 2 2 3" xfId="47873"/>
    <cellStyle name="Input 3 8 2 2 2 4" xfId="36055"/>
    <cellStyle name="Input 3 8 2 2 3" xfId="19595"/>
    <cellStyle name="Input 3 8 2 2 3 2" xfId="45117"/>
    <cellStyle name="Input 3 8 2 2 3 3" xfId="49023"/>
    <cellStyle name="Input 3 8 2 2 3 4" xfId="37121"/>
    <cellStyle name="Input 3 8 2 2 4" xfId="19234"/>
    <cellStyle name="Input 3 8 2 2 4 2" xfId="44756"/>
    <cellStyle name="Input 3 8 2 2 4 3" xfId="48662"/>
    <cellStyle name="Input 3 8 2 2 4 4" xfId="36798"/>
    <cellStyle name="Input 3 8 2 2 5" xfId="20845"/>
    <cellStyle name="Input 3 8 2 2 5 2" xfId="46367"/>
    <cellStyle name="Input 3 8 2 2 5 3" xfId="50273"/>
    <cellStyle name="Input 3 8 2 2 5 4" xfId="38237"/>
    <cellStyle name="Input 3 8 2 2 6" xfId="21498"/>
    <cellStyle name="Input 3 8 2 2 6 2" xfId="47020"/>
    <cellStyle name="Input 3 8 2 2 6 3" xfId="50926"/>
    <cellStyle name="Input 3 8 2 2 7" xfId="40823"/>
    <cellStyle name="Input 3 8 2 2 8" xfId="40569"/>
    <cellStyle name="Input 3 8 2 3" xfId="10940"/>
    <cellStyle name="Input 3 8 2 3 2" xfId="18727"/>
    <cellStyle name="Input 3 8 2 3 2 2" xfId="44259"/>
    <cellStyle name="Input 3 8 2 3 2 3" xfId="48168"/>
    <cellStyle name="Input 3 8 2 3 2 4" xfId="36350"/>
    <cellStyle name="Input 3 8 2 3 3" xfId="19258"/>
    <cellStyle name="Input 3 8 2 3 3 2" xfId="44780"/>
    <cellStyle name="Input 3 8 2 3 3 3" xfId="48686"/>
    <cellStyle name="Input 3 8 2 3 3 4" xfId="36822"/>
    <cellStyle name="Input 3 8 2 3 4" xfId="11651"/>
    <cellStyle name="Input 3 8 2 3 4 2" xfId="41642"/>
    <cellStyle name="Input 3 8 2 3 4 3" xfId="41992"/>
    <cellStyle name="Input 3 8 2 3 4 4" xfId="29336"/>
    <cellStyle name="Input 3 8 2 3 5" xfId="21140"/>
    <cellStyle name="Input 3 8 2 3 5 2" xfId="46662"/>
    <cellStyle name="Input 3 8 2 3 5 3" xfId="50568"/>
    <cellStyle name="Input 3 8 2 3 5 4" xfId="38532"/>
    <cellStyle name="Input 3 8 2 3 6" xfId="21793"/>
    <cellStyle name="Input 3 8 2 3 6 2" xfId="47315"/>
    <cellStyle name="Input 3 8 2 3 6 3" xfId="51221"/>
    <cellStyle name="Input 3 8 2 3 7" xfId="41118"/>
    <cellStyle name="Input 3 8 2 3 8" xfId="40556"/>
    <cellStyle name="Input 3 8 2 4" xfId="14900"/>
    <cellStyle name="Input 3 8 2 4 2" xfId="42998"/>
    <cellStyle name="Input 3 8 2 4 3" xfId="43422"/>
    <cellStyle name="Input 3 8 2 4 4" xfId="32521"/>
    <cellStyle name="Input 3 8 2 5" xfId="11305"/>
    <cellStyle name="Input 3 8 2 5 2" xfId="41330"/>
    <cellStyle name="Input 3 8 2 5 3" xfId="40336"/>
    <cellStyle name="Input 3 8 2 5 4" xfId="29019"/>
    <cellStyle name="Input 3 8 2 6" xfId="19974"/>
    <cellStyle name="Input 3 8 2 6 2" xfId="45496"/>
    <cellStyle name="Input 3 8 2 6 3" xfId="49402"/>
    <cellStyle name="Input 3 8 2 6 4" xfId="37459"/>
    <cellStyle name="Input 3 8 2 7" xfId="11657"/>
    <cellStyle name="Input 3 8 2 7 2" xfId="41648"/>
    <cellStyle name="Input 3 8 2 7 3" xfId="41360"/>
    <cellStyle name="Input 3 8 2 7 4" xfId="29341"/>
    <cellStyle name="Input 3 8 2 8" xfId="19000"/>
    <cellStyle name="Input 3 8 2 8 2" xfId="44522"/>
    <cellStyle name="Input 3 8 2 8 3" xfId="48428"/>
    <cellStyle name="Input 3 8 2 9" xfId="39858"/>
    <cellStyle name="Input 3 8 3" xfId="53104"/>
    <cellStyle name="Input 3 9" xfId="1950"/>
    <cellStyle name="Input 3 9 2" xfId="7119"/>
    <cellStyle name="Input 3 9 2 10" xfId="42599"/>
    <cellStyle name="Input 3 9 2 2" xfId="10646"/>
    <cellStyle name="Input 3 9 2 2 2" xfId="18433"/>
    <cellStyle name="Input 3 9 2 2 2 2" xfId="43965"/>
    <cellStyle name="Input 3 9 2 2 2 3" xfId="47874"/>
    <cellStyle name="Input 3 9 2 2 2 4" xfId="36056"/>
    <cellStyle name="Input 3 9 2 2 3" xfId="20149"/>
    <cellStyle name="Input 3 9 2 2 3 2" xfId="45671"/>
    <cellStyle name="Input 3 9 2 2 3 3" xfId="49577"/>
    <cellStyle name="Input 3 9 2 2 3 4" xfId="37621"/>
    <cellStyle name="Input 3 9 2 2 4" xfId="19074"/>
    <cellStyle name="Input 3 9 2 2 4 2" xfId="44596"/>
    <cellStyle name="Input 3 9 2 2 4 3" xfId="48502"/>
    <cellStyle name="Input 3 9 2 2 4 4" xfId="36656"/>
    <cellStyle name="Input 3 9 2 2 5" xfId="20846"/>
    <cellStyle name="Input 3 9 2 2 5 2" xfId="46368"/>
    <cellStyle name="Input 3 9 2 2 5 3" xfId="50274"/>
    <cellStyle name="Input 3 9 2 2 5 4" xfId="38238"/>
    <cellStyle name="Input 3 9 2 2 6" xfId="21499"/>
    <cellStyle name="Input 3 9 2 2 6 2" xfId="47021"/>
    <cellStyle name="Input 3 9 2 2 6 3" xfId="50927"/>
    <cellStyle name="Input 3 9 2 2 7" xfId="40824"/>
    <cellStyle name="Input 3 9 2 2 8" xfId="39680"/>
    <cellStyle name="Input 3 9 2 3" xfId="10941"/>
    <cellStyle name="Input 3 9 2 3 2" xfId="18728"/>
    <cellStyle name="Input 3 9 2 3 2 2" xfId="44260"/>
    <cellStyle name="Input 3 9 2 3 2 3" xfId="48169"/>
    <cellStyle name="Input 3 9 2 3 2 4" xfId="36351"/>
    <cellStyle name="Input 3 9 2 3 3" xfId="19867"/>
    <cellStyle name="Input 3 9 2 3 3 2" xfId="45389"/>
    <cellStyle name="Input 3 9 2 3 3 3" xfId="49295"/>
    <cellStyle name="Input 3 9 2 3 3 4" xfId="37367"/>
    <cellStyle name="Input 3 9 2 3 4" xfId="20276"/>
    <cellStyle name="Input 3 9 2 3 4 2" xfId="45798"/>
    <cellStyle name="Input 3 9 2 3 4 3" xfId="49704"/>
    <cellStyle name="Input 3 9 2 3 4 4" xfId="37729"/>
    <cellStyle name="Input 3 9 2 3 5" xfId="21141"/>
    <cellStyle name="Input 3 9 2 3 5 2" xfId="46663"/>
    <cellStyle name="Input 3 9 2 3 5 3" xfId="50569"/>
    <cellStyle name="Input 3 9 2 3 5 4" xfId="38533"/>
    <cellStyle name="Input 3 9 2 3 6" xfId="21794"/>
    <cellStyle name="Input 3 9 2 3 6 2" xfId="47316"/>
    <cellStyle name="Input 3 9 2 3 6 3" xfId="51222"/>
    <cellStyle name="Input 3 9 2 3 7" xfId="41119"/>
    <cellStyle name="Input 3 9 2 3 8" xfId="39667"/>
    <cellStyle name="Input 3 9 2 4" xfId="14901"/>
    <cellStyle name="Input 3 9 2 4 2" xfId="42999"/>
    <cellStyle name="Input 3 9 2 4 3" xfId="40284"/>
    <cellStyle name="Input 3 9 2 4 4" xfId="32522"/>
    <cellStyle name="Input 3 9 2 5" xfId="12019"/>
    <cellStyle name="Input 3 9 2 5 2" xfId="41756"/>
    <cellStyle name="Input 3 9 2 5 3" xfId="43177"/>
    <cellStyle name="Input 3 9 2 5 4" xfId="29687"/>
    <cellStyle name="Input 3 9 2 6" xfId="19617"/>
    <cellStyle name="Input 3 9 2 6 2" xfId="45139"/>
    <cellStyle name="Input 3 9 2 6 3" xfId="49045"/>
    <cellStyle name="Input 3 9 2 6 4" xfId="37142"/>
    <cellStyle name="Input 3 9 2 7" xfId="20485"/>
    <cellStyle name="Input 3 9 2 7 2" xfId="46007"/>
    <cellStyle name="Input 3 9 2 7 3" xfId="49913"/>
    <cellStyle name="Input 3 9 2 7 4" xfId="37915"/>
    <cellStyle name="Input 3 9 2 8" xfId="20492"/>
    <cellStyle name="Input 3 9 2 8 2" xfId="46014"/>
    <cellStyle name="Input 3 9 2 8 3" xfId="49920"/>
    <cellStyle name="Input 3 9 2 9" xfId="39859"/>
    <cellStyle name="Input 3 9 3" xfId="53105"/>
    <cellStyle name="Input 3_BallGrid" xfId="1951"/>
    <cellStyle name="Input 30" xfId="1952"/>
    <cellStyle name="Input 30 2" xfId="1953"/>
    <cellStyle name="Input 30 2 2" xfId="1954"/>
    <cellStyle name="Input 30 2 2 2" xfId="7122"/>
    <cellStyle name="Input 30 2 2 2 10" xfId="39487"/>
    <cellStyle name="Input 30 2 2 2 2" xfId="10649"/>
    <cellStyle name="Input 30 2 2 2 2 2" xfId="18436"/>
    <cellStyle name="Input 30 2 2 2 2 2 2" xfId="43968"/>
    <cellStyle name="Input 30 2 2 2 2 2 3" xfId="47877"/>
    <cellStyle name="Input 30 2 2 2 2 2 4" xfId="36059"/>
    <cellStyle name="Input 30 2 2 2 2 3" xfId="19281"/>
    <cellStyle name="Input 30 2 2 2 2 3 2" xfId="44803"/>
    <cellStyle name="Input 30 2 2 2 2 3 3" xfId="48709"/>
    <cellStyle name="Input 30 2 2 2 2 3 4" xfId="36845"/>
    <cellStyle name="Input 30 2 2 2 2 4" xfId="12654"/>
    <cellStyle name="Input 30 2 2 2 2 4 2" xfId="42114"/>
    <cellStyle name="Input 30 2 2 2 2 4 3" xfId="39286"/>
    <cellStyle name="Input 30 2 2 2 2 4 4" xfId="30304"/>
    <cellStyle name="Input 30 2 2 2 2 5" xfId="20849"/>
    <cellStyle name="Input 30 2 2 2 2 5 2" xfId="46371"/>
    <cellStyle name="Input 30 2 2 2 2 5 3" xfId="50277"/>
    <cellStyle name="Input 30 2 2 2 2 5 4" xfId="38241"/>
    <cellStyle name="Input 30 2 2 2 2 6" xfId="21502"/>
    <cellStyle name="Input 30 2 2 2 2 6 2" xfId="47024"/>
    <cellStyle name="Input 30 2 2 2 2 6 3" xfId="50930"/>
    <cellStyle name="Input 30 2 2 2 2 7" xfId="40827"/>
    <cellStyle name="Input 30 2 2 2 2 8" xfId="40464"/>
    <cellStyle name="Input 30 2 2 2 3" xfId="10944"/>
    <cellStyle name="Input 30 2 2 2 3 2" xfId="18731"/>
    <cellStyle name="Input 30 2 2 2 3 2 2" xfId="44263"/>
    <cellStyle name="Input 30 2 2 2 3 2 3" xfId="48172"/>
    <cellStyle name="Input 30 2 2 2 3 2 4" xfId="36354"/>
    <cellStyle name="Input 30 2 2 2 3 3" xfId="11525"/>
    <cellStyle name="Input 30 2 2 2 3 3 2" xfId="41516"/>
    <cellStyle name="Input 30 2 2 2 3 3 3" xfId="39326"/>
    <cellStyle name="Input 30 2 2 2 3 3 4" xfId="29226"/>
    <cellStyle name="Input 30 2 2 2 3 4" xfId="12491"/>
    <cellStyle name="Input 30 2 2 2 3 4 2" xfId="41985"/>
    <cellStyle name="Input 30 2 2 2 3 4 3" xfId="43562"/>
    <cellStyle name="Input 30 2 2 2 3 4 4" xfId="30147"/>
    <cellStyle name="Input 30 2 2 2 3 5" xfId="21144"/>
    <cellStyle name="Input 30 2 2 2 3 5 2" xfId="46666"/>
    <cellStyle name="Input 30 2 2 2 3 5 3" xfId="50572"/>
    <cellStyle name="Input 30 2 2 2 3 5 4" xfId="38536"/>
    <cellStyle name="Input 30 2 2 2 3 6" xfId="21797"/>
    <cellStyle name="Input 30 2 2 2 3 6 2" xfId="47319"/>
    <cellStyle name="Input 30 2 2 2 3 6 3" xfId="51225"/>
    <cellStyle name="Input 30 2 2 2 3 7" xfId="41122"/>
    <cellStyle name="Input 30 2 2 2 3 8" xfId="40451"/>
    <cellStyle name="Input 30 2 2 2 4" xfId="14904"/>
    <cellStyle name="Input 30 2 2 2 4 2" xfId="43002"/>
    <cellStyle name="Input 30 2 2 2 4 3" xfId="41916"/>
    <cellStyle name="Input 30 2 2 2 4 4" xfId="32525"/>
    <cellStyle name="Input 30 2 2 2 5" xfId="13145"/>
    <cellStyle name="Input 30 2 2 2 5 2" xfId="42347"/>
    <cellStyle name="Input 30 2 2 2 5 3" xfId="39071"/>
    <cellStyle name="Input 30 2 2 2 5 4" xfId="30780"/>
    <cellStyle name="Input 30 2 2 2 6" xfId="19941"/>
    <cellStyle name="Input 30 2 2 2 6 2" xfId="45463"/>
    <cellStyle name="Input 30 2 2 2 6 3" xfId="49369"/>
    <cellStyle name="Input 30 2 2 2 6 4" xfId="37432"/>
    <cellStyle name="Input 30 2 2 2 7" xfId="20481"/>
    <cellStyle name="Input 30 2 2 2 7 2" xfId="46003"/>
    <cellStyle name="Input 30 2 2 2 7 3" xfId="49909"/>
    <cellStyle name="Input 30 2 2 2 7 4" xfId="37911"/>
    <cellStyle name="Input 30 2 2 2 8" xfId="19488"/>
    <cellStyle name="Input 30 2 2 2 8 2" xfId="45010"/>
    <cellStyle name="Input 30 2 2 2 8 3" xfId="48916"/>
    <cellStyle name="Input 30 2 2 2 9" xfId="39862"/>
    <cellStyle name="Input 30 2 2 3" xfId="53108"/>
    <cellStyle name="Input 30 2 3" xfId="7121"/>
    <cellStyle name="Input 30 2 3 10" xfId="40375"/>
    <cellStyle name="Input 30 2 3 2" xfId="10648"/>
    <cellStyle name="Input 30 2 3 2 2" xfId="18435"/>
    <cellStyle name="Input 30 2 3 2 2 2" xfId="43967"/>
    <cellStyle name="Input 30 2 3 2 2 3" xfId="47876"/>
    <cellStyle name="Input 30 2 3 2 2 4" xfId="36058"/>
    <cellStyle name="Input 30 2 3 2 3" xfId="20015"/>
    <cellStyle name="Input 30 2 3 2 3 2" xfId="45537"/>
    <cellStyle name="Input 30 2 3 2 3 3" xfId="49443"/>
    <cellStyle name="Input 30 2 3 2 3 4" xfId="37499"/>
    <cellStyle name="Input 30 2 3 2 4" xfId="20259"/>
    <cellStyle name="Input 30 2 3 2 4 2" xfId="45781"/>
    <cellStyle name="Input 30 2 3 2 4 3" xfId="49687"/>
    <cellStyle name="Input 30 2 3 2 4 4" xfId="37714"/>
    <cellStyle name="Input 30 2 3 2 5" xfId="20848"/>
    <cellStyle name="Input 30 2 3 2 5 2" xfId="46370"/>
    <cellStyle name="Input 30 2 3 2 5 3" xfId="50276"/>
    <cellStyle name="Input 30 2 3 2 5 4" xfId="38240"/>
    <cellStyle name="Input 30 2 3 2 6" xfId="21501"/>
    <cellStyle name="Input 30 2 3 2 6 2" xfId="47023"/>
    <cellStyle name="Input 30 2 3 2 6 3" xfId="50929"/>
    <cellStyle name="Input 30 2 3 2 7" xfId="40826"/>
    <cellStyle name="Input 30 2 3 2 8" xfId="43606"/>
    <cellStyle name="Input 30 2 3 3" xfId="10943"/>
    <cellStyle name="Input 30 2 3 3 2" xfId="18730"/>
    <cellStyle name="Input 30 2 3 3 2 2" xfId="44262"/>
    <cellStyle name="Input 30 2 3 3 2 3" xfId="48171"/>
    <cellStyle name="Input 30 2 3 3 2 4" xfId="36353"/>
    <cellStyle name="Input 30 2 3 3 3" xfId="19699"/>
    <cellStyle name="Input 30 2 3 3 3 2" xfId="45221"/>
    <cellStyle name="Input 30 2 3 3 3 3" xfId="49127"/>
    <cellStyle name="Input 30 2 3 3 3 4" xfId="37212"/>
    <cellStyle name="Input 30 2 3 3 4" xfId="19240"/>
    <cellStyle name="Input 30 2 3 3 4 2" xfId="44762"/>
    <cellStyle name="Input 30 2 3 3 4 3" xfId="48668"/>
    <cellStyle name="Input 30 2 3 3 4 4" xfId="36804"/>
    <cellStyle name="Input 30 2 3 3 5" xfId="21143"/>
    <cellStyle name="Input 30 2 3 3 5 2" xfId="46665"/>
    <cellStyle name="Input 30 2 3 3 5 3" xfId="50571"/>
    <cellStyle name="Input 30 2 3 3 5 4" xfId="38535"/>
    <cellStyle name="Input 30 2 3 3 6" xfId="21796"/>
    <cellStyle name="Input 30 2 3 3 6 2" xfId="47318"/>
    <cellStyle name="Input 30 2 3 3 6 3" xfId="51224"/>
    <cellStyle name="Input 30 2 3 3 7" xfId="41121"/>
    <cellStyle name="Input 30 2 3 3 8" xfId="43593"/>
    <cellStyle name="Input 30 2 3 4" xfId="14903"/>
    <cellStyle name="Input 30 2 3 4 2" xfId="43001"/>
    <cellStyle name="Input 30 2 3 4 3" xfId="47555"/>
    <cellStyle name="Input 30 2 3 4 4" xfId="32524"/>
    <cellStyle name="Input 30 2 3 5" xfId="13144"/>
    <cellStyle name="Input 30 2 3 5 2" xfId="42346"/>
    <cellStyle name="Input 30 2 3 5 3" xfId="47579"/>
    <cellStyle name="Input 30 2 3 5 4" xfId="30779"/>
    <cellStyle name="Input 30 2 3 6" xfId="19303"/>
    <cellStyle name="Input 30 2 3 6 2" xfId="44825"/>
    <cellStyle name="Input 30 2 3 6 3" xfId="48731"/>
    <cellStyle name="Input 30 2 3 6 4" xfId="36867"/>
    <cellStyle name="Input 30 2 3 7" xfId="11068"/>
    <cellStyle name="Input 30 2 3 7 2" xfId="41246"/>
    <cellStyle name="Input 30 2 3 7 3" xfId="40054"/>
    <cellStyle name="Input 30 2 3 7 4" xfId="28784"/>
    <cellStyle name="Input 30 2 3 8" xfId="13917"/>
    <cellStyle name="Input 30 2 3 8 2" xfId="42633"/>
    <cellStyle name="Input 30 2 3 8 3" xfId="39509"/>
    <cellStyle name="Input 30 2 3 9" xfId="39861"/>
    <cellStyle name="Input 30 2 4" xfId="53107"/>
    <cellStyle name="Input 30 2_Sheet1" xfId="1955"/>
    <cellStyle name="Input 30 3" xfId="1956"/>
    <cellStyle name="Input 30 3 2" xfId="7123"/>
    <cellStyle name="Input 30 3 2 10" xfId="42168"/>
    <cellStyle name="Input 30 3 2 2" xfId="10650"/>
    <cellStyle name="Input 30 3 2 2 2" xfId="18437"/>
    <cellStyle name="Input 30 3 2 2 2 2" xfId="43969"/>
    <cellStyle name="Input 30 3 2 2 2 3" xfId="47878"/>
    <cellStyle name="Input 30 3 2 2 2 4" xfId="36060"/>
    <cellStyle name="Input 30 3 2 2 3" xfId="19890"/>
    <cellStyle name="Input 30 3 2 2 3 2" xfId="45412"/>
    <cellStyle name="Input 30 3 2 2 3 3" xfId="49318"/>
    <cellStyle name="Input 30 3 2 2 3 4" xfId="37390"/>
    <cellStyle name="Input 30 3 2 2 4" xfId="18931"/>
    <cellStyle name="Input 30 3 2 2 4 2" xfId="44453"/>
    <cellStyle name="Input 30 3 2 2 4 3" xfId="48359"/>
    <cellStyle name="Input 30 3 2 2 4 4" xfId="36544"/>
    <cellStyle name="Input 30 3 2 2 5" xfId="20850"/>
    <cellStyle name="Input 30 3 2 2 5 2" xfId="46372"/>
    <cellStyle name="Input 30 3 2 2 5 3" xfId="50278"/>
    <cellStyle name="Input 30 3 2 2 5 4" xfId="38242"/>
    <cellStyle name="Input 30 3 2 2 6" xfId="21503"/>
    <cellStyle name="Input 30 3 2 2 6 2" xfId="47025"/>
    <cellStyle name="Input 30 3 2 2 6 3" xfId="50931"/>
    <cellStyle name="Input 30 3 2 2 7" xfId="40828"/>
    <cellStyle name="Input 30 3 2 2 8" xfId="39574"/>
    <cellStyle name="Input 30 3 2 3" xfId="10945"/>
    <cellStyle name="Input 30 3 2 3 2" xfId="18732"/>
    <cellStyle name="Input 30 3 2 3 2 2" xfId="44264"/>
    <cellStyle name="Input 30 3 2 3 2 3" xfId="48173"/>
    <cellStyle name="Input 30 3 2 3 2 4" xfId="36355"/>
    <cellStyle name="Input 30 3 2 3 3" xfId="13337"/>
    <cellStyle name="Input 30 3 2 3 3 2" xfId="42488"/>
    <cellStyle name="Input 30 3 2 3 3 3" xfId="39411"/>
    <cellStyle name="Input 30 3 2 3 3 4" xfId="30963"/>
    <cellStyle name="Input 30 3 2 3 4" xfId="11610"/>
    <cellStyle name="Input 30 3 2 3 4 2" xfId="41601"/>
    <cellStyle name="Input 30 3 2 3 4 3" xfId="39646"/>
    <cellStyle name="Input 30 3 2 3 4 4" xfId="29299"/>
    <cellStyle name="Input 30 3 2 3 5" xfId="21145"/>
    <cellStyle name="Input 30 3 2 3 5 2" xfId="46667"/>
    <cellStyle name="Input 30 3 2 3 5 3" xfId="50573"/>
    <cellStyle name="Input 30 3 2 3 5 4" xfId="38537"/>
    <cellStyle name="Input 30 3 2 3 6" xfId="21798"/>
    <cellStyle name="Input 30 3 2 3 6 2" xfId="47320"/>
    <cellStyle name="Input 30 3 2 3 6 3" xfId="51226"/>
    <cellStyle name="Input 30 3 2 3 7" xfId="41123"/>
    <cellStyle name="Input 30 3 2 3 8" xfId="39561"/>
    <cellStyle name="Input 30 3 2 4" xfId="14905"/>
    <cellStyle name="Input 30 3 2 4 2" xfId="43003"/>
    <cellStyle name="Input 30 3 2 4 3" xfId="43270"/>
    <cellStyle name="Input 30 3 2 4 4" xfId="32526"/>
    <cellStyle name="Input 30 3 2 5" xfId="11306"/>
    <cellStyle name="Input 30 3 2 5 2" xfId="41331"/>
    <cellStyle name="Input 30 3 2 5 3" xfId="39448"/>
    <cellStyle name="Input 30 3 2 5 4" xfId="29020"/>
    <cellStyle name="Input 30 3 2 6" xfId="19189"/>
    <cellStyle name="Input 30 3 2 6 2" xfId="44711"/>
    <cellStyle name="Input 30 3 2 6 3" xfId="48617"/>
    <cellStyle name="Input 30 3 2 6 4" xfId="36760"/>
    <cellStyle name="Input 30 3 2 7" xfId="19683"/>
    <cellStyle name="Input 30 3 2 7 2" xfId="45205"/>
    <cellStyle name="Input 30 3 2 7 3" xfId="49111"/>
    <cellStyle name="Input 30 3 2 7 4" xfId="37198"/>
    <cellStyle name="Input 30 3 2 8" xfId="11575"/>
    <cellStyle name="Input 30 3 2 8 2" xfId="41566"/>
    <cellStyle name="Input 30 3 2 8 3" xfId="40327"/>
    <cellStyle name="Input 30 3 2 9" xfId="39863"/>
    <cellStyle name="Input 30 3 3" xfId="53109"/>
    <cellStyle name="Input 30 4" xfId="7120"/>
    <cellStyle name="Input 30 4 10" xfId="43512"/>
    <cellStyle name="Input 30 4 11" xfId="53110"/>
    <cellStyle name="Input 30 4 2" xfId="10647"/>
    <cellStyle name="Input 30 4 2 2" xfId="18434"/>
    <cellStyle name="Input 30 4 2 2 2" xfId="43966"/>
    <cellStyle name="Input 30 4 2 2 3" xfId="47875"/>
    <cellStyle name="Input 30 4 2 2 4" xfId="36057"/>
    <cellStyle name="Input 30 4 2 3" xfId="19408"/>
    <cellStyle name="Input 30 4 2 3 2" xfId="44930"/>
    <cellStyle name="Input 30 4 2 3 3" xfId="48836"/>
    <cellStyle name="Input 30 4 2 3 4" xfId="36959"/>
    <cellStyle name="Input 30 4 2 4" xfId="20370"/>
    <cellStyle name="Input 30 4 2 4 2" xfId="45892"/>
    <cellStyle name="Input 30 4 2 4 3" xfId="49798"/>
    <cellStyle name="Input 30 4 2 4 4" xfId="37810"/>
    <cellStyle name="Input 30 4 2 5" xfId="20847"/>
    <cellStyle name="Input 30 4 2 5 2" xfId="46369"/>
    <cellStyle name="Input 30 4 2 5 3" xfId="50275"/>
    <cellStyle name="Input 30 4 2 5 4" xfId="38239"/>
    <cellStyle name="Input 30 4 2 6" xfId="21500"/>
    <cellStyle name="Input 30 4 2 6 2" xfId="47022"/>
    <cellStyle name="Input 30 4 2 6 3" xfId="50928"/>
    <cellStyle name="Input 30 4 2 7" xfId="40825"/>
    <cellStyle name="Input 30 4 2 8" xfId="42717"/>
    <cellStyle name="Input 30 4 3" xfId="10942"/>
    <cellStyle name="Input 30 4 3 2" xfId="18729"/>
    <cellStyle name="Input 30 4 3 2 2" xfId="44261"/>
    <cellStyle name="Input 30 4 3 2 3" xfId="48170"/>
    <cellStyle name="Input 30 4 3 2 4" xfId="36352"/>
    <cellStyle name="Input 30 4 3 3" xfId="19090"/>
    <cellStyle name="Input 30 4 3 3 2" xfId="44612"/>
    <cellStyle name="Input 30 4 3 3 3" xfId="48518"/>
    <cellStyle name="Input 30 4 3 3 4" xfId="36671"/>
    <cellStyle name="Input 30 4 3 4" xfId="19213"/>
    <cellStyle name="Input 30 4 3 4 2" xfId="44735"/>
    <cellStyle name="Input 30 4 3 4 3" xfId="48641"/>
    <cellStyle name="Input 30 4 3 4 4" xfId="36782"/>
    <cellStyle name="Input 30 4 3 5" xfId="21142"/>
    <cellStyle name="Input 30 4 3 5 2" xfId="46664"/>
    <cellStyle name="Input 30 4 3 5 3" xfId="50570"/>
    <cellStyle name="Input 30 4 3 5 4" xfId="38534"/>
    <cellStyle name="Input 30 4 3 6" xfId="21795"/>
    <cellStyle name="Input 30 4 3 6 2" xfId="47317"/>
    <cellStyle name="Input 30 4 3 6 3" xfId="51223"/>
    <cellStyle name="Input 30 4 3 7" xfId="41120"/>
    <cellStyle name="Input 30 4 3 8" xfId="42704"/>
    <cellStyle name="Input 30 4 4" xfId="14902"/>
    <cellStyle name="Input 30 4 4 2" xfId="43000"/>
    <cellStyle name="Input 30 4 4 3" xfId="39401"/>
    <cellStyle name="Input 30 4 4 4" xfId="32523"/>
    <cellStyle name="Input 30 4 5" xfId="13143"/>
    <cellStyle name="Input 30 4 5 2" xfId="42345"/>
    <cellStyle name="Input 30 4 5 3" xfId="39072"/>
    <cellStyle name="Input 30 4 5 4" xfId="30778"/>
    <cellStyle name="Input 30 4 6" xfId="12517"/>
    <cellStyle name="Input 30 4 6 2" xfId="42006"/>
    <cellStyle name="Input 30 4 6 3" xfId="39289"/>
    <cellStyle name="Input 30 4 6 4" xfId="30171"/>
    <cellStyle name="Input 30 4 7" xfId="11372"/>
    <cellStyle name="Input 30 4 7 2" xfId="41388"/>
    <cellStyle name="Input 30 4 7 3" xfId="43330"/>
    <cellStyle name="Input 30 4 7 4" xfId="29080"/>
    <cellStyle name="Input 30 4 8" xfId="12668"/>
    <cellStyle name="Input 30 4 8 2" xfId="42128"/>
    <cellStyle name="Input 30 4 8 3" xfId="43447"/>
    <cellStyle name="Input 30 4 9" xfId="39860"/>
    <cellStyle name="Input 30 5" xfId="22459"/>
    <cellStyle name="Input 30 5 2" xfId="23023"/>
    <cellStyle name="Input 30 5 2 2" xfId="47610"/>
    <cellStyle name="Input 30 5 2 3" xfId="51421"/>
    <cellStyle name="Input 30 5 3" xfId="47503"/>
    <cellStyle name="Input 30 5 4" xfId="51357"/>
    <cellStyle name="Input 30 5 5" xfId="53111"/>
    <cellStyle name="Input 30 6" xfId="22900"/>
    <cellStyle name="Input 30 6 2" xfId="23048"/>
    <cellStyle name="Input 30 6 2 2" xfId="47634"/>
    <cellStyle name="Input 30 6 2 3" xfId="51445"/>
    <cellStyle name="Input 30 6 3" xfId="47590"/>
    <cellStyle name="Input 30 6 4" xfId="51405"/>
    <cellStyle name="Input 30 6 5" xfId="53112"/>
    <cellStyle name="Input 30 7" xfId="53106"/>
    <cellStyle name="Input 30_Sheet1" xfId="1957"/>
    <cellStyle name="Input 31" xfId="1958"/>
    <cellStyle name="Input 31 2" xfId="1959"/>
    <cellStyle name="Input 31 2 2" xfId="1960"/>
    <cellStyle name="Input 31 2 2 2" xfId="7126"/>
    <cellStyle name="Input 31 2 2 2 10" xfId="39385"/>
    <cellStyle name="Input 31 2 2 2 2" xfId="10653"/>
    <cellStyle name="Input 31 2 2 2 2 2" xfId="18440"/>
    <cellStyle name="Input 31 2 2 2 2 2 2" xfId="43972"/>
    <cellStyle name="Input 31 2 2 2 2 2 3" xfId="47881"/>
    <cellStyle name="Input 31 2 2 2 2 2 4" xfId="36063"/>
    <cellStyle name="Input 31 2 2 2 2 3" xfId="11492"/>
    <cellStyle name="Input 31 2 2 2 2 3 2" xfId="41483"/>
    <cellStyle name="Input 31 2 2 2 2 3 3" xfId="40541"/>
    <cellStyle name="Input 31 2 2 2 2 3 4" xfId="29193"/>
    <cellStyle name="Input 31 2 2 2 2 4" xfId="19655"/>
    <cellStyle name="Input 31 2 2 2 2 4 2" xfId="45177"/>
    <cellStyle name="Input 31 2 2 2 2 4 3" xfId="49083"/>
    <cellStyle name="Input 31 2 2 2 2 4 4" xfId="37175"/>
    <cellStyle name="Input 31 2 2 2 2 5" xfId="20853"/>
    <cellStyle name="Input 31 2 2 2 2 5 2" xfId="46375"/>
    <cellStyle name="Input 31 2 2 2 2 5 3" xfId="50281"/>
    <cellStyle name="Input 31 2 2 2 2 5 4" xfId="38245"/>
    <cellStyle name="Input 31 2 2 2 2 6" xfId="21506"/>
    <cellStyle name="Input 31 2 2 2 2 6 2" xfId="47028"/>
    <cellStyle name="Input 31 2 2 2 2 6 3" xfId="50934"/>
    <cellStyle name="Input 31 2 2 2 2 7" xfId="40831"/>
    <cellStyle name="Input 31 2 2 2 2 8" xfId="40358"/>
    <cellStyle name="Input 31 2 2 2 3" xfId="10948"/>
    <cellStyle name="Input 31 2 2 2 3 2" xfId="18735"/>
    <cellStyle name="Input 31 2 2 2 3 2 2" xfId="44267"/>
    <cellStyle name="Input 31 2 2 2 3 2 3" xfId="48176"/>
    <cellStyle name="Input 31 2 2 2 3 2 4" xfId="36358"/>
    <cellStyle name="Input 31 2 2 2 3 3" xfId="19382"/>
    <cellStyle name="Input 31 2 2 2 3 3 2" xfId="44904"/>
    <cellStyle name="Input 31 2 2 2 3 3 3" xfId="48810"/>
    <cellStyle name="Input 31 2 2 2 3 3 4" xfId="36933"/>
    <cellStyle name="Input 31 2 2 2 3 4" xfId="13292"/>
    <cellStyle name="Input 31 2 2 2 3 4 2" xfId="42443"/>
    <cellStyle name="Input 31 2 2 2 3 4 3" xfId="43650"/>
    <cellStyle name="Input 31 2 2 2 3 4 4" xfId="30922"/>
    <cellStyle name="Input 31 2 2 2 3 5" xfId="21148"/>
    <cellStyle name="Input 31 2 2 2 3 5 2" xfId="46670"/>
    <cellStyle name="Input 31 2 2 2 3 5 3" xfId="50576"/>
    <cellStyle name="Input 31 2 2 2 3 5 4" xfId="38540"/>
    <cellStyle name="Input 31 2 2 2 3 6" xfId="21801"/>
    <cellStyle name="Input 31 2 2 2 3 6 2" xfId="47323"/>
    <cellStyle name="Input 31 2 2 2 3 6 3" xfId="51229"/>
    <cellStyle name="Input 31 2 2 2 3 7" xfId="41126"/>
    <cellStyle name="Input 31 2 2 2 3 8" xfId="40345"/>
    <cellStyle name="Input 31 2 2 2 4" xfId="14908"/>
    <cellStyle name="Input 31 2 2 2 4 2" xfId="43006"/>
    <cellStyle name="Input 31 2 2 2 4 3" xfId="39031"/>
    <cellStyle name="Input 31 2 2 2 4 4" xfId="32529"/>
    <cellStyle name="Input 31 2 2 2 5" xfId="11308"/>
    <cellStyle name="Input 31 2 2 2 5 2" xfId="41333"/>
    <cellStyle name="Input 31 2 2 2 5 3" xfId="41390"/>
    <cellStyle name="Input 31 2 2 2 5 4" xfId="29022"/>
    <cellStyle name="Input 31 2 2 2 6" xfId="19816"/>
    <cellStyle name="Input 31 2 2 2 6 2" xfId="45338"/>
    <cellStyle name="Input 31 2 2 2 6 3" xfId="49244"/>
    <cellStyle name="Input 31 2 2 2 6 4" xfId="37320"/>
    <cellStyle name="Input 31 2 2 2 7" xfId="20117"/>
    <cellStyle name="Input 31 2 2 2 7 2" xfId="45639"/>
    <cellStyle name="Input 31 2 2 2 7 3" xfId="49545"/>
    <cellStyle name="Input 31 2 2 2 7 4" xfId="37589"/>
    <cellStyle name="Input 31 2 2 2 8" xfId="20496"/>
    <cellStyle name="Input 31 2 2 2 8 2" xfId="46018"/>
    <cellStyle name="Input 31 2 2 2 8 3" xfId="49924"/>
    <cellStyle name="Input 31 2 2 2 9" xfId="39866"/>
    <cellStyle name="Input 31 2 2 3" xfId="53115"/>
    <cellStyle name="Input 31 2 3" xfId="7125"/>
    <cellStyle name="Input 31 2 3 10" xfId="40257"/>
    <cellStyle name="Input 31 2 3 2" xfId="10652"/>
    <cellStyle name="Input 31 2 3 2 2" xfId="18439"/>
    <cellStyle name="Input 31 2 3 2 2 2" xfId="43971"/>
    <cellStyle name="Input 31 2 3 2 2 3" xfId="47880"/>
    <cellStyle name="Input 31 2 3 2 2 4" xfId="36062"/>
    <cellStyle name="Input 31 2 3 2 3" xfId="19732"/>
    <cellStyle name="Input 31 2 3 2 3 2" xfId="45254"/>
    <cellStyle name="Input 31 2 3 2 3 3" xfId="49160"/>
    <cellStyle name="Input 31 2 3 2 3 4" xfId="37245"/>
    <cellStyle name="Input 31 2 3 2 4" xfId="19664"/>
    <cellStyle name="Input 31 2 3 2 4 2" xfId="45186"/>
    <cellStyle name="Input 31 2 3 2 4 3" xfId="49092"/>
    <cellStyle name="Input 31 2 3 2 4 4" xfId="37182"/>
    <cellStyle name="Input 31 2 3 2 5" xfId="20852"/>
    <cellStyle name="Input 31 2 3 2 5 2" xfId="46374"/>
    <cellStyle name="Input 31 2 3 2 5 3" xfId="50280"/>
    <cellStyle name="Input 31 2 3 2 5 4" xfId="38244"/>
    <cellStyle name="Input 31 2 3 2 6" xfId="21505"/>
    <cellStyle name="Input 31 2 3 2 6 2" xfId="47027"/>
    <cellStyle name="Input 31 2 3 2 6 3" xfId="50933"/>
    <cellStyle name="Input 31 2 3 2 7" xfId="40830"/>
    <cellStyle name="Input 31 2 3 2 8" xfId="43495"/>
    <cellStyle name="Input 31 2 3 3" xfId="10947"/>
    <cellStyle name="Input 31 2 3 3 2" xfId="18734"/>
    <cellStyle name="Input 31 2 3 3 2 2" xfId="44266"/>
    <cellStyle name="Input 31 2 3 3 2 3" xfId="48175"/>
    <cellStyle name="Input 31 2 3 3 2 4" xfId="36357"/>
    <cellStyle name="Input 31 2 3 3 3" xfId="20123"/>
    <cellStyle name="Input 31 2 3 3 3 2" xfId="45645"/>
    <cellStyle name="Input 31 2 3 3 3 3" xfId="49551"/>
    <cellStyle name="Input 31 2 3 3 3 4" xfId="37595"/>
    <cellStyle name="Input 31 2 3 3 4" xfId="19172"/>
    <cellStyle name="Input 31 2 3 3 4 2" xfId="44694"/>
    <cellStyle name="Input 31 2 3 3 4 3" xfId="48600"/>
    <cellStyle name="Input 31 2 3 3 4 4" xfId="36745"/>
    <cellStyle name="Input 31 2 3 3 5" xfId="21147"/>
    <cellStyle name="Input 31 2 3 3 5 2" xfId="46669"/>
    <cellStyle name="Input 31 2 3 3 5 3" xfId="50575"/>
    <cellStyle name="Input 31 2 3 3 5 4" xfId="38539"/>
    <cellStyle name="Input 31 2 3 3 6" xfId="21800"/>
    <cellStyle name="Input 31 2 3 3 6 2" xfId="47322"/>
    <cellStyle name="Input 31 2 3 3 6 3" xfId="51228"/>
    <cellStyle name="Input 31 2 3 3 7" xfId="41125"/>
    <cellStyle name="Input 31 2 3 3 8" xfId="43482"/>
    <cellStyle name="Input 31 2 3 4" xfId="14907"/>
    <cellStyle name="Input 31 2 3 4 2" xfId="43005"/>
    <cellStyle name="Input 31 2 3 4 3" xfId="39243"/>
    <cellStyle name="Input 31 2 3 4 4" xfId="32528"/>
    <cellStyle name="Input 31 2 3 5" xfId="11309"/>
    <cellStyle name="Input 31 2 3 5 2" xfId="41334"/>
    <cellStyle name="Input 31 2 3 5 3" xfId="43193"/>
    <cellStyle name="Input 31 2 3 5 4" xfId="29023"/>
    <cellStyle name="Input 31 2 3 6" xfId="12125"/>
    <cellStyle name="Input 31 2 3 6 2" xfId="41850"/>
    <cellStyle name="Input 31 2 3 6 3" xfId="47552"/>
    <cellStyle name="Input 31 2 3 6 4" xfId="29784"/>
    <cellStyle name="Input 31 2 3 7" xfId="18900"/>
    <cellStyle name="Input 31 2 3 7 2" xfId="44422"/>
    <cellStyle name="Input 31 2 3 7 3" xfId="48328"/>
    <cellStyle name="Input 31 2 3 7 4" xfId="36518"/>
    <cellStyle name="Input 31 2 3 8" xfId="20598"/>
    <cellStyle name="Input 31 2 3 8 2" xfId="46120"/>
    <cellStyle name="Input 31 2 3 8 3" xfId="50026"/>
    <cellStyle name="Input 31 2 3 9" xfId="39865"/>
    <cellStyle name="Input 31 2 4" xfId="53114"/>
    <cellStyle name="Input 31 2_Sheet1" xfId="1961"/>
    <cellStyle name="Input 31 3" xfId="1962"/>
    <cellStyle name="Input 31 3 2" xfId="7127"/>
    <cellStyle name="Input 31 3 2 10" xfId="39214"/>
    <cellStyle name="Input 31 3 2 2" xfId="10654"/>
    <cellStyle name="Input 31 3 2 2 2" xfId="18441"/>
    <cellStyle name="Input 31 3 2 2 2 2" xfId="43973"/>
    <cellStyle name="Input 31 3 2 2 2 3" xfId="47882"/>
    <cellStyle name="Input 31 3 2 2 2 4" xfId="36064"/>
    <cellStyle name="Input 31 3 2 2 3" xfId="13319"/>
    <cellStyle name="Input 31 3 2 2 3 2" xfId="42470"/>
    <cellStyle name="Input 31 3 2 2 3 3" xfId="43433"/>
    <cellStyle name="Input 31 3 2 2 3 4" xfId="30945"/>
    <cellStyle name="Input 31 3 2 2 4" xfId="11790"/>
    <cellStyle name="Input 31 3 2 2 4 2" xfId="41720"/>
    <cellStyle name="Input 31 3 2 2 4 3" xfId="39123"/>
    <cellStyle name="Input 31 3 2 2 4 4" xfId="29462"/>
    <cellStyle name="Input 31 3 2 2 5" xfId="20854"/>
    <cellStyle name="Input 31 3 2 2 5 2" xfId="46376"/>
    <cellStyle name="Input 31 3 2 2 5 3" xfId="50282"/>
    <cellStyle name="Input 31 3 2 2 5 4" xfId="38246"/>
    <cellStyle name="Input 31 3 2 2 6" xfId="21507"/>
    <cellStyle name="Input 31 3 2 2 6 2" xfId="47029"/>
    <cellStyle name="Input 31 3 2 2 6 3" xfId="50935"/>
    <cellStyle name="Input 31 3 2 2 7" xfId="40832"/>
    <cellStyle name="Input 31 3 2 2 8" xfId="39470"/>
    <cellStyle name="Input 31 3 2 3" xfId="10949"/>
    <cellStyle name="Input 31 3 2 3 2" xfId="18736"/>
    <cellStyle name="Input 31 3 2 3 2 2" xfId="44268"/>
    <cellStyle name="Input 31 3 2 3 2 3" xfId="48177"/>
    <cellStyle name="Input 31 3 2 3 2 4" xfId="36359"/>
    <cellStyle name="Input 31 3 2 3 3" xfId="19989"/>
    <cellStyle name="Input 31 3 2 3 3 2" xfId="45511"/>
    <cellStyle name="Input 31 3 2 3 3 3" xfId="49417"/>
    <cellStyle name="Input 31 3 2 3 3 4" xfId="37473"/>
    <cellStyle name="Input 31 3 2 3 4" xfId="13898"/>
    <cellStyle name="Input 31 3 2 3 4 2" xfId="42614"/>
    <cellStyle name="Input 31 3 2 3 4 3" xfId="40292"/>
    <cellStyle name="Input 31 3 2 3 4 4" xfId="31523"/>
    <cellStyle name="Input 31 3 2 3 5" xfId="21149"/>
    <cellStyle name="Input 31 3 2 3 5 2" xfId="46671"/>
    <cellStyle name="Input 31 3 2 3 5 3" xfId="50577"/>
    <cellStyle name="Input 31 3 2 3 5 4" xfId="38541"/>
    <cellStyle name="Input 31 3 2 3 6" xfId="21802"/>
    <cellStyle name="Input 31 3 2 3 6 2" xfId="47324"/>
    <cellStyle name="Input 31 3 2 3 6 3" xfId="51230"/>
    <cellStyle name="Input 31 3 2 3 7" xfId="41127"/>
    <cellStyle name="Input 31 3 2 3 8" xfId="39457"/>
    <cellStyle name="Input 31 3 2 4" xfId="14909"/>
    <cellStyle name="Input 31 3 2 4 2" xfId="43007"/>
    <cellStyle name="Input 31 3 2 4 3" xfId="47453"/>
    <cellStyle name="Input 31 3 2 4 4" xfId="32530"/>
    <cellStyle name="Input 31 3 2 5" xfId="13146"/>
    <cellStyle name="Input 31 3 2 5 2" xfId="42348"/>
    <cellStyle name="Input 31 3 2 5 3" xfId="39070"/>
    <cellStyle name="Input 31 3 2 5 4" xfId="30781"/>
    <cellStyle name="Input 31 3 2 6" xfId="11594"/>
    <cellStyle name="Input 31 3 2 6 2" xfId="41585"/>
    <cellStyle name="Input 31 3 2 6 3" xfId="42550"/>
    <cellStyle name="Input 31 3 2 6 4" xfId="29285"/>
    <cellStyle name="Input 31 3 2 7" xfId="18881"/>
    <cellStyle name="Input 31 3 2 7 2" xfId="44403"/>
    <cellStyle name="Input 31 3 2 7 3" xfId="48309"/>
    <cellStyle name="Input 31 3 2 7 4" xfId="36503"/>
    <cellStyle name="Input 31 3 2 8" xfId="19164"/>
    <cellStyle name="Input 31 3 2 8 2" xfId="44686"/>
    <cellStyle name="Input 31 3 2 8 3" xfId="48592"/>
    <cellStyle name="Input 31 3 2 9" xfId="39867"/>
    <cellStyle name="Input 31 3 3" xfId="53116"/>
    <cellStyle name="Input 31 4" xfId="7124"/>
    <cellStyle name="Input 31 4 10" xfId="43395"/>
    <cellStyle name="Input 31 4 11" xfId="53117"/>
    <cellStyle name="Input 31 4 2" xfId="10651"/>
    <cellStyle name="Input 31 4 2 2" xfId="18438"/>
    <cellStyle name="Input 31 4 2 2 2" xfId="43970"/>
    <cellStyle name="Input 31 4 2 2 3" xfId="47879"/>
    <cellStyle name="Input 31 4 2 2 4" xfId="36061"/>
    <cellStyle name="Input 31 4 2 3" xfId="19113"/>
    <cellStyle name="Input 31 4 2 3 2" xfId="44635"/>
    <cellStyle name="Input 31 4 2 3 3" xfId="48541"/>
    <cellStyle name="Input 31 4 2 3 4" xfId="36694"/>
    <cellStyle name="Input 31 4 2 4" xfId="19215"/>
    <cellStyle name="Input 31 4 2 4 2" xfId="44737"/>
    <cellStyle name="Input 31 4 2 4 3" xfId="48643"/>
    <cellStyle name="Input 31 4 2 4 4" xfId="36784"/>
    <cellStyle name="Input 31 4 2 5" xfId="20851"/>
    <cellStyle name="Input 31 4 2 5 2" xfId="46373"/>
    <cellStyle name="Input 31 4 2 5 3" xfId="50279"/>
    <cellStyle name="Input 31 4 2 5 4" xfId="38243"/>
    <cellStyle name="Input 31 4 2 6" xfId="21504"/>
    <cellStyle name="Input 31 4 2 6 2" xfId="47026"/>
    <cellStyle name="Input 31 4 2 6 3" xfId="50932"/>
    <cellStyle name="Input 31 4 2 7" xfId="40829"/>
    <cellStyle name="Input 31 4 2 8" xfId="42582"/>
    <cellStyle name="Input 31 4 3" xfId="10946"/>
    <cellStyle name="Input 31 4 3 2" xfId="18733"/>
    <cellStyle name="Input 31 4 3 2 2" xfId="44265"/>
    <cellStyle name="Input 31 4 3 2 3" xfId="48174"/>
    <cellStyle name="Input 31 4 3 2 4" xfId="36356"/>
    <cellStyle name="Input 31 4 3 3" xfId="19574"/>
    <cellStyle name="Input 31 4 3 3 2" xfId="45096"/>
    <cellStyle name="Input 31 4 3 3 3" xfId="49002"/>
    <cellStyle name="Input 31 4 3 3 4" xfId="37100"/>
    <cellStyle name="Input 31 4 3 4" xfId="19040"/>
    <cellStyle name="Input 31 4 3 4 2" xfId="44562"/>
    <cellStyle name="Input 31 4 3 4 3" xfId="48468"/>
    <cellStyle name="Input 31 4 3 4 4" xfId="36626"/>
    <cellStyle name="Input 31 4 3 5" xfId="21146"/>
    <cellStyle name="Input 31 4 3 5 2" xfId="46668"/>
    <cellStyle name="Input 31 4 3 5 3" xfId="50574"/>
    <cellStyle name="Input 31 4 3 5 4" xfId="38538"/>
    <cellStyle name="Input 31 4 3 6" xfId="21799"/>
    <cellStyle name="Input 31 4 3 6 2" xfId="47321"/>
    <cellStyle name="Input 31 4 3 6 3" xfId="51227"/>
    <cellStyle name="Input 31 4 3 7" xfId="41124"/>
    <cellStyle name="Input 31 4 3 8" xfId="42569"/>
    <cellStyle name="Input 31 4 4" xfId="14906"/>
    <cellStyle name="Input 31 4 4 2" xfId="43004"/>
    <cellStyle name="Input 31 4 4 3" xfId="40129"/>
    <cellStyle name="Input 31 4 4 4" xfId="32527"/>
    <cellStyle name="Input 31 4 5" xfId="11307"/>
    <cellStyle name="Input 31 4 5 2" xfId="41332"/>
    <cellStyle name="Input 31 4 5 3" xfId="39335"/>
    <cellStyle name="Input 31 4 5 4" xfId="29021"/>
    <cellStyle name="Input 31 4 6" xfId="19209"/>
    <cellStyle name="Input 31 4 6 2" xfId="44731"/>
    <cellStyle name="Input 31 4 6 3" xfId="48637"/>
    <cellStyle name="Input 31 4 6 4" xfId="36780"/>
    <cellStyle name="Input 31 4 7" xfId="19560"/>
    <cellStyle name="Input 31 4 7 2" xfId="45082"/>
    <cellStyle name="Input 31 4 7 3" xfId="48988"/>
    <cellStyle name="Input 31 4 7 4" xfId="37087"/>
    <cellStyle name="Input 31 4 8" xfId="20339"/>
    <cellStyle name="Input 31 4 8 2" xfId="45861"/>
    <cellStyle name="Input 31 4 8 3" xfId="49767"/>
    <cellStyle name="Input 31 4 9" xfId="39864"/>
    <cellStyle name="Input 31 5" xfId="22460"/>
    <cellStyle name="Input 31 5 2" xfId="23024"/>
    <cellStyle name="Input 31 5 2 2" xfId="47611"/>
    <cellStyle name="Input 31 5 2 3" xfId="51422"/>
    <cellStyle name="Input 31 5 3" xfId="47504"/>
    <cellStyle name="Input 31 5 4" xfId="51358"/>
    <cellStyle name="Input 31 5 5" xfId="53118"/>
    <cellStyle name="Input 31 6" xfId="22899"/>
    <cellStyle name="Input 31 6 2" xfId="23047"/>
    <cellStyle name="Input 31 6 2 2" xfId="47633"/>
    <cellStyle name="Input 31 6 2 3" xfId="51444"/>
    <cellStyle name="Input 31 6 3" xfId="47589"/>
    <cellStyle name="Input 31 6 4" xfId="51404"/>
    <cellStyle name="Input 31 6 5" xfId="53119"/>
    <cellStyle name="Input 31 7" xfId="53113"/>
    <cellStyle name="Input 31_Sheet1" xfId="1963"/>
    <cellStyle name="Input 32" xfId="1964"/>
    <cellStyle name="Input 32 2" xfId="1965"/>
    <cellStyle name="Input 32 2 2" xfId="1966"/>
    <cellStyle name="Input 32 2 2 2" xfId="7130"/>
    <cellStyle name="Input 32 2 2 2 10" xfId="47572"/>
    <cellStyle name="Input 32 2 2 2 2" xfId="10657"/>
    <cellStyle name="Input 32 2 2 2 2 2" xfId="18444"/>
    <cellStyle name="Input 32 2 2 2 2 2 2" xfId="43976"/>
    <cellStyle name="Input 32 2 2 2 2 2 3" xfId="47885"/>
    <cellStyle name="Input 32 2 2 2 2 2 4" xfId="36067"/>
    <cellStyle name="Input 32 2 2 2 2 3" xfId="19407"/>
    <cellStyle name="Input 32 2 2 2 2 3 2" xfId="44929"/>
    <cellStyle name="Input 32 2 2 2 2 3 3" xfId="48835"/>
    <cellStyle name="Input 32 2 2 2 2 3 4" xfId="36958"/>
    <cellStyle name="Input 32 2 2 2 2 4" xfId="20311"/>
    <cellStyle name="Input 32 2 2 2 2 4 2" xfId="45833"/>
    <cellStyle name="Input 32 2 2 2 2 4 3" xfId="49739"/>
    <cellStyle name="Input 32 2 2 2 2 4 4" xfId="37761"/>
    <cellStyle name="Input 32 2 2 2 2 5" xfId="20857"/>
    <cellStyle name="Input 32 2 2 2 2 5 2" xfId="46379"/>
    <cellStyle name="Input 32 2 2 2 2 5 3" xfId="50285"/>
    <cellStyle name="Input 32 2 2 2 2 5 4" xfId="38249"/>
    <cellStyle name="Input 32 2 2 2 2 6" xfId="21510"/>
    <cellStyle name="Input 32 2 2 2 2 6 2" xfId="47032"/>
    <cellStyle name="Input 32 2 2 2 2 6 3" xfId="50938"/>
    <cellStyle name="Input 32 2 2 2 2 7" xfId="40835"/>
    <cellStyle name="Input 32 2 2 2 2 8" xfId="40222"/>
    <cellStyle name="Input 32 2 2 2 3" xfId="10952"/>
    <cellStyle name="Input 32 2 2 2 3 2" xfId="18739"/>
    <cellStyle name="Input 32 2 2 2 3 2 2" xfId="44271"/>
    <cellStyle name="Input 32 2 2 2 3 2 3" xfId="48180"/>
    <cellStyle name="Input 32 2 2 2 3 2 4" xfId="36362"/>
    <cellStyle name="Input 32 2 2 2 3 3" xfId="19087"/>
    <cellStyle name="Input 32 2 2 2 3 3 2" xfId="44609"/>
    <cellStyle name="Input 32 2 2 2 3 3 3" xfId="48515"/>
    <cellStyle name="Input 32 2 2 2 3 3 4" xfId="36668"/>
    <cellStyle name="Input 32 2 2 2 3 4" xfId="20243"/>
    <cellStyle name="Input 32 2 2 2 3 4 2" xfId="45765"/>
    <cellStyle name="Input 32 2 2 2 3 4 3" xfId="49671"/>
    <cellStyle name="Input 32 2 2 2 3 4 4" xfId="37700"/>
    <cellStyle name="Input 32 2 2 2 3 5" xfId="21152"/>
    <cellStyle name="Input 32 2 2 2 3 5 2" xfId="46674"/>
    <cellStyle name="Input 32 2 2 2 3 5 3" xfId="50580"/>
    <cellStyle name="Input 32 2 2 2 3 5 4" xfId="38544"/>
    <cellStyle name="Input 32 2 2 2 3 6" xfId="21805"/>
    <cellStyle name="Input 32 2 2 2 3 6 2" xfId="47327"/>
    <cellStyle name="Input 32 2 2 2 3 6 3" xfId="51233"/>
    <cellStyle name="Input 32 2 2 2 3 7" xfId="41130"/>
    <cellStyle name="Input 32 2 2 2 3 8" xfId="43201"/>
    <cellStyle name="Input 32 2 2 2 4" xfId="14912"/>
    <cellStyle name="Input 32 2 2 2 4 2" xfId="43010"/>
    <cellStyle name="Input 32 2 2 2 4 3" xfId="40011"/>
    <cellStyle name="Input 32 2 2 2 4 4" xfId="32533"/>
    <cellStyle name="Input 32 2 2 2 5" xfId="13149"/>
    <cellStyle name="Input 32 2 2 2 5 2" xfId="42351"/>
    <cellStyle name="Input 32 2 2 2 5 3" xfId="39267"/>
    <cellStyle name="Input 32 2 2 2 5 4" xfId="30784"/>
    <cellStyle name="Input 32 2 2 2 6" xfId="19673"/>
    <cellStyle name="Input 32 2 2 2 6 2" xfId="45195"/>
    <cellStyle name="Input 32 2 2 2 6 3" xfId="49101"/>
    <cellStyle name="Input 32 2 2 2 6 4" xfId="37191"/>
    <cellStyle name="Input 32 2 2 2 7" xfId="13289"/>
    <cellStyle name="Input 32 2 2 2 7 2" xfId="42440"/>
    <cellStyle name="Input 32 2 2 2 7 3" xfId="43162"/>
    <cellStyle name="Input 32 2 2 2 7 4" xfId="30919"/>
    <cellStyle name="Input 32 2 2 2 8" xfId="19165"/>
    <cellStyle name="Input 32 2 2 2 8 2" xfId="44687"/>
    <cellStyle name="Input 32 2 2 2 8 3" xfId="48593"/>
    <cellStyle name="Input 32 2 2 2 9" xfId="39870"/>
    <cellStyle name="Input 32 2 2 3" xfId="53122"/>
    <cellStyle name="Input 32 2 3" xfId="7129"/>
    <cellStyle name="Input 32 2 3 10" xfId="39213"/>
    <cellStyle name="Input 32 2 3 2" xfId="10656"/>
    <cellStyle name="Input 32 2 3 2 2" xfId="18443"/>
    <cellStyle name="Input 32 2 3 2 2 2" xfId="43975"/>
    <cellStyle name="Input 32 2 3 2 2 3" xfId="47884"/>
    <cellStyle name="Input 32 2 3 2 2 4" xfId="36066"/>
    <cellStyle name="Input 32 2 3 2 3" xfId="20148"/>
    <cellStyle name="Input 32 2 3 2 3 2" xfId="45670"/>
    <cellStyle name="Input 32 2 3 2 3 3" xfId="49576"/>
    <cellStyle name="Input 32 2 3 2 3 4" xfId="37620"/>
    <cellStyle name="Input 32 2 3 2 4" xfId="19073"/>
    <cellStyle name="Input 32 2 3 2 4 2" xfId="44595"/>
    <cellStyle name="Input 32 2 3 2 4 3" xfId="48501"/>
    <cellStyle name="Input 32 2 3 2 4 4" xfId="36655"/>
    <cellStyle name="Input 32 2 3 2 5" xfId="20856"/>
    <cellStyle name="Input 32 2 3 2 5 2" xfId="46378"/>
    <cellStyle name="Input 32 2 3 2 5 3" xfId="50284"/>
    <cellStyle name="Input 32 2 3 2 5 4" xfId="38248"/>
    <cellStyle name="Input 32 2 3 2 6" xfId="21509"/>
    <cellStyle name="Input 32 2 3 2 6 2" xfId="47031"/>
    <cellStyle name="Input 32 2 3 2 6 3" xfId="50937"/>
    <cellStyle name="Input 32 2 3 2 7" xfId="40834"/>
    <cellStyle name="Input 32 2 3 2 8" xfId="43360"/>
    <cellStyle name="Input 32 2 3 3" xfId="10951"/>
    <cellStyle name="Input 32 2 3 3 2" xfId="18738"/>
    <cellStyle name="Input 32 2 3 3 2 2" xfId="44270"/>
    <cellStyle name="Input 32 2 3 3 2 3" xfId="48179"/>
    <cellStyle name="Input 32 2 3 3 2 4" xfId="36361"/>
    <cellStyle name="Input 32 2 3 3 3" xfId="19864"/>
    <cellStyle name="Input 32 2 3 3 3 2" xfId="45386"/>
    <cellStyle name="Input 32 2 3 3 3 3" xfId="49292"/>
    <cellStyle name="Input 32 2 3 3 3 4" xfId="37364"/>
    <cellStyle name="Input 32 2 3 3 4" xfId="20187"/>
    <cellStyle name="Input 32 2 3 3 4 2" xfId="45709"/>
    <cellStyle name="Input 32 2 3 3 4 3" xfId="49615"/>
    <cellStyle name="Input 32 2 3 3 4 4" xfId="37655"/>
    <cellStyle name="Input 32 2 3 3 5" xfId="21151"/>
    <cellStyle name="Input 32 2 3 3 5 2" xfId="46673"/>
    <cellStyle name="Input 32 2 3 3 5 3" xfId="50579"/>
    <cellStyle name="Input 32 2 3 3 5 4" xfId="38543"/>
    <cellStyle name="Input 32 2 3 3 6" xfId="21804"/>
    <cellStyle name="Input 32 2 3 3 6 2" xfId="47326"/>
    <cellStyle name="Input 32 2 3 3 6 3" xfId="51232"/>
    <cellStyle name="Input 32 2 3 3 7" xfId="41129"/>
    <cellStyle name="Input 32 2 3 3 8" xfId="41398"/>
    <cellStyle name="Input 32 2 3 4" xfId="14911"/>
    <cellStyle name="Input 32 2 3 4 2" xfId="43009"/>
    <cellStyle name="Input 32 2 3 4 3" xfId="43152"/>
    <cellStyle name="Input 32 2 3 4 4" xfId="32532"/>
    <cellStyle name="Input 32 2 3 5" xfId="13148"/>
    <cellStyle name="Input 32 2 3 5 2" xfId="42350"/>
    <cellStyle name="Input 32 2 3 5 3" xfId="39268"/>
    <cellStyle name="Input 32 2 3 5 4" xfId="30783"/>
    <cellStyle name="Input 32 2 3 6" xfId="11595"/>
    <cellStyle name="Input 32 2 3 6 2" xfId="41586"/>
    <cellStyle name="Input 32 2 3 6 3" xfId="43464"/>
    <cellStyle name="Input 32 2 3 6 4" xfId="29286"/>
    <cellStyle name="Input 32 2 3 7" xfId="20508"/>
    <cellStyle name="Input 32 2 3 7 2" xfId="46030"/>
    <cellStyle name="Input 32 2 3 7 3" xfId="49936"/>
    <cellStyle name="Input 32 2 3 7 4" xfId="37927"/>
    <cellStyle name="Input 32 2 3 8" xfId="20248"/>
    <cellStyle name="Input 32 2 3 8 2" xfId="45770"/>
    <cellStyle name="Input 32 2 3 8 3" xfId="49676"/>
    <cellStyle name="Input 32 2 3 9" xfId="39869"/>
    <cellStyle name="Input 32 2 4" xfId="53121"/>
    <cellStyle name="Input 32 2_Sheet1" xfId="1967"/>
    <cellStyle name="Input 32 3" xfId="1968"/>
    <cellStyle name="Input 32 3 2" xfId="7131"/>
    <cellStyle name="Input 32 3 2 10" xfId="41694"/>
    <cellStyle name="Input 32 3 2 2" xfId="10658"/>
    <cellStyle name="Input 32 3 2 2 2" xfId="18445"/>
    <cellStyle name="Input 32 3 2 2 2 2" xfId="43977"/>
    <cellStyle name="Input 32 3 2 2 2 3" xfId="47886"/>
    <cellStyle name="Input 32 3 2 2 2 4" xfId="36068"/>
    <cellStyle name="Input 32 3 2 2 3" xfId="20014"/>
    <cellStyle name="Input 32 3 2 2 3 2" xfId="45536"/>
    <cellStyle name="Input 32 3 2 2 3 3" xfId="49442"/>
    <cellStyle name="Input 32 3 2 2 3 4" xfId="37498"/>
    <cellStyle name="Input 32 3 2 2 4" xfId="18933"/>
    <cellStyle name="Input 32 3 2 2 4 2" xfId="44455"/>
    <cellStyle name="Input 32 3 2 2 4 3" xfId="48361"/>
    <cellStyle name="Input 32 3 2 2 4 4" xfId="36546"/>
    <cellStyle name="Input 32 3 2 2 5" xfId="20858"/>
    <cellStyle name="Input 32 3 2 2 5 2" xfId="46380"/>
    <cellStyle name="Input 32 3 2 2 5 3" xfId="50286"/>
    <cellStyle name="Input 32 3 2 2 5 4" xfId="38250"/>
    <cellStyle name="Input 32 3 2 2 6" xfId="21511"/>
    <cellStyle name="Input 32 3 2 2 6 2" xfId="47033"/>
    <cellStyle name="Input 32 3 2 2 6 3" xfId="50939"/>
    <cellStyle name="Input 32 3 2 2 7" xfId="40836"/>
    <cellStyle name="Input 32 3 2 2 8" xfId="39362"/>
    <cellStyle name="Input 32 3 2 3" xfId="10953"/>
    <cellStyle name="Input 32 3 2 3 2" xfId="18740"/>
    <cellStyle name="Input 32 3 2 3 2 2" xfId="44272"/>
    <cellStyle name="Input 32 3 2 3 2 3" xfId="48181"/>
    <cellStyle name="Input 32 3 2 3 2 4" xfId="36363"/>
    <cellStyle name="Input 32 3 2 3 3" xfId="19696"/>
    <cellStyle name="Input 32 3 2 3 3 2" xfId="45218"/>
    <cellStyle name="Input 32 3 2 3 3 3" xfId="49124"/>
    <cellStyle name="Input 32 3 2 3 3 4" xfId="37209"/>
    <cellStyle name="Input 32 3 2 3 4" xfId="20332"/>
    <cellStyle name="Input 32 3 2 3 4 2" xfId="45854"/>
    <cellStyle name="Input 32 3 2 3 4 3" xfId="49760"/>
    <cellStyle name="Input 32 3 2 3 4 4" xfId="37778"/>
    <cellStyle name="Input 32 3 2 3 5" xfId="21153"/>
    <cellStyle name="Input 32 3 2 3 5 2" xfId="46675"/>
    <cellStyle name="Input 32 3 2 3 5 3" xfId="50581"/>
    <cellStyle name="Input 32 3 2 3 5 4" xfId="38545"/>
    <cellStyle name="Input 32 3 2 3 6" xfId="21806"/>
    <cellStyle name="Input 32 3 2 3 6 2" xfId="47328"/>
    <cellStyle name="Input 32 3 2 3 6 3" xfId="51234"/>
    <cellStyle name="Input 32 3 2 3 7" xfId="41131"/>
    <cellStyle name="Input 32 3 2 3 8" xfId="40060"/>
    <cellStyle name="Input 32 3 2 4" xfId="14913"/>
    <cellStyle name="Input 32 3 2 4 2" xfId="43011"/>
    <cellStyle name="Input 32 3 2 4 3" xfId="42752"/>
    <cellStyle name="Input 32 3 2 4 4" xfId="32534"/>
    <cellStyle name="Input 32 3 2 5" xfId="11310"/>
    <cellStyle name="Input 32 3 2 5 2" xfId="41335"/>
    <cellStyle name="Input 32 3 2 5 3" xfId="40052"/>
    <cellStyle name="Input 32 3 2 5 4" xfId="29024"/>
    <cellStyle name="Input 32 3 2 6" xfId="12782"/>
    <cellStyle name="Input 32 3 2 6 2" xfId="42185"/>
    <cellStyle name="Input 32 3 2 6 3" xfId="43298"/>
    <cellStyle name="Input 32 3 2 6 4" xfId="30426"/>
    <cellStyle name="Input 32 3 2 7" xfId="11453"/>
    <cellStyle name="Input 32 3 2 7 2" xfId="41444"/>
    <cellStyle name="Input 32 3 2 7 3" xfId="39550"/>
    <cellStyle name="Input 32 3 2 7 4" xfId="29158"/>
    <cellStyle name="Input 32 3 2 8" xfId="11456"/>
    <cellStyle name="Input 32 3 2 8 2" xfId="41447"/>
    <cellStyle name="Input 32 3 2 8 3" xfId="40332"/>
    <cellStyle name="Input 32 3 2 9" xfId="39871"/>
    <cellStyle name="Input 32 3 3" xfId="53123"/>
    <cellStyle name="Input 32 4" xfId="7128"/>
    <cellStyle name="Input 32 4 10" xfId="39384"/>
    <cellStyle name="Input 32 4 11" xfId="53124"/>
    <cellStyle name="Input 32 4 2" xfId="10655"/>
    <cellStyle name="Input 32 4 2 2" xfId="18442"/>
    <cellStyle name="Input 32 4 2 2 2" xfId="43974"/>
    <cellStyle name="Input 32 4 2 2 3" xfId="47883"/>
    <cellStyle name="Input 32 4 2 2 4" xfId="36065"/>
    <cellStyle name="Input 32 4 2 3" xfId="19594"/>
    <cellStyle name="Input 32 4 2 3 2" xfId="45116"/>
    <cellStyle name="Input 32 4 2 3 3" xfId="49022"/>
    <cellStyle name="Input 32 4 2 3 4" xfId="37120"/>
    <cellStyle name="Input 32 4 2 4" xfId="18926"/>
    <cellStyle name="Input 32 4 2 4 2" xfId="44448"/>
    <cellStyle name="Input 32 4 2 4 3" xfId="48354"/>
    <cellStyle name="Input 32 4 2 4 4" xfId="36539"/>
    <cellStyle name="Input 32 4 2 5" xfId="20855"/>
    <cellStyle name="Input 32 4 2 5 2" xfId="46377"/>
    <cellStyle name="Input 32 4 2 5 3" xfId="50283"/>
    <cellStyle name="Input 32 4 2 5 4" xfId="38247"/>
    <cellStyle name="Input 32 4 2 6" xfId="21508"/>
    <cellStyle name="Input 32 4 2 6 2" xfId="47030"/>
    <cellStyle name="Input 32 4 2 6 3" xfId="50936"/>
    <cellStyle name="Input 32 4 2 7" xfId="40833"/>
    <cellStyle name="Input 32 4 2 8" xfId="42041"/>
    <cellStyle name="Input 32 4 3" xfId="10950"/>
    <cellStyle name="Input 32 4 3 2" xfId="18737"/>
    <cellStyle name="Input 32 4 3 2 2" xfId="44269"/>
    <cellStyle name="Input 32 4 3 2 3" xfId="48178"/>
    <cellStyle name="Input 32 4 3 2 4" xfId="36360"/>
    <cellStyle name="Input 32 4 3 3" xfId="19255"/>
    <cellStyle name="Input 32 4 3 3 2" xfId="44777"/>
    <cellStyle name="Input 32 4 3 3 3" xfId="48683"/>
    <cellStyle name="Input 32 4 3 3 4" xfId="36819"/>
    <cellStyle name="Input 32 4 3 4" xfId="12052"/>
    <cellStyle name="Input 32 4 3 4 2" xfId="41786"/>
    <cellStyle name="Input 32 4 3 4 3" xfId="39231"/>
    <cellStyle name="Input 32 4 3 4 4" xfId="29717"/>
    <cellStyle name="Input 32 4 3 5" xfId="21150"/>
    <cellStyle name="Input 32 4 3 5 2" xfId="46672"/>
    <cellStyle name="Input 32 4 3 5 3" xfId="50578"/>
    <cellStyle name="Input 32 4 3 5 4" xfId="38542"/>
    <cellStyle name="Input 32 4 3 6" xfId="21803"/>
    <cellStyle name="Input 32 4 3 6 2" xfId="47325"/>
    <cellStyle name="Input 32 4 3 6 3" xfId="51231"/>
    <cellStyle name="Input 32 4 3 7" xfId="41128"/>
    <cellStyle name="Input 32 4 3 8" xfId="39346"/>
    <cellStyle name="Input 32 4 4" xfId="14910"/>
    <cellStyle name="Input 32 4 4 2" xfId="43008"/>
    <cellStyle name="Input 32 4 4 3" xfId="41259"/>
    <cellStyle name="Input 32 4 4 4" xfId="32531"/>
    <cellStyle name="Input 32 4 5" xfId="13147"/>
    <cellStyle name="Input 32 4 5 2" xfId="42349"/>
    <cellStyle name="Input 32 4 5 3" xfId="39069"/>
    <cellStyle name="Input 32 4 5 4" xfId="30782"/>
    <cellStyle name="Input 32 4 6" xfId="18965"/>
    <cellStyle name="Input 32 4 6 2" xfId="44487"/>
    <cellStyle name="Input 32 4 6 3" xfId="48393"/>
    <cellStyle name="Input 32 4 6 4" xfId="36575"/>
    <cellStyle name="Input 32 4 7" xfId="19158"/>
    <cellStyle name="Input 32 4 7 2" xfId="44680"/>
    <cellStyle name="Input 32 4 7 3" xfId="48586"/>
    <cellStyle name="Input 32 4 7 4" xfId="36735"/>
    <cellStyle name="Input 32 4 8" xfId="18999"/>
    <cellStyle name="Input 32 4 8 2" xfId="44521"/>
    <cellStyle name="Input 32 4 8 3" xfId="48427"/>
    <cellStyle name="Input 32 4 9" xfId="39868"/>
    <cellStyle name="Input 32 5" xfId="22461"/>
    <cellStyle name="Input 32 5 2" xfId="23025"/>
    <cellStyle name="Input 32 5 2 2" xfId="47612"/>
    <cellStyle name="Input 32 5 2 3" xfId="51423"/>
    <cellStyle name="Input 32 5 3" xfId="47505"/>
    <cellStyle name="Input 32 5 4" xfId="51359"/>
    <cellStyle name="Input 32 5 5" xfId="53125"/>
    <cellStyle name="Input 32 6" xfId="22898"/>
    <cellStyle name="Input 32 6 2" xfId="23046"/>
    <cellStyle name="Input 32 6 2 2" xfId="47632"/>
    <cellStyle name="Input 32 6 2 3" xfId="51443"/>
    <cellStyle name="Input 32 6 3" xfId="47588"/>
    <cellStyle name="Input 32 6 4" xfId="51403"/>
    <cellStyle name="Input 32 6 5" xfId="53126"/>
    <cellStyle name="Input 32 7" xfId="53120"/>
    <cellStyle name="Input 32_Sheet1" xfId="1969"/>
    <cellStyle name="Input 33" xfId="1970"/>
    <cellStyle name="Input 33 2" xfId="1971"/>
    <cellStyle name="Input 33 2 2" xfId="1972"/>
    <cellStyle name="Input 33 2 2 2" xfId="7134"/>
    <cellStyle name="Input 33 2 2 2 10" xfId="43074"/>
    <cellStyle name="Input 33 2 2 2 2" xfId="10661"/>
    <cellStyle name="Input 33 2 2 2 2 2" xfId="18448"/>
    <cellStyle name="Input 33 2 2 2 2 2 2" xfId="43980"/>
    <cellStyle name="Input 33 2 2 2 2 2 3" xfId="47889"/>
    <cellStyle name="Input 33 2 2 2 2 2 4" xfId="36071"/>
    <cellStyle name="Input 33 2 2 2 2 3" xfId="19112"/>
    <cellStyle name="Input 33 2 2 2 2 3 2" xfId="44634"/>
    <cellStyle name="Input 33 2 2 2 2 3 3" xfId="48540"/>
    <cellStyle name="Input 33 2 2 2 2 3 4" xfId="36693"/>
    <cellStyle name="Input 33 2 2 2 2 4" xfId="11660"/>
    <cellStyle name="Input 33 2 2 2 2 4 2" xfId="41651"/>
    <cellStyle name="Input 33 2 2 2 2 4 3" xfId="42786"/>
    <cellStyle name="Input 33 2 2 2 2 4 4" xfId="29342"/>
    <cellStyle name="Input 33 2 2 2 2 5" xfId="20861"/>
    <cellStyle name="Input 33 2 2 2 2 5 2" xfId="46383"/>
    <cellStyle name="Input 33 2 2 2 2 5 3" xfId="50289"/>
    <cellStyle name="Input 33 2 2 2 2 5 4" xfId="38253"/>
    <cellStyle name="Input 33 2 2 2 2 6" xfId="21514"/>
    <cellStyle name="Input 33 2 2 2 2 6 2" xfId="47036"/>
    <cellStyle name="Input 33 2 2 2 2 6 3" xfId="50942"/>
    <cellStyle name="Input 33 2 2 2 2 7" xfId="40839"/>
    <cellStyle name="Input 33 2 2 2 2 8" xfId="40223"/>
    <cellStyle name="Input 33 2 2 2 3" xfId="10956"/>
    <cellStyle name="Input 33 2 2 2 3 2" xfId="18743"/>
    <cellStyle name="Input 33 2 2 2 3 2 2" xfId="44275"/>
    <cellStyle name="Input 33 2 2 2 3 2 3" xfId="48184"/>
    <cellStyle name="Input 33 2 2 2 3 2 4" xfId="36366"/>
    <cellStyle name="Input 33 2 2 2 3 3" xfId="20125"/>
    <cellStyle name="Input 33 2 2 2 3 3 2" xfId="45647"/>
    <cellStyle name="Input 33 2 2 2 3 3 3" xfId="49553"/>
    <cellStyle name="Input 33 2 2 2 3 3 4" xfId="37597"/>
    <cellStyle name="Input 33 2 2 2 3 4" xfId="19792"/>
    <cellStyle name="Input 33 2 2 2 3 4 2" xfId="45314"/>
    <cellStyle name="Input 33 2 2 2 3 4 3" xfId="49220"/>
    <cellStyle name="Input 33 2 2 2 3 4 4" xfId="37300"/>
    <cellStyle name="Input 33 2 2 2 3 5" xfId="21156"/>
    <cellStyle name="Input 33 2 2 2 3 5 2" xfId="46678"/>
    <cellStyle name="Input 33 2 2 2 3 5 3" xfId="50584"/>
    <cellStyle name="Input 33 2 2 2 3 5 4" xfId="38548"/>
    <cellStyle name="Input 33 2 2 2 3 6" xfId="21809"/>
    <cellStyle name="Input 33 2 2 2 3 6 2" xfId="47331"/>
    <cellStyle name="Input 33 2 2 2 3 6 3" xfId="51237"/>
    <cellStyle name="Input 33 2 2 2 3 7" xfId="41134"/>
    <cellStyle name="Input 33 2 2 2 3 8" xfId="40555"/>
    <cellStyle name="Input 33 2 2 2 4" xfId="14916"/>
    <cellStyle name="Input 33 2 2 2 4 2" xfId="43014"/>
    <cellStyle name="Input 33 2 2 2 4 3" xfId="39606"/>
    <cellStyle name="Input 33 2 2 2 4 4" xfId="32537"/>
    <cellStyle name="Input 33 2 2 2 5" xfId="13152"/>
    <cellStyle name="Input 33 2 2 2 5 2" xfId="42354"/>
    <cellStyle name="Input 33 2 2 2 5 3" xfId="39067"/>
    <cellStyle name="Input 33 2 2 2 5 4" xfId="30787"/>
    <cellStyle name="Input 33 2 2 2 6" xfId="20321"/>
    <cellStyle name="Input 33 2 2 2 6 2" xfId="45843"/>
    <cellStyle name="Input 33 2 2 2 6 3" xfId="49749"/>
    <cellStyle name="Input 33 2 2 2 6 4" xfId="37771"/>
    <cellStyle name="Input 33 2 2 2 7" xfId="12490"/>
    <cellStyle name="Input 33 2 2 2 7 2" xfId="41984"/>
    <cellStyle name="Input 33 2 2 2 7 3" xfId="42673"/>
    <cellStyle name="Input 33 2 2 2 7 4" xfId="30146"/>
    <cellStyle name="Input 33 2 2 2 8" xfId="12695"/>
    <cellStyle name="Input 33 2 2 2 8 2" xfId="42151"/>
    <cellStyle name="Input 33 2 2 2 8 3" xfId="43662"/>
    <cellStyle name="Input 33 2 2 2 9" xfId="39874"/>
    <cellStyle name="Input 33 2 2 3" xfId="53129"/>
    <cellStyle name="Input 33 2 3" xfId="7133"/>
    <cellStyle name="Input 33 2 3 10" xfId="40105"/>
    <cellStyle name="Input 33 2 3 2" xfId="10660"/>
    <cellStyle name="Input 33 2 3 2 2" xfId="18447"/>
    <cellStyle name="Input 33 2 3 2 2 2" xfId="43979"/>
    <cellStyle name="Input 33 2 3 2 2 3" xfId="47888"/>
    <cellStyle name="Input 33 2 3 2 2 4" xfId="36070"/>
    <cellStyle name="Input 33 2 3 2 3" xfId="19889"/>
    <cellStyle name="Input 33 2 3 2 3 2" xfId="45411"/>
    <cellStyle name="Input 33 2 3 2 3 3" xfId="49317"/>
    <cellStyle name="Input 33 2 3 2 3 4" xfId="37389"/>
    <cellStyle name="Input 33 2 3 2 4" xfId="12083"/>
    <cellStyle name="Input 33 2 3 2 4 2" xfId="41808"/>
    <cellStyle name="Input 33 2 3 2 4 3" xfId="39112"/>
    <cellStyle name="Input 33 2 3 2 4 4" xfId="29744"/>
    <cellStyle name="Input 33 2 3 2 5" xfId="20860"/>
    <cellStyle name="Input 33 2 3 2 5 2" xfId="46382"/>
    <cellStyle name="Input 33 2 3 2 5 3" xfId="50288"/>
    <cellStyle name="Input 33 2 3 2 5 4" xfId="38252"/>
    <cellStyle name="Input 33 2 3 2 6" xfId="21513"/>
    <cellStyle name="Input 33 2 3 2 6 2" xfId="47035"/>
    <cellStyle name="Input 33 2 3 2 6 3" xfId="50941"/>
    <cellStyle name="Input 33 2 3 2 7" xfId="40838"/>
    <cellStyle name="Input 33 2 3 2 8" xfId="43361"/>
    <cellStyle name="Input 33 2 3 3" xfId="10955"/>
    <cellStyle name="Input 33 2 3 3 2" xfId="18742"/>
    <cellStyle name="Input 33 2 3 3 2 2" xfId="44274"/>
    <cellStyle name="Input 33 2 3 3 2 3" xfId="48183"/>
    <cellStyle name="Input 33 2 3 3 2 4" xfId="36365"/>
    <cellStyle name="Input 33 2 3 3 3" xfId="19698"/>
    <cellStyle name="Input 33 2 3 3 3 2" xfId="45220"/>
    <cellStyle name="Input 33 2 3 3 3 3" xfId="49126"/>
    <cellStyle name="Input 33 2 3 3 3 4" xfId="37211"/>
    <cellStyle name="Input 33 2 3 3 4" xfId="18929"/>
    <cellStyle name="Input 33 2 3 3 4 2" xfId="44451"/>
    <cellStyle name="Input 33 2 3 3 4 3" xfId="48357"/>
    <cellStyle name="Input 33 2 3 3 4 4" xfId="36542"/>
    <cellStyle name="Input 33 2 3 3 5" xfId="21155"/>
    <cellStyle name="Input 33 2 3 3 5 2" xfId="46677"/>
    <cellStyle name="Input 33 2 3 3 5 3" xfId="50583"/>
    <cellStyle name="Input 33 2 3 3 5 4" xfId="38547"/>
    <cellStyle name="Input 33 2 3 3 6" xfId="21808"/>
    <cellStyle name="Input 33 2 3 3 6 2" xfId="47330"/>
    <cellStyle name="Input 33 2 3 3 6 3" xfId="51236"/>
    <cellStyle name="Input 33 2 3 3 7" xfId="41133"/>
    <cellStyle name="Input 33 2 3 3 8" xfId="43696"/>
    <cellStyle name="Input 33 2 3 4" xfId="14915"/>
    <cellStyle name="Input 33 2 3 4 2" xfId="43013"/>
    <cellStyle name="Input 33 2 3 4 3" xfId="40498"/>
    <cellStyle name="Input 33 2 3 4 4" xfId="32536"/>
    <cellStyle name="Input 33 2 3 5" xfId="13151"/>
    <cellStyle name="Input 33 2 3 5 2" xfId="42353"/>
    <cellStyle name="Input 33 2 3 5 3" xfId="39068"/>
    <cellStyle name="Input 33 2 3 5 4" xfId="30786"/>
    <cellStyle name="Input 33 2 3 6" xfId="20305"/>
    <cellStyle name="Input 33 2 3 6 2" xfId="45827"/>
    <cellStyle name="Input 33 2 3 6 3" xfId="49733"/>
    <cellStyle name="Input 33 2 3 6 4" xfId="37755"/>
    <cellStyle name="Input 33 2 3 7" xfId="19023"/>
    <cellStyle name="Input 33 2 3 7 2" xfId="44545"/>
    <cellStyle name="Input 33 2 3 7 3" xfId="48451"/>
    <cellStyle name="Input 33 2 3 7 4" xfId="36615"/>
    <cellStyle name="Input 33 2 3 8" xfId="20334"/>
    <cellStyle name="Input 33 2 3 8 2" xfId="45856"/>
    <cellStyle name="Input 33 2 3 8 3" xfId="49762"/>
    <cellStyle name="Input 33 2 3 9" xfId="39873"/>
    <cellStyle name="Input 33 2 4" xfId="53128"/>
    <cellStyle name="Input 33 2_Sheet1" xfId="1973"/>
    <cellStyle name="Input 33 3" xfId="1974"/>
    <cellStyle name="Input 33 3 2" xfId="7135"/>
    <cellStyle name="Input 33 3 2 10" xfId="43741"/>
    <cellStyle name="Input 33 3 2 2" xfId="10662"/>
    <cellStyle name="Input 33 3 2 2 2" xfId="18449"/>
    <cellStyle name="Input 33 3 2 2 2 2" xfId="43981"/>
    <cellStyle name="Input 33 3 2 2 2 3" xfId="47890"/>
    <cellStyle name="Input 33 3 2 2 2 4" xfId="36072"/>
    <cellStyle name="Input 33 3 2 2 3" xfId="19731"/>
    <cellStyle name="Input 33 3 2 2 3 2" xfId="45253"/>
    <cellStyle name="Input 33 3 2 2 3 3" xfId="49159"/>
    <cellStyle name="Input 33 3 2 2 3 4" xfId="37244"/>
    <cellStyle name="Input 33 3 2 2 4" xfId="19050"/>
    <cellStyle name="Input 33 3 2 2 4 2" xfId="44572"/>
    <cellStyle name="Input 33 3 2 2 4 3" xfId="48478"/>
    <cellStyle name="Input 33 3 2 2 4 4" xfId="36635"/>
    <cellStyle name="Input 33 3 2 2 5" xfId="20862"/>
    <cellStyle name="Input 33 3 2 2 5 2" xfId="46384"/>
    <cellStyle name="Input 33 3 2 2 5 3" xfId="50290"/>
    <cellStyle name="Input 33 3 2 2 5 4" xfId="38254"/>
    <cellStyle name="Input 33 3 2 2 6" xfId="21515"/>
    <cellStyle name="Input 33 3 2 2 6 2" xfId="47037"/>
    <cellStyle name="Input 33 3 2 2 6 3" xfId="50943"/>
    <cellStyle name="Input 33 3 2 2 7" xfId="40840"/>
    <cellStyle name="Input 33 3 2 2 8" xfId="39363"/>
    <cellStyle name="Input 33 3 2 3" xfId="10957"/>
    <cellStyle name="Input 33 3 2 3 2" xfId="18744"/>
    <cellStyle name="Input 33 3 2 3 2 2" xfId="44276"/>
    <cellStyle name="Input 33 3 2 3 2 3" xfId="48185"/>
    <cellStyle name="Input 33 3 2 3 2 4" xfId="36367"/>
    <cellStyle name="Input 33 3 2 3 3" xfId="19384"/>
    <cellStyle name="Input 33 3 2 3 3 2" xfId="44906"/>
    <cellStyle name="Input 33 3 2 3 3 3" xfId="48812"/>
    <cellStyle name="Input 33 3 2 3 3 4" xfId="36935"/>
    <cellStyle name="Input 33 3 2 3 4" xfId="13282"/>
    <cellStyle name="Input 33 3 2 3 4 2" xfId="42433"/>
    <cellStyle name="Input 33 3 2 3 4 3" xfId="39413"/>
    <cellStyle name="Input 33 3 2 3 4 4" xfId="30913"/>
    <cellStyle name="Input 33 3 2 3 5" xfId="21157"/>
    <cellStyle name="Input 33 3 2 3 5 2" xfId="46679"/>
    <cellStyle name="Input 33 3 2 3 5 3" xfId="50585"/>
    <cellStyle name="Input 33 3 2 3 5 4" xfId="38549"/>
    <cellStyle name="Input 33 3 2 3 6" xfId="21810"/>
    <cellStyle name="Input 33 3 2 3 6 2" xfId="47332"/>
    <cellStyle name="Input 33 3 2 3 6 3" xfId="51238"/>
    <cellStyle name="Input 33 3 2 3 7" xfId="41135"/>
    <cellStyle name="Input 33 3 2 3 8" xfId="39666"/>
    <cellStyle name="Input 33 3 2 4" xfId="14917"/>
    <cellStyle name="Input 33 3 2 4 2" xfId="43015"/>
    <cellStyle name="Input 33 3 2 4 3" xfId="42642"/>
    <cellStyle name="Input 33 3 2 4 4" xfId="32538"/>
    <cellStyle name="Input 33 3 2 5" xfId="13153"/>
    <cellStyle name="Input 33 3 2 5 2" xfId="42355"/>
    <cellStyle name="Input 33 3 2 5 3" xfId="39066"/>
    <cellStyle name="Input 33 3 2 5 4" xfId="30788"/>
    <cellStyle name="Input 33 3 2 6" xfId="19451"/>
    <cellStyle name="Input 33 3 2 6 2" xfId="44973"/>
    <cellStyle name="Input 33 3 2 6 3" xfId="48879"/>
    <cellStyle name="Input 33 3 2 6 4" xfId="36995"/>
    <cellStyle name="Input 33 3 2 7" xfId="11841"/>
    <cellStyle name="Input 33 3 2 7 2" xfId="41739"/>
    <cellStyle name="Input 33 3 2 7 3" xfId="39432"/>
    <cellStyle name="Input 33 3 2 7 4" xfId="29511"/>
    <cellStyle name="Input 33 3 2 8" xfId="20597"/>
    <cellStyle name="Input 33 3 2 8 2" xfId="46119"/>
    <cellStyle name="Input 33 3 2 8 3" xfId="50025"/>
    <cellStyle name="Input 33 3 2 9" xfId="39875"/>
    <cellStyle name="Input 33 3 3" xfId="53130"/>
    <cellStyle name="Input 33 4" xfId="7132"/>
    <cellStyle name="Input 33 4 10" xfId="43246"/>
    <cellStyle name="Input 33 4 11" xfId="53131"/>
    <cellStyle name="Input 33 4 2" xfId="10659"/>
    <cellStyle name="Input 33 4 2 2" xfId="18446"/>
    <cellStyle name="Input 33 4 2 2 2" xfId="43978"/>
    <cellStyle name="Input 33 4 2 2 3" xfId="47887"/>
    <cellStyle name="Input 33 4 2 2 4" xfId="36069"/>
    <cellStyle name="Input 33 4 2 3" xfId="19280"/>
    <cellStyle name="Input 33 4 2 3 2" xfId="44802"/>
    <cellStyle name="Input 33 4 2 3 3" xfId="48708"/>
    <cellStyle name="Input 33 4 2 3 4" xfId="36844"/>
    <cellStyle name="Input 33 4 2 4" xfId="12655"/>
    <cellStyle name="Input 33 4 2 4 2" xfId="42115"/>
    <cellStyle name="Input 33 4 2 4 3" xfId="39082"/>
    <cellStyle name="Input 33 4 2 4 4" xfId="30305"/>
    <cellStyle name="Input 33 4 2 5" xfId="20859"/>
    <cellStyle name="Input 33 4 2 5 2" xfId="46381"/>
    <cellStyle name="Input 33 4 2 5 3" xfId="50287"/>
    <cellStyle name="Input 33 4 2 5 4" xfId="38251"/>
    <cellStyle name="Input 33 4 2 6" xfId="21512"/>
    <cellStyle name="Input 33 4 2 6 2" xfId="47034"/>
    <cellStyle name="Input 33 4 2 6 3" xfId="50940"/>
    <cellStyle name="Input 33 4 2 7" xfId="40837"/>
    <cellStyle name="Input 33 4 2 8" xfId="42042"/>
    <cellStyle name="Input 33 4 3" xfId="10954"/>
    <cellStyle name="Input 33 4 3 2" xfId="18741"/>
    <cellStyle name="Input 33 4 3 2 2" xfId="44273"/>
    <cellStyle name="Input 33 4 3 2 3" xfId="48182"/>
    <cellStyle name="Input 33 4 3 2 4" xfId="36364"/>
    <cellStyle name="Input 33 4 3 3" xfId="12634"/>
    <cellStyle name="Input 33 4 3 3 2" xfId="42094"/>
    <cellStyle name="Input 33 4 3 3 3" xfId="39287"/>
    <cellStyle name="Input 33 4 3 3 4" xfId="30285"/>
    <cellStyle name="Input 33 4 3 4" xfId="19537"/>
    <cellStyle name="Input 33 4 3 4 2" xfId="45059"/>
    <cellStyle name="Input 33 4 3 4 3" xfId="48965"/>
    <cellStyle name="Input 33 4 3 4 4" xfId="37065"/>
    <cellStyle name="Input 33 4 3 5" xfId="21154"/>
    <cellStyle name="Input 33 4 3 5 2" xfId="46676"/>
    <cellStyle name="Input 33 4 3 5 3" xfId="50582"/>
    <cellStyle name="Input 33 4 3 5 4" xfId="38546"/>
    <cellStyle name="Input 33 4 3 6" xfId="21807"/>
    <cellStyle name="Input 33 4 3 6 2" xfId="47329"/>
    <cellStyle name="Input 33 4 3 6 3" xfId="51235"/>
    <cellStyle name="Input 33 4 3 7" xfId="41132"/>
    <cellStyle name="Input 33 4 3 8" xfId="42807"/>
    <cellStyle name="Input 33 4 4" xfId="14914"/>
    <cellStyle name="Input 33 4 4 2" xfId="43012"/>
    <cellStyle name="Input 33 4 4 3" xfId="43639"/>
    <cellStyle name="Input 33 4 4 4" xfId="32535"/>
    <cellStyle name="Input 33 4 5" xfId="13150"/>
    <cellStyle name="Input 33 4 5 2" xfId="42352"/>
    <cellStyle name="Input 33 4 5 3" xfId="39266"/>
    <cellStyle name="Input 33 4 5 4" xfId="30785"/>
    <cellStyle name="Input 33 4 6" xfId="20235"/>
    <cellStyle name="Input 33 4 6 2" xfId="45757"/>
    <cellStyle name="Input 33 4 6 3" xfId="49663"/>
    <cellStyle name="Input 33 4 6 4" xfId="37693"/>
    <cellStyle name="Input 33 4 7" xfId="19492"/>
    <cellStyle name="Input 33 4 7 2" xfId="45014"/>
    <cellStyle name="Input 33 4 7 3" xfId="48920"/>
    <cellStyle name="Input 33 4 7 4" xfId="37027"/>
    <cellStyle name="Input 33 4 8" xfId="20326"/>
    <cellStyle name="Input 33 4 8 2" xfId="45848"/>
    <cellStyle name="Input 33 4 8 3" xfId="49754"/>
    <cellStyle name="Input 33 4 9" xfId="39872"/>
    <cellStyle name="Input 33 5" xfId="22462"/>
    <cellStyle name="Input 33 5 2" xfId="23026"/>
    <cellStyle name="Input 33 5 2 2" xfId="47613"/>
    <cellStyle name="Input 33 5 2 3" xfId="51424"/>
    <cellStyle name="Input 33 5 3" xfId="47506"/>
    <cellStyle name="Input 33 5 4" xfId="51360"/>
    <cellStyle name="Input 33 5 5" xfId="53132"/>
    <cellStyle name="Input 33 6" xfId="22897"/>
    <cellStyle name="Input 33 6 2" xfId="23045"/>
    <cellStyle name="Input 33 6 2 2" xfId="47631"/>
    <cellStyle name="Input 33 6 2 3" xfId="51442"/>
    <cellStyle name="Input 33 6 3" xfId="47587"/>
    <cellStyle name="Input 33 6 4" xfId="51402"/>
    <cellStyle name="Input 33 6 5" xfId="53133"/>
    <cellStyle name="Input 33 7" xfId="53127"/>
    <cellStyle name="Input 33_Sheet1" xfId="1975"/>
    <cellStyle name="Input 34" xfId="1976"/>
    <cellStyle name="Input 34 2" xfId="1977"/>
    <cellStyle name="Input 34 2 2" xfId="1978"/>
    <cellStyle name="Input 34 2 2 2" xfId="7138"/>
    <cellStyle name="Input 34 2 2 2 10" xfId="42734"/>
    <cellStyle name="Input 34 2 2 2 2" xfId="10665"/>
    <cellStyle name="Input 34 2 2 2 2 2" xfId="18452"/>
    <cellStyle name="Input 34 2 2 2 2 2 2" xfId="43984"/>
    <cellStyle name="Input 34 2 2 2 2 2 3" xfId="47893"/>
    <cellStyle name="Input 34 2 2 2 2 2 4" xfId="36075"/>
    <cellStyle name="Input 34 2 2 2 2 3" xfId="19730"/>
    <cellStyle name="Input 34 2 2 2 2 3 2" xfId="45252"/>
    <cellStyle name="Input 34 2 2 2 2 3 3" xfId="49158"/>
    <cellStyle name="Input 34 2 2 2 2 3 4" xfId="37243"/>
    <cellStyle name="Input 34 2 2 2 2 4" xfId="11546"/>
    <cellStyle name="Input 34 2 2 2 2 4 2" xfId="41537"/>
    <cellStyle name="Input 34 2 2 2 2 4 3" xfId="41998"/>
    <cellStyle name="Input 34 2 2 2 2 4 4" xfId="29244"/>
    <cellStyle name="Input 34 2 2 2 2 5" xfId="20865"/>
    <cellStyle name="Input 34 2 2 2 2 5 2" xfId="46387"/>
    <cellStyle name="Input 34 2 2 2 2 5 3" xfId="50293"/>
    <cellStyle name="Input 34 2 2 2 2 5 4" xfId="38257"/>
    <cellStyle name="Input 34 2 2 2 2 6" xfId="21518"/>
    <cellStyle name="Input 34 2 2 2 2 6 2" xfId="47040"/>
    <cellStyle name="Input 34 2 2 2 2 6 3" xfId="50946"/>
    <cellStyle name="Input 34 2 2 2 2 7" xfId="40843"/>
    <cellStyle name="Input 34 2 2 2 2 8" xfId="43212"/>
    <cellStyle name="Input 34 2 2 2 3" xfId="10960"/>
    <cellStyle name="Input 34 2 2 2 3 2" xfId="18747"/>
    <cellStyle name="Input 34 2 2 2 3 2 2" xfId="44279"/>
    <cellStyle name="Input 34 2 2 2 3 2 3" xfId="48188"/>
    <cellStyle name="Input 34 2 2 2 3 2 4" xfId="36370"/>
    <cellStyle name="Input 34 2 2 2 3 3" xfId="19866"/>
    <cellStyle name="Input 34 2 2 2 3 3 2" xfId="45388"/>
    <cellStyle name="Input 34 2 2 2 3 3 3" xfId="49294"/>
    <cellStyle name="Input 34 2 2 2 3 3 4" xfId="37366"/>
    <cellStyle name="Input 34 2 2 2 3 4" xfId="19456"/>
    <cellStyle name="Input 34 2 2 2 3 4 2" xfId="44978"/>
    <cellStyle name="Input 34 2 2 2 3 4 3" xfId="48884"/>
    <cellStyle name="Input 34 2 2 2 3 4 4" xfId="37000"/>
    <cellStyle name="Input 34 2 2 2 3 5" xfId="21160"/>
    <cellStyle name="Input 34 2 2 2 3 5 2" xfId="46682"/>
    <cellStyle name="Input 34 2 2 2 3 5 3" xfId="50588"/>
    <cellStyle name="Input 34 2 2 2 3 5 4" xfId="38552"/>
    <cellStyle name="Input 34 2 2 2 3 6" xfId="21813"/>
    <cellStyle name="Input 34 2 2 2 3 6 2" xfId="47335"/>
    <cellStyle name="Input 34 2 2 2 3 6 3" xfId="51241"/>
    <cellStyle name="Input 34 2 2 2 3 7" xfId="41138"/>
    <cellStyle name="Input 34 2 2 2 3 8" xfId="40450"/>
    <cellStyle name="Input 34 2 2 2 4" xfId="14920"/>
    <cellStyle name="Input 34 2 2 2 4 2" xfId="43018"/>
    <cellStyle name="Input 34 2 2 2 4 3" xfId="39500"/>
    <cellStyle name="Input 34 2 2 2 4 4" xfId="32541"/>
    <cellStyle name="Input 34 2 2 2 5" xfId="11311"/>
    <cellStyle name="Input 34 2 2 2 5 2" xfId="41336"/>
    <cellStyle name="Input 34 2 2 2 5 3" xfId="42799"/>
    <cellStyle name="Input 34 2 2 2 5 4" xfId="29025"/>
    <cellStyle name="Input 34 2 2 2 6" xfId="11335"/>
    <cellStyle name="Input 34 2 2 2 6 2" xfId="41354"/>
    <cellStyle name="Input 34 2 2 2 6 3" xfId="43687"/>
    <cellStyle name="Input 34 2 2 2 6 4" xfId="29047"/>
    <cellStyle name="Input 34 2 2 2 7" xfId="20317"/>
    <cellStyle name="Input 34 2 2 2 7 2" xfId="45839"/>
    <cellStyle name="Input 34 2 2 2 7 3" xfId="49745"/>
    <cellStyle name="Input 34 2 2 2 7 4" xfId="37767"/>
    <cellStyle name="Input 34 2 2 2 8" xfId="13297"/>
    <cellStyle name="Input 34 2 2 2 8 2" xfId="42448"/>
    <cellStyle name="Input 34 2 2 2 8 3" xfId="40403"/>
    <cellStyle name="Input 34 2 2 2 9" xfId="39878"/>
    <cellStyle name="Input 34 2 2 3" xfId="53136"/>
    <cellStyle name="Input 34 2 3" xfId="7137"/>
    <cellStyle name="Input 34 2 3 10" xfId="39934"/>
    <cellStyle name="Input 34 2 3 2" xfId="10664"/>
    <cellStyle name="Input 34 2 3 2 2" xfId="18451"/>
    <cellStyle name="Input 34 2 3 2 2 2" xfId="43983"/>
    <cellStyle name="Input 34 2 3 2 2 3" xfId="47892"/>
    <cellStyle name="Input 34 2 3 2 2 4" xfId="36074"/>
    <cellStyle name="Input 34 2 3 2 3" xfId="13913"/>
    <cellStyle name="Input 34 2 3 2 3 2" xfId="42629"/>
    <cellStyle name="Input 34 2 3 2 3 3" xfId="39615"/>
    <cellStyle name="Input 34 2 3 2 3 4" xfId="31535"/>
    <cellStyle name="Input 34 2 3 2 4" xfId="20291"/>
    <cellStyle name="Input 34 2 3 2 4 2" xfId="45813"/>
    <cellStyle name="Input 34 2 3 2 4 3" xfId="49719"/>
    <cellStyle name="Input 34 2 3 2 4 4" xfId="37743"/>
    <cellStyle name="Input 34 2 3 2 5" xfId="20864"/>
    <cellStyle name="Input 34 2 3 2 5 2" xfId="46386"/>
    <cellStyle name="Input 34 2 3 2 5 3" xfId="50292"/>
    <cellStyle name="Input 34 2 3 2 5 4" xfId="38256"/>
    <cellStyle name="Input 34 2 3 2 6" xfId="21517"/>
    <cellStyle name="Input 34 2 3 2 6 2" xfId="47039"/>
    <cellStyle name="Input 34 2 3 2 6 3" xfId="50945"/>
    <cellStyle name="Input 34 2 3 2 7" xfId="40842"/>
    <cellStyle name="Input 34 2 3 2 8" xfId="41409"/>
    <cellStyle name="Input 34 2 3 3" xfId="10959"/>
    <cellStyle name="Input 34 2 3 3 2" xfId="18746"/>
    <cellStyle name="Input 34 2 3 3 2 2" xfId="44278"/>
    <cellStyle name="Input 34 2 3 3 2 3" xfId="48187"/>
    <cellStyle name="Input 34 2 3 3 2 4" xfId="36369"/>
    <cellStyle name="Input 34 2 3 3 3" xfId="19257"/>
    <cellStyle name="Input 34 2 3 3 3 2" xfId="44779"/>
    <cellStyle name="Input 34 2 3 3 3 3" xfId="48685"/>
    <cellStyle name="Input 34 2 3 3 3 4" xfId="36821"/>
    <cellStyle name="Input 34 2 3 3 4" xfId="11653"/>
    <cellStyle name="Input 34 2 3 3 4 2" xfId="41644"/>
    <cellStyle name="Input 34 2 3 3 4 3" xfId="40178"/>
    <cellStyle name="Input 34 2 3 3 4 4" xfId="29338"/>
    <cellStyle name="Input 34 2 3 3 5" xfId="21159"/>
    <cellStyle name="Input 34 2 3 3 5 2" xfId="46681"/>
    <cellStyle name="Input 34 2 3 3 5 3" xfId="50587"/>
    <cellStyle name="Input 34 2 3 3 5 4" xfId="38551"/>
    <cellStyle name="Input 34 2 3 3 6" xfId="21812"/>
    <cellStyle name="Input 34 2 3 3 6 2" xfId="47334"/>
    <cellStyle name="Input 34 2 3 3 6 3" xfId="51240"/>
    <cellStyle name="Input 34 2 3 3 7" xfId="41137"/>
    <cellStyle name="Input 34 2 3 3 8" xfId="43592"/>
    <cellStyle name="Input 34 2 3 4" xfId="14919"/>
    <cellStyle name="Input 34 2 3 4 2" xfId="43017"/>
    <cellStyle name="Input 34 2 3 4 3" xfId="40391"/>
    <cellStyle name="Input 34 2 3 4 4" xfId="32540"/>
    <cellStyle name="Input 34 2 3 5" xfId="12475"/>
    <cellStyle name="Input 34 2 3 5 2" xfId="41976"/>
    <cellStyle name="Input 34 2 3 5 3" xfId="42539"/>
    <cellStyle name="Input 34 2 3 5 4" xfId="30132"/>
    <cellStyle name="Input 34 2 3 6" xfId="20256"/>
    <cellStyle name="Input 34 2 3 6 2" xfId="45778"/>
    <cellStyle name="Input 34 2 3 6 3" xfId="49684"/>
    <cellStyle name="Input 34 2 3 6 4" xfId="37712"/>
    <cellStyle name="Input 34 2 3 7" xfId="11583"/>
    <cellStyle name="Input 34 2 3 7 2" xfId="41574"/>
    <cellStyle name="Input 34 2 3 7 3" xfId="41364"/>
    <cellStyle name="Input 34 2 3 7 4" xfId="29277"/>
    <cellStyle name="Input 34 2 3 8" xfId="19375"/>
    <cellStyle name="Input 34 2 3 8 2" xfId="44897"/>
    <cellStyle name="Input 34 2 3 8 3" xfId="48803"/>
    <cellStyle name="Input 34 2 3 9" xfId="39877"/>
    <cellStyle name="Input 34 2 4" xfId="53135"/>
    <cellStyle name="Input 34 2_Sheet1" xfId="1979"/>
    <cellStyle name="Input 34 3" xfId="1980"/>
    <cellStyle name="Input 34 3 2" xfId="7139"/>
    <cellStyle name="Input 34 3 2 10" xfId="43622"/>
    <cellStyle name="Input 34 3 2 2" xfId="10666"/>
    <cellStyle name="Input 34 3 2 2 2" xfId="18453"/>
    <cellStyle name="Input 34 3 2 2 2 2" xfId="43985"/>
    <cellStyle name="Input 34 3 2 2 2 3" xfId="47894"/>
    <cellStyle name="Input 34 3 2 2 2 4" xfId="36076"/>
    <cellStyle name="Input 34 3 2 2 3" xfId="11494"/>
    <cellStyle name="Input 34 3 2 2 3 2" xfId="41485"/>
    <cellStyle name="Input 34 3 2 2 3 3" xfId="42689"/>
    <cellStyle name="Input 34 3 2 2 3 4" xfId="29195"/>
    <cellStyle name="Input 34 3 2 2 4" xfId="20216"/>
    <cellStyle name="Input 34 3 2 2 4 2" xfId="45738"/>
    <cellStyle name="Input 34 3 2 2 4 3" xfId="49644"/>
    <cellStyle name="Input 34 3 2 2 4 4" xfId="37677"/>
    <cellStyle name="Input 34 3 2 2 5" xfId="20866"/>
    <cellStyle name="Input 34 3 2 2 5 2" xfId="46388"/>
    <cellStyle name="Input 34 3 2 2 5 3" xfId="50294"/>
    <cellStyle name="Input 34 3 2 2 5 4" xfId="38258"/>
    <cellStyle name="Input 34 3 2 2 6" xfId="21519"/>
    <cellStyle name="Input 34 3 2 2 6 2" xfId="47041"/>
    <cellStyle name="Input 34 3 2 2 6 3" xfId="50947"/>
    <cellStyle name="Input 34 3 2 2 7" xfId="40844"/>
    <cellStyle name="Input 34 3 2 2 8" xfId="40071"/>
    <cellStyle name="Input 34 3 2 3" xfId="10961"/>
    <cellStyle name="Input 34 3 2 3 2" xfId="18748"/>
    <cellStyle name="Input 34 3 2 3 2 2" xfId="44280"/>
    <cellStyle name="Input 34 3 2 3 2 3" xfId="48189"/>
    <cellStyle name="Input 34 3 2 3 2 4" xfId="36371"/>
    <cellStyle name="Input 34 3 2 3 3" xfId="19089"/>
    <cellStyle name="Input 34 3 2 3 3 2" xfId="44611"/>
    <cellStyle name="Input 34 3 2 3 3 3" xfId="48517"/>
    <cellStyle name="Input 34 3 2 3 3 4" xfId="36670"/>
    <cellStyle name="Input 34 3 2 3 4" xfId="19016"/>
    <cellStyle name="Input 34 3 2 3 4 2" xfId="44538"/>
    <cellStyle name="Input 34 3 2 3 4 3" xfId="48444"/>
    <cellStyle name="Input 34 3 2 3 4 4" xfId="36608"/>
    <cellStyle name="Input 34 3 2 3 5" xfId="21161"/>
    <cellStyle name="Input 34 3 2 3 5 2" xfId="46683"/>
    <cellStyle name="Input 34 3 2 3 5 3" xfId="50589"/>
    <cellStyle name="Input 34 3 2 3 5 4" xfId="38553"/>
    <cellStyle name="Input 34 3 2 3 6" xfId="21814"/>
    <cellStyle name="Input 34 3 2 3 6 2" xfId="47336"/>
    <cellStyle name="Input 34 3 2 3 6 3" xfId="51242"/>
    <cellStyle name="Input 34 3 2 3 7" xfId="41139"/>
    <cellStyle name="Input 34 3 2 3 8" xfId="39560"/>
    <cellStyle name="Input 34 3 2 4" xfId="14921"/>
    <cellStyle name="Input 34 3 2 4 2" xfId="43019"/>
    <cellStyle name="Input 34 3 2 4 3" xfId="42510"/>
    <cellStyle name="Input 34 3 2 4 4" xfId="32542"/>
    <cellStyle name="Input 34 3 2 5" xfId="12476"/>
    <cellStyle name="Input 34 3 2 5 2" xfId="41977"/>
    <cellStyle name="Input 34 3 2 5 3" xfId="43452"/>
    <cellStyle name="Input 34 3 2 5 4" xfId="30133"/>
    <cellStyle name="Input 34 3 2 6" xfId="19772"/>
    <cellStyle name="Input 34 3 2 6 2" xfId="45294"/>
    <cellStyle name="Input 34 3 2 6 3" xfId="49200"/>
    <cellStyle name="Input 34 3 2 6 4" xfId="37283"/>
    <cellStyle name="Input 34 3 2 7" xfId="20486"/>
    <cellStyle name="Input 34 3 2 7 2" xfId="46008"/>
    <cellStyle name="Input 34 3 2 7 3" xfId="49914"/>
    <cellStyle name="Input 34 3 2 7 4" xfId="37916"/>
    <cellStyle name="Input 34 3 2 8" xfId="18886"/>
    <cellStyle name="Input 34 3 2 8 2" xfId="44408"/>
    <cellStyle name="Input 34 3 2 8 3" xfId="48314"/>
    <cellStyle name="Input 34 3 2 9" xfId="39879"/>
    <cellStyle name="Input 34 3 3" xfId="53137"/>
    <cellStyle name="Input 34 4" xfId="7136"/>
    <cellStyle name="Input 34 4 10" xfId="40600"/>
    <cellStyle name="Input 34 4 11" xfId="53138"/>
    <cellStyle name="Input 34 4 2" xfId="10663"/>
    <cellStyle name="Input 34 4 2 2" xfId="18450"/>
    <cellStyle name="Input 34 4 2 2 2" xfId="43982"/>
    <cellStyle name="Input 34 4 2 2 3" xfId="47891"/>
    <cellStyle name="Input 34 4 2 2 4" xfId="36073"/>
    <cellStyle name="Input 34 4 2 3" xfId="11493"/>
    <cellStyle name="Input 34 4 2 3 2" xfId="41484"/>
    <cellStyle name="Input 34 4 2 3 3" xfId="39652"/>
    <cellStyle name="Input 34 4 2 3 4" xfId="29194"/>
    <cellStyle name="Input 34 4 2 4" xfId="11675"/>
    <cellStyle name="Input 34 4 2 4 2" xfId="41666"/>
    <cellStyle name="Input 34 4 2 4 3" xfId="39318"/>
    <cellStyle name="Input 34 4 2 4 4" xfId="29354"/>
    <cellStyle name="Input 34 4 2 5" xfId="20863"/>
    <cellStyle name="Input 34 4 2 5 2" xfId="46385"/>
    <cellStyle name="Input 34 4 2 5 3" xfId="50291"/>
    <cellStyle name="Input 34 4 2 5 4" xfId="38255"/>
    <cellStyle name="Input 34 4 2 6" xfId="21516"/>
    <cellStyle name="Input 34 4 2 6 2" xfId="47038"/>
    <cellStyle name="Input 34 4 2 6 3" xfId="50944"/>
    <cellStyle name="Input 34 4 2 7" xfId="40841"/>
    <cellStyle name="Input 34 4 2 8" xfId="39168"/>
    <cellStyle name="Input 34 4 3" xfId="10958"/>
    <cellStyle name="Input 34 4 3 2" xfId="18745"/>
    <cellStyle name="Input 34 4 3 2 2" xfId="44277"/>
    <cellStyle name="Input 34 4 3 2 3" xfId="48186"/>
    <cellStyle name="Input 34 4 3 2 4" xfId="36368"/>
    <cellStyle name="Input 34 4 3 3" xfId="19991"/>
    <cellStyle name="Input 34 4 3 3 2" xfId="45513"/>
    <cellStyle name="Input 34 4 3 3 3" xfId="49419"/>
    <cellStyle name="Input 34 4 3 3 4" xfId="37475"/>
    <cellStyle name="Input 34 4 3 4" xfId="12079"/>
    <cellStyle name="Input 34 4 3 4 2" xfId="41804"/>
    <cellStyle name="Input 34 4 3 4 3" xfId="39303"/>
    <cellStyle name="Input 34 4 3 4 4" xfId="29741"/>
    <cellStyle name="Input 34 4 3 5" xfId="21158"/>
    <cellStyle name="Input 34 4 3 5 2" xfId="46680"/>
    <cellStyle name="Input 34 4 3 5 3" xfId="50586"/>
    <cellStyle name="Input 34 4 3 5 4" xfId="38550"/>
    <cellStyle name="Input 34 4 3 6" xfId="21811"/>
    <cellStyle name="Input 34 4 3 6 2" xfId="47333"/>
    <cellStyle name="Input 34 4 3 6 3" xfId="51239"/>
    <cellStyle name="Input 34 4 3 7" xfId="41136"/>
    <cellStyle name="Input 34 4 3 8" xfId="42703"/>
    <cellStyle name="Input 34 4 4" xfId="14918"/>
    <cellStyle name="Input 34 4 4 2" xfId="43016"/>
    <cellStyle name="Input 34 4 4 3" xfId="43530"/>
    <cellStyle name="Input 34 4 4 4" xfId="32539"/>
    <cellStyle name="Input 34 4 5" xfId="12474"/>
    <cellStyle name="Input 34 4 5 2" xfId="41975"/>
    <cellStyle name="Input 34 4 5 3" xfId="39533"/>
    <cellStyle name="Input 34 4 5 4" xfId="30131"/>
    <cellStyle name="Input 34 4 6" xfId="11454"/>
    <cellStyle name="Input 34 4 6 2" xfId="41445"/>
    <cellStyle name="Input 34 4 6 3" xfId="42557"/>
    <cellStyle name="Input 34 4 6 4" xfId="29159"/>
    <cellStyle name="Input 34 4 7" xfId="11793"/>
    <cellStyle name="Input 34 4 7 2" xfId="41723"/>
    <cellStyle name="Input 34 4 7 3" xfId="43140"/>
    <cellStyle name="Input 34 4 7 4" xfId="29465"/>
    <cellStyle name="Input 34 4 8" xfId="13903"/>
    <cellStyle name="Input 34 4 8 2" xfId="42619"/>
    <cellStyle name="Input 34 4 8 3" xfId="39255"/>
    <cellStyle name="Input 34 4 9" xfId="39876"/>
    <cellStyle name="Input 34 5" xfId="22463"/>
    <cellStyle name="Input 34 5 2" xfId="23027"/>
    <cellStyle name="Input 34 5 2 2" xfId="47614"/>
    <cellStyle name="Input 34 5 2 3" xfId="51425"/>
    <cellStyle name="Input 34 5 3" xfId="47507"/>
    <cellStyle name="Input 34 5 4" xfId="51361"/>
    <cellStyle name="Input 34 5 5" xfId="53139"/>
    <cellStyle name="Input 34 6" xfId="22896"/>
    <cellStyle name="Input 34 6 2" xfId="23044"/>
    <cellStyle name="Input 34 6 2 2" xfId="47630"/>
    <cellStyle name="Input 34 6 2 3" xfId="51441"/>
    <cellStyle name="Input 34 6 3" xfId="47586"/>
    <cellStyle name="Input 34 6 4" xfId="51401"/>
    <cellStyle name="Input 34 6 5" xfId="53140"/>
    <cellStyle name="Input 34 7" xfId="53134"/>
    <cellStyle name="Input 34_Sheet1" xfId="1981"/>
    <cellStyle name="Input 35" xfId="1982"/>
    <cellStyle name="Input 35 2" xfId="1983"/>
    <cellStyle name="Input 35 2 2" xfId="1984"/>
    <cellStyle name="Input 35 2 2 2" xfId="7142"/>
    <cellStyle name="Input 35 2 2 2 10" xfId="42598"/>
    <cellStyle name="Input 35 2 2 2 2" xfId="10669"/>
    <cellStyle name="Input 35 2 2 2 2 2" xfId="18456"/>
    <cellStyle name="Input 35 2 2 2 2 2 2" xfId="43988"/>
    <cellStyle name="Input 35 2 2 2 2 2 3" xfId="47897"/>
    <cellStyle name="Input 35 2 2 2 2 2 4" xfId="36079"/>
    <cellStyle name="Input 35 2 2 2 2 3" xfId="19593"/>
    <cellStyle name="Input 35 2 2 2 2 3 2" xfId="45115"/>
    <cellStyle name="Input 35 2 2 2 2 3 3" xfId="49021"/>
    <cellStyle name="Input 35 2 2 2 2 3 4" xfId="37119"/>
    <cellStyle name="Input 35 2 2 2 2 4" xfId="11440"/>
    <cellStyle name="Input 35 2 2 2 2 4 2" xfId="41431"/>
    <cellStyle name="Input 35 2 2 2 2 4 3" xfId="43327"/>
    <cellStyle name="Input 35 2 2 2 2 4 4" xfId="29146"/>
    <cellStyle name="Input 35 2 2 2 2 5" xfId="20869"/>
    <cellStyle name="Input 35 2 2 2 2 5 2" xfId="46391"/>
    <cellStyle name="Input 35 2 2 2 2 5 3" xfId="50297"/>
    <cellStyle name="Input 35 2 2 2 2 5 4" xfId="38261"/>
    <cellStyle name="Input 35 2 2 2 2 6" xfId="21522"/>
    <cellStyle name="Input 35 2 2 2 2 6 2" xfId="47044"/>
    <cellStyle name="Input 35 2 2 2 2 6 3" xfId="50950"/>
    <cellStyle name="Input 35 2 2 2 2 7" xfId="40847"/>
    <cellStyle name="Input 35 2 2 2 2 8" xfId="40568"/>
    <cellStyle name="Input 35 2 2 2 3" xfId="10964"/>
    <cellStyle name="Input 35 2 2 2 3 2" xfId="18751"/>
    <cellStyle name="Input 35 2 2 2 3 2 2" xfId="44283"/>
    <cellStyle name="Input 35 2 2 2 3 2 3" xfId="48192"/>
    <cellStyle name="Input 35 2 2 2 3 2 4" xfId="36374"/>
    <cellStyle name="Input 35 2 2 2 3 3" xfId="20124"/>
    <cellStyle name="Input 35 2 2 2 3 3 2" xfId="45646"/>
    <cellStyle name="Input 35 2 2 2 3 3 3" xfId="49552"/>
    <cellStyle name="Input 35 2 2 2 3 3 4" xfId="37596"/>
    <cellStyle name="Input 35 2 2 2 3 4" xfId="11616"/>
    <cellStyle name="Input 35 2 2 2 3 4 2" xfId="41607"/>
    <cellStyle name="Input 35 2 2 2 3 4 3" xfId="43463"/>
    <cellStyle name="Input 35 2 2 2 3 4 4" xfId="29305"/>
    <cellStyle name="Input 35 2 2 2 3 5" xfId="21164"/>
    <cellStyle name="Input 35 2 2 2 3 5 2" xfId="46686"/>
    <cellStyle name="Input 35 2 2 2 3 5 3" xfId="50592"/>
    <cellStyle name="Input 35 2 2 2 3 5 4" xfId="38556"/>
    <cellStyle name="Input 35 2 2 2 3 6" xfId="21817"/>
    <cellStyle name="Input 35 2 2 2 3 6 2" xfId="47339"/>
    <cellStyle name="Input 35 2 2 2 3 6 3" xfId="51245"/>
    <cellStyle name="Input 35 2 2 2 3 7" xfId="41142"/>
    <cellStyle name="Input 35 2 2 2 3 8" xfId="40344"/>
    <cellStyle name="Input 35 2 2 2 4" xfId="14924"/>
    <cellStyle name="Input 35 2 2 2 4 2" xfId="43022"/>
    <cellStyle name="Input 35 2 2 2 4 3" xfId="39400"/>
    <cellStyle name="Input 35 2 2 2 4 4" xfId="32545"/>
    <cellStyle name="Input 35 2 2 2 5" xfId="13156"/>
    <cellStyle name="Input 35 2 2 2 5 2" xfId="42358"/>
    <cellStyle name="Input 35 2 2 2 5 3" xfId="39063"/>
    <cellStyle name="Input 35 2 2 2 5 4" xfId="30791"/>
    <cellStyle name="Input 35 2 2 2 6" xfId="12035"/>
    <cellStyle name="Input 35 2 2 2 6 2" xfId="41771"/>
    <cellStyle name="Input 35 2 2 2 6 3" xfId="47559"/>
    <cellStyle name="Input 35 2 2 2 6 4" xfId="29700"/>
    <cellStyle name="Input 35 2 2 2 7" xfId="20455"/>
    <cellStyle name="Input 35 2 2 2 7 2" xfId="45977"/>
    <cellStyle name="Input 35 2 2 2 7 3" xfId="49883"/>
    <cellStyle name="Input 35 2 2 2 7 4" xfId="37894"/>
    <cellStyle name="Input 35 2 2 2 8" xfId="19211"/>
    <cellStyle name="Input 35 2 2 2 8 2" xfId="44733"/>
    <cellStyle name="Input 35 2 2 2 8 3" xfId="48639"/>
    <cellStyle name="Input 35 2 2 2 9" xfId="39882"/>
    <cellStyle name="Input 35 2 2 3" xfId="53143"/>
    <cellStyle name="Input 35 2 3" xfId="7141"/>
    <cellStyle name="Input 35 2 3 10" xfId="39590"/>
    <cellStyle name="Input 35 2 3 2" xfId="10668"/>
    <cellStyle name="Input 35 2 3 2 2" xfId="18455"/>
    <cellStyle name="Input 35 2 3 2 2 2" xfId="43987"/>
    <cellStyle name="Input 35 2 3 2 2 3" xfId="47896"/>
    <cellStyle name="Input 35 2 3 2 2 4" xfId="36078"/>
    <cellStyle name="Input 35 2 3 2 3" xfId="12621"/>
    <cellStyle name="Input 35 2 3 2 3 2" xfId="42081"/>
    <cellStyle name="Input 35 2 3 2 3 3" xfId="40524"/>
    <cellStyle name="Input 35 2 3 2 3 4" xfId="30272"/>
    <cellStyle name="Input 35 2 3 2 4" xfId="19812"/>
    <cellStyle name="Input 35 2 3 2 4 2" xfId="45334"/>
    <cellStyle name="Input 35 2 3 2 4 3" xfId="49240"/>
    <cellStyle name="Input 35 2 3 2 4 4" xfId="37316"/>
    <cellStyle name="Input 35 2 3 2 5" xfId="20868"/>
    <cellStyle name="Input 35 2 3 2 5 2" xfId="46390"/>
    <cellStyle name="Input 35 2 3 2 5 3" xfId="50296"/>
    <cellStyle name="Input 35 2 3 2 5 4" xfId="38260"/>
    <cellStyle name="Input 35 2 3 2 6" xfId="21521"/>
    <cellStyle name="Input 35 2 3 2 6 2" xfId="47043"/>
    <cellStyle name="Input 35 2 3 2 6 3" xfId="50949"/>
    <cellStyle name="Input 35 2 3 2 7" xfId="40846"/>
    <cellStyle name="Input 35 2 3 2 8" xfId="43709"/>
    <cellStyle name="Input 35 2 3 3" xfId="10963"/>
    <cellStyle name="Input 35 2 3 3 2" xfId="18750"/>
    <cellStyle name="Input 35 2 3 3 2 2" xfId="44282"/>
    <cellStyle name="Input 35 2 3 3 2 3" xfId="48191"/>
    <cellStyle name="Input 35 2 3 3 2 4" xfId="36373"/>
    <cellStyle name="Input 35 2 3 3 3" xfId="19573"/>
    <cellStyle name="Input 35 2 3 3 3 2" xfId="45095"/>
    <cellStyle name="Input 35 2 3 3 3 3" xfId="49001"/>
    <cellStyle name="Input 35 2 3 3 3 4" xfId="37099"/>
    <cellStyle name="Input 35 2 3 3 4" xfId="11552"/>
    <cellStyle name="Input 35 2 3 3 4 2" xfId="41543"/>
    <cellStyle name="Input 35 2 3 3 4 3" xfId="39650"/>
    <cellStyle name="Input 35 2 3 3 4 4" xfId="29250"/>
    <cellStyle name="Input 35 2 3 3 5" xfId="21163"/>
    <cellStyle name="Input 35 2 3 3 5 2" xfId="46685"/>
    <cellStyle name="Input 35 2 3 3 5 3" xfId="50591"/>
    <cellStyle name="Input 35 2 3 3 5 4" xfId="38555"/>
    <cellStyle name="Input 35 2 3 3 6" xfId="21816"/>
    <cellStyle name="Input 35 2 3 3 6 2" xfId="47338"/>
    <cellStyle name="Input 35 2 3 3 6 3" xfId="51244"/>
    <cellStyle name="Input 35 2 3 3 7" xfId="41141"/>
    <cellStyle name="Input 35 2 3 3 8" xfId="43481"/>
    <cellStyle name="Input 35 2 3 4" xfId="14923"/>
    <cellStyle name="Input 35 2 3 4 2" xfId="43021"/>
    <cellStyle name="Input 35 2 3 4 3" xfId="40283"/>
    <cellStyle name="Input 35 2 3 4 4" xfId="32544"/>
    <cellStyle name="Input 35 2 3 5" xfId="13155"/>
    <cellStyle name="Input 35 2 3 5 2" xfId="42357"/>
    <cellStyle name="Input 35 2 3 5 3" xfId="39064"/>
    <cellStyle name="Input 35 2 3 5 4" xfId="30790"/>
    <cellStyle name="Input 35 2 3 6" xfId="20182"/>
    <cellStyle name="Input 35 2 3 6 2" xfId="45704"/>
    <cellStyle name="Input 35 2 3 6 3" xfId="49610"/>
    <cellStyle name="Input 35 2 3 6 4" xfId="37651"/>
    <cellStyle name="Input 35 2 3 7" xfId="13300"/>
    <cellStyle name="Input 35 2 3 7 2" xfId="42451"/>
    <cellStyle name="Input 35 2 3 7 3" xfId="43431"/>
    <cellStyle name="Input 35 2 3 7 4" xfId="30927"/>
    <cellStyle name="Input 35 2 3 8" xfId="19143"/>
    <cellStyle name="Input 35 2 3 8 2" xfId="44665"/>
    <cellStyle name="Input 35 2 3 8 3" xfId="48571"/>
    <cellStyle name="Input 35 2 3 9" xfId="39881"/>
    <cellStyle name="Input 35 2 4" xfId="53142"/>
    <cellStyle name="Input 35 2_Sheet1" xfId="1985"/>
    <cellStyle name="Input 35 3" xfId="1986"/>
    <cellStyle name="Input 35 3 2" xfId="7143"/>
    <cellStyle name="Input 35 3 2 10" xfId="43511"/>
    <cellStyle name="Input 35 3 2 2" xfId="10670"/>
    <cellStyle name="Input 35 3 2 2 2" xfId="18457"/>
    <cellStyle name="Input 35 3 2 2 2 2" xfId="43989"/>
    <cellStyle name="Input 35 3 2 2 2 3" xfId="47898"/>
    <cellStyle name="Input 35 3 2 2 2 4" xfId="36080"/>
    <cellStyle name="Input 35 3 2 2 3" xfId="20147"/>
    <cellStyle name="Input 35 3 2 2 3 2" xfId="45669"/>
    <cellStyle name="Input 35 3 2 2 3 3" xfId="49575"/>
    <cellStyle name="Input 35 3 2 2 3 4" xfId="37619"/>
    <cellStyle name="Input 35 3 2 2 4" xfId="11531"/>
    <cellStyle name="Input 35 3 2 2 4 2" xfId="41522"/>
    <cellStyle name="Input 35 3 2 2 4 3" xfId="43679"/>
    <cellStyle name="Input 35 3 2 2 4 4" xfId="29231"/>
    <cellStyle name="Input 35 3 2 2 5" xfId="20870"/>
    <cellStyle name="Input 35 3 2 2 5 2" xfId="46392"/>
    <cellStyle name="Input 35 3 2 2 5 3" xfId="50298"/>
    <cellStyle name="Input 35 3 2 2 5 4" xfId="38262"/>
    <cellStyle name="Input 35 3 2 2 6" xfId="21523"/>
    <cellStyle name="Input 35 3 2 2 6 2" xfId="47045"/>
    <cellStyle name="Input 35 3 2 2 6 3" xfId="50951"/>
    <cellStyle name="Input 35 3 2 2 7" xfId="40848"/>
    <cellStyle name="Input 35 3 2 2 8" xfId="39679"/>
    <cellStyle name="Input 35 3 2 3" xfId="10965"/>
    <cellStyle name="Input 35 3 2 3 2" xfId="18752"/>
    <cellStyle name="Input 35 3 2 3 2 2" xfId="44284"/>
    <cellStyle name="Input 35 3 2 3 2 3" xfId="48193"/>
    <cellStyle name="Input 35 3 2 3 2 4" xfId="36375"/>
    <cellStyle name="Input 35 3 2 3 3" xfId="19383"/>
    <cellStyle name="Input 35 3 2 3 3 2" xfId="44905"/>
    <cellStyle name="Input 35 3 2 3 3 3" xfId="48811"/>
    <cellStyle name="Input 35 3 2 3 3 4" xfId="36934"/>
    <cellStyle name="Input 35 3 2 3 4" xfId="20327"/>
    <cellStyle name="Input 35 3 2 3 4 2" xfId="45849"/>
    <cellStyle name="Input 35 3 2 3 4 3" xfId="49755"/>
    <cellStyle name="Input 35 3 2 3 4 4" xfId="37775"/>
    <cellStyle name="Input 35 3 2 3 5" xfId="21165"/>
    <cellStyle name="Input 35 3 2 3 5 2" xfId="46687"/>
    <cellStyle name="Input 35 3 2 3 5 3" xfId="50593"/>
    <cellStyle name="Input 35 3 2 3 5 4" xfId="38557"/>
    <cellStyle name="Input 35 3 2 3 6" xfId="21818"/>
    <cellStyle name="Input 35 3 2 3 6 2" xfId="47340"/>
    <cellStyle name="Input 35 3 2 3 6 3" xfId="51246"/>
    <cellStyle name="Input 35 3 2 3 7" xfId="41143"/>
    <cellStyle name="Input 35 3 2 3 8" xfId="39456"/>
    <cellStyle name="Input 35 3 2 4" xfId="14925"/>
    <cellStyle name="Input 35 3 2 4 2" xfId="43023"/>
    <cellStyle name="Input 35 3 2 4 3" xfId="41915"/>
    <cellStyle name="Input 35 3 2 4 4" xfId="32546"/>
    <cellStyle name="Input 35 3 2 5" xfId="13157"/>
    <cellStyle name="Input 35 3 2 5 2" xfId="42359"/>
    <cellStyle name="Input 35 3 2 5 3" xfId="39062"/>
    <cellStyle name="Input 35 3 2 5 4" xfId="30792"/>
    <cellStyle name="Input 35 3 2 6" xfId="19912"/>
    <cellStyle name="Input 35 3 2 6 2" xfId="45434"/>
    <cellStyle name="Input 35 3 2 6 3" xfId="49340"/>
    <cellStyle name="Input 35 3 2 6 4" xfId="37412"/>
    <cellStyle name="Input 35 3 2 7" xfId="19496"/>
    <cellStyle name="Input 35 3 2 7 2" xfId="45018"/>
    <cellStyle name="Input 35 3 2 7 3" xfId="48924"/>
    <cellStyle name="Input 35 3 2 7 4" xfId="37030"/>
    <cellStyle name="Input 35 3 2 8" xfId="12068"/>
    <cellStyle name="Input 35 3 2 8 2" xfId="41794"/>
    <cellStyle name="Input 35 3 2 8 3" xfId="41971"/>
    <cellStyle name="Input 35 3 2 9" xfId="39883"/>
    <cellStyle name="Input 35 3 3" xfId="53144"/>
    <cellStyle name="Input 35 4" xfId="7140"/>
    <cellStyle name="Input 35 4 10" xfId="40480"/>
    <cellStyle name="Input 35 4 11" xfId="53145"/>
    <cellStyle name="Input 35 4 2" xfId="10667"/>
    <cellStyle name="Input 35 4 2 2" xfId="18454"/>
    <cellStyle name="Input 35 4 2 2 2" xfId="43986"/>
    <cellStyle name="Input 35 4 2 2 3" xfId="47895"/>
    <cellStyle name="Input 35 4 2 2 4" xfId="36077"/>
    <cellStyle name="Input 35 4 2 3" xfId="19729"/>
    <cellStyle name="Input 35 4 2 3 2" xfId="45251"/>
    <cellStyle name="Input 35 4 2 3 3" xfId="49157"/>
    <cellStyle name="Input 35 4 2 3 4" xfId="37242"/>
    <cellStyle name="Input 35 4 2 4" xfId="11547"/>
    <cellStyle name="Input 35 4 2 4 2" xfId="41538"/>
    <cellStyle name="Input 35 4 2 4 3" xfId="43321"/>
    <cellStyle name="Input 35 4 2 4 4" xfId="29245"/>
    <cellStyle name="Input 35 4 2 5" xfId="20867"/>
    <cellStyle name="Input 35 4 2 5 2" xfId="46389"/>
    <cellStyle name="Input 35 4 2 5 3" xfId="50295"/>
    <cellStyle name="Input 35 4 2 5 4" xfId="38259"/>
    <cellStyle name="Input 35 4 2 6" xfId="21520"/>
    <cellStyle name="Input 35 4 2 6 2" xfId="47042"/>
    <cellStyle name="Input 35 4 2 6 3" xfId="50948"/>
    <cellStyle name="Input 35 4 2 7" xfId="40845"/>
    <cellStyle name="Input 35 4 2 8" xfId="42820"/>
    <cellStyle name="Input 35 4 3" xfId="10962"/>
    <cellStyle name="Input 35 4 3 2" xfId="18749"/>
    <cellStyle name="Input 35 4 3 2 2" xfId="44281"/>
    <cellStyle name="Input 35 4 3 2 3" xfId="48190"/>
    <cellStyle name="Input 35 4 3 2 4" xfId="36372"/>
    <cellStyle name="Input 35 4 3 3" xfId="12632"/>
    <cellStyle name="Input 35 4 3 3 2" xfId="42092"/>
    <cellStyle name="Input 35 4 3 3 3" xfId="43306"/>
    <cellStyle name="Input 35 4 3 3 4" xfId="30283"/>
    <cellStyle name="Input 35 4 3 4" xfId="13304"/>
    <cellStyle name="Input 35 4 3 4 2" xfId="42455"/>
    <cellStyle name="Input 35 4 3 4 3" xfId="43283"/>
    <cellStyle name="Input 35 4 3 4 4" xfId="30930"/>
    <cellStyle name="Input 35 4 3 5" xfId="21162"/>
    <cellStyle name="Input 35 4 3 5 2" xfId="46684"/>
    <cellStyle name="Input 35 4 3 5 3" xfId="50590"/>
    <cellStyle name="Input 35 4 3 5 4" xfId="38554"/>
    <cellStyle name="Input 35 4 3 6" xfId="21815"/>
    <cellStyle name="Input 35 4 3 6 2" xfId="47337"/>
    <cellStyle name="Input 35 4 3 6 3" xfId="51243"/>
    <cellStyle name="Input 35 4 3 7" xfId="41140"/>
    <cellStyle name="Input 35 4 3 8" xfId="42568"/>
    <cellStyle name="Input 35 4 4" xfId="14922"/>
    <cellStyle name="Input 35 4 4 2" xfId="43020"/>
    <cellStyle name="Input 35 4 4 3" xfId="43421"/>
    <cellStyle name="Input 35 4 4 4" xfId="32543"/>
    <cellStyle name="Input 35 4 5" xfId="13154"/>
    <cellStyle name="Input 35 4 5 2" xfId="42356"/>
    <cellStyle name="Input 35 4 5 3" xfId="39065"/>
    <cellStyle name="Input 35 4 5 4" xfId="30789"/>
    <cellStyle name="Input 35 4 6" xfId="12855"/>
    <cellStyle name="Input 35 4 6 2" xfId="42219"/>
    <cellStyle name="Input 35 4 6 3" xfId="40415"/>
    <cellStyle name="Input 35 4 6 4" xfId="30493"/>
    <cellStyle name="Input 35 4 7" xfId="12047"/>
    <cellStyle name="Input 35 4 7 2" xfId="41782"/>
    <cellStyle name="Input 35 4 7 3" xfId="39431"/>
    <cellStyle name="Input 35 4 7 4" xfId="29712"/>
    <cellStyle name="Input 35 4 8" xfId="19922"/>
    <cellStyle name="Input 35 4 8 2" xfId="45444"/>
    <cellStyle name="Input 35 4 8 3" xfId="49350"/>
    <cellStyle name="Input 35 4 9" xfId="39880"/>
    <cellStyle name="Input 35 5" xfId="22464"/>
    <cellStyle name="Input 35 5 2" xfId="23028"/>
    <cellStyle name="Input 35 5 2 2" xfId="47615"/>
    <cellStyle name="Input 35 5 2 3" xfId="51426"/>
    <cellStyle name="Input 35 5 3" xfId="47508"/>
    <cellStyle name="Input 35 5 4" xfId="51362"/>
    <cellStyle name="Input 35 5 5" xfId="53146"/>
    <cellStyle name="Input 35 6" xfId="22895"/>
    <cellStyle name="Input 35 6 2" xfId="23043"/>
    <cellStyle name="Input 35 6 2 2" xfId="47629"/>
    <cellStyle name="Input 35 6 2 3" xfId="51440"/>
    <cellStyle name="Input 35 6 3" xfId="47585"/>
    <cellStyle name="Input 35 6 4" xfId="51400"/>
    <cellStyle name="Input 35 6 5" xfId="53147"/>
    <cellStyle name="Input 35 7" xfId="53141"/>
    <cellStyle name="Input 35_Sheet1" xfId="1987"/>
    <cellStyle name="Input 36" xfId="1988"/>
    <cellStyle name="Input 36 2" xfId="7144"/>
    <cellStyle name="Input 36 2 10" xfId="40374"/>
    <cellStyle name="Input 36 2 11" xfId="53149"/>
    <cellStyle name="Input 36 2 2" xfId="10671"/>
    <cellStyle name="Input 36 2 2 2" xfId="18458"/>
    <cellStyle name="Input 36 2 2 2 2" xfId="43990"/>
    <cellStyle name="Input 36 2 2 2 3" xfId="47899"/>
    <cellStyle name="Input 36 2 2 2 4" xfId="36081"/>
    <cellStyle name="Input 36 2 2 3" xfId="19406"/>
    <cellStyle name="Input 36 2 2 3 2" xfId="44928"/>
    <cellStyle name="Input 36 2 2 3 3" xfId="48834"/>
    <cellStyle name="Input 36 2 2 3 4" xfId="36957"/>
    <cellStyle name="Input 36 2 2 4" xfId="19555"/>
    <cellStyle name="Input 36 2 2 4 2" xfId="45077"/>
    <cellStyle name="Input 36 2 2 4 3" xfId="48983"/>
    <cellStyle name="Input 36 2 2 4 4" xfId="37082"/>
    <cellStyle name="Input 36 2 2 5" xfId="20871"/>
    <cellStyle name="Input 36 2 2 5 2" xfId="46393"/>
    <cellStyle name="Input 36 2 2 5 3" xfId="50299"/>
    <cellStyle name="Input 36 2 2 5 4" xfId="38263"/>
    <cellStyle name="Input 36 2 2 6" xfId="21524"/>
    <cellStyle name="Input 36 2 2 6 2" xfId="47046"/>
    <cellStyle name="Input 36 2 2 6 3" xfId="50952"/>
    <cellStyle name="Input 36 2 2 7" xfId="40849"/>
    <cellStyle name="Input 36 2 2 8" xfId="42716"/>
    <cellStyle name="Input 36 2 3" xfId="10966"/>
    <cellStyle name="Input 36 2 3 2" xfId="18753"/>
    <cellStyle name="Input 36 2 3 2 2" xfId="44285"/>
    <cellStyle name="Input 36 2 3 2 3" xfId="48194"/>
    <cellStyle name="Input 36 2 3 2 4" xfId="36376"/>
    <cellStyle name="Input 36 2 3 3" xfId="19990"/>
    <cellStyle name="Input 36 2 3 3 2" xfId="45512"/>
    <cellStyle name="Input 36 2 3 3 3" xfId="49418"/>
    <cellStyle name="Input 36 2 3 3 4" xfId="37474"/>
    <cellStyle name="Input 36 2 3 4" xfId="20338"/>
    <cellStyle name="Input 36 2 3 4 2" xfId="45860"/>
    <cellStyle name="Input 36 2 3 4 3" xfId="49766"/>
    <cellStyle name="Input 36 2 3 4 4" xfId="37782"/>
    <cellStyle name="Input 36 2 3 5" xfId="21166"/>
    <cellStyle name="Input 36 2 3 5 2" xfId="46688"/>
    <cellStyle name="Input 36 2 3 5 3" xfId="50594"/>
    <cellStyle name="Input 36 2 3 5 4" xfId="38558"/>
    <cellStyle name="Input 36 2 3 6" xfId="21819"/>
    <cellStyle name="Input 36 2 3 6 2" xfId="47341"/>
    <cellStyle name="Input 36 2 3 6 3" xfId="51247"/>
    <cellStyle name="Input 36 2 3 7" xfId="41144"/>
    <cellStyle name="Input 36 2 3 8" xfId="42024"/>
    <cellStyle name="Input 36 2 4" xfId="14926"/>
    <cellStyle name="Input 36 2 4 2" xfId="43024"/>
    <cellStyle name="Input 36 2 4 3" xfId="43269"/>
    <cellStyle name="Input 36 2 4 4" xfId="32547"/>
    <cellStyle name="Input 36 2 5" xfId="11312"/>
    <cellStyle name="Input 36 2 5 2" xfId="41337"/>
    <cellStyle name="Input 36 2 5 3" xfId="43689"/>
    <cellStyle name="Input 36 2 5 4" xfId="29026"/>
    <cellStyle name="Input 36 2 6" xfId="12135"/>
    <cellStyle name="Input 36 2 6 2" xfId="41860"/>
    <cellStyle name="Input 36 2 6 3" xfId="47464"/>
    <cellStyle name="Input 36 2 6 4" xfId="29793"/>
    <cellStyle name="Input 36 2 7" xfId="13234"/>
    <cellStyle name="Input 36 2 7 2" xfId="42396"/>
    <cellStyle name="Input 36 2 7 3" xfId="39622"/>
    <cellStyle name="Input 36 2 7 4" xfId="30865"/>
    <cellStyle name="Input 36 2 8" xfId="11715"/>
    <cellStyle name="Input 36 2 8 2" xfId="41684"/>
    <cellStyle name="Input 36 2 8 3" xfId="39433"/>
    <cellStyle name="Input 36 2 9" xfId="39884"/>
    <cellStyle name="Input 36 3" xfId="22465"/>
    <cellStyle name="Input 36 3 2" xfId="23029"/>
    <cellStyle name="Input 36 3 2 2" xfId="47616"/>
    <cellStyle name="Input 36 3 2 3" xfId="51427"/>
    <cellStyle name="Input 36 3 3" xfId="47509"/>
    <cellStyle name="Input 36 3 4" xfId="51363"/>
    <cellStyle name="Input 36 3 5" xfId="53150"/>
    <cellStyle name="Input 36 4" xfId="53148"/>
    <cellStyle name="Input 37" xfId="1989"/>
    <cellStyle name="Input 37 2" xfId="7145"/>
    <cellStyle name="Input 37 2 10" xfId="39486"/>
    <cellStyle name="Input 37 2 2" xfId="10672"/>
    <cellStyle name="Input 37 2 2 2" xfId="18459"/>
    <cellStyle name="Input 37 2 2 2 2" xfId="43991"/>
    <cellStyle name="Input 37 2 2 2 3" xfId="47900"/>
    <cellStyle name="Input 37 2 2 2 4" xfId="36082"/>
    <cellStyle name="Input 37 2 2 3" xfId="20013"/>
    <cellStyle name="Input 37 2 2 3 2" xfId="45535"/>
    <cellStyle name="Input 37 2 2 3 3" xfId="49441"/>
    <cellStyle name="Input 37 2 2 3 4" xfId="37497"/>
    <cellStyle name="Input 37 2 2 4" xfId="13259"/>
    <cellStyle name="Input 37 2 2 4 2" xfId="42410"/>
    <cellStyle name="Input 37 2 2 4 3" xfId="42524"/>
    <cellStyle name="Input 37 2 2 4 4" xfId="30890"/>
    <cellStyle name="Input 37 2 2 5" xfId="20872"/>
    <cellStyle name="Input 37 2 2 5 2" xfId="46394"/>
    <cellStyle name="Input 37 2 2 5 3" xfId="50300"/>
    <cellStyle name="Input 37 2 2 5 4" xfId="38264"/>
    <cellStyle name="Input 37 2 2 6" xfId="21525"/>
    <cellStyle name="Input 37 2 2 6 2" xfId="47047"/>
    <cellStyle name="Input 37 2 2 6 3" xfId="50953"/>
    <cellStyle name="Input 37 2 2 7" xfId="40850"/>
    <cellStyle name="Input 37 2 2 8" xfId="43605"/>
    <cellStyle name="Input 37 2 3" xfId="10967"/>
    <cellStyle name="Input 37 2 3 2" xfId="18754"/>
    <cellStyle name="Input 37 2 3 2 2" xfId="44286"/>
    <cellStyle name="Input 37 2 3 2 3" xfId="48195"/>
    <cellStyle name="Input 37 2 3 2 4" xfId="36377"/>
    <cellStyle name="Input 37 2 3 3" xfId="19256"/>
    <cellStyle name="Input 37 2 3 3 2" xfId="44778"/>
    <cellStyle name="Input 37 2 3 3 3" xfId="48684"/>
    <cellStyle name="Input 37 2 3 3 4" xfId="36820"/>
    <cellStyle name="Input 37 2 3 4" xfId="11654"/>
    <cellStyle name="Input 37 2 3 4 2" xfId="41645"/>
    <cellStyle name="Input 37 2 3 4 3" xfId="39319"/>
    <cellStyle name="Input 37 2 3 4 4" xfId="29339"/>
    <cellStyle name="Input 37 2 3 5" xfId="21167"/>
    <cellStyle name="Input 37 2 3 5 2" xfId="46689"/>
    <cellStyle name="Input 37 2 3 5 3" xfId="50595"/>
    <cellStyle name="Input 37 2 3 5 4" xfId="38559"/>
    <cellStyle name="Input 37 2 3 6" xfId="21820"/>
    <cellStyle name="Input 37 2 3 6 2" xfId="47342"/>
    <cellStyle name="Input 37 2 3 6 3" xfId="51248"/>
    <cellStyle name="Input 37 2 3 7" xfId="41145"/>
    <cellStyle name="Input 37 2 3 8" xfId="43343"/>
    <cellStyle name="Input 37 2 4" xfId="14927"/>
    <cellStyle name="Input 37 2 4 2" xfId="43025"/>
    <cellStyle name="Input 37 2 4 3" xfId="40128"/>
    <cellStyle name="Input 37 2 4 4" xfId="32548"/>
    <cellStyle name="Input 37 2 5" xfId="13158"/>
    <cellStyle name="Input 37 2 5 2" xfId="42360"/>
    <cellStyle name="Input 37 2 5 3" xfId="39061"/>
    <cellStyle name="Input 37 2 5 4" xfId="30793"/>
    <cellStyle name="Input 37 2 6" xfId="19786"/>
    <cellStyle name="Input 37 2 6 2" xfId="45308"/>
    <cellStyle name="Input 37 2 6 3" xfId="49214"/>
    <cellStyle name="Input 37 2 6 4" xfId="37295"/>
    <cellStyle name="Input 37 2 7" xfId="19624"/>
    <cellStyle name="Input 37 2 7 2" xfId="45146"/>
    <cellStyle name="Input 37 2 7 3" xfId="49052"/>
    <cellStyle name="Input 37 2 7 4" xfId="37147"/>
    <cellStyle name="Input 37 2 8" xfId="20594"/>
    <cellStyle name="Input 37 2 8 2" xfId="46116"/>
    <cellStyle name="Input 37 2 8 3" xfId="50022"/>
    <cellStyle name="Input 37 2 9" xfId="39885"/>
    <cellStyle name="Input 37 3" xfId="53151"/>
    <cellStyle name="Input 38" xfId="1990"/>
    <cellStyle name="Input 38 2" xfId="7146"/>
    <cellStyle name="Input 38 2 10" xfId="42167"/>
    <cellStyle name="Input 38 2 2" xfId="10673"/>
    <cellStyle name="Input 38 2 2 2" xfId="18460"/>
    <cellStyle name="Input 38 2 2 2 2" xfId="43992"/>
    <cellStyle name="Input 38 2 2 2 3" xfId="47901"/>
    <cellStyle name="Input 38 2 2 2 4" xfId="36083"/>
    <cellStyle name="Input 38 2 2 3" xfId="19279"/>
    <cellStyle name="Input 38 2 2 3 2" xfId="44801"/>
    <cellStyle name="Input 38 2 2 3 3" xfId="48707"/>
    <cellStyle name="Input 38 2 2 3 4" xfId="36843"/>
    <cellStyle name="Input 38 2 2 4" xfId="12656"/>
    <cellStyle name="Input 38 2 2 4 2" xfId="42116"/>
    <cellStyle name="Input 38 2 2 4 3" xfId="41284"/>
    <cellStyle name="Input 38 2 2 4 4" xfId="30306"/>
    <cellStyle name="Input 38 2 2 5" xfId="20873"/>
    <cellStyle name="Input 38 2 2 5 2" xfId="46395"/>
    <cellStyle name="Input 38 2 2 5 3" xfId="50301"/>
    <cellStyle name="Input 38 2 2 5 4" xfId="38265"/>
    <cellStyle name="Input 38 2 2 6" xfId="21526"/>
    <cellStyle name="Input 38 2 2 6 2" xfId="47048"/>
    <cellStyle name="Input 38 2 2 6 3" xfId="50954"/>
    <cellStyle name="Input 38 2 2 7" xfId="40851"/>
    <cellStyle name="Input 38 2 2 8" xfId="40463"/>
    <cellStyle name="Input 38 2 3" xfId="10968"/>
    <cellStyle name="Input 38 2 3 2" xfId="18755"/>
    <cellStyle name="Input 38 2 3 2 2" xfId="44287"/>
    <cellStyle name="Input 38 2 3 2 3" xfId="48196"/>
    <cellStyle name="Input 38 2 3 2 4" xfId="36378"/>
    <cellStyle name="Input 38 2 3 3" xfId="19865"/>
    <cellStyle name="Input 38 2 3 3 2" xfId="45387"/>
    <cellStyle name="Input 38 2 3 3 3" xfId="49293"/>
    <cellStyle name="Input 38 2 3 3 4" xfId="37365"/>
    <cellStyle name="Input 38 2 3 4" xfId="11799"/>
    <cellStyle name="Input 38 2 3 4 2" xfId="41728"/>
    <cellStyle name="Input 38 2 3 4 3" xfId="43673"/>
    <cellStyle name="Input 38 2 3 4 4" xfId="29471"/>
    <cellStyle name="Input 38 2 3 5" xfId="21168"/>
    <cellStyle name="Input 38 2 3 5 2" xfId="46690"/>
    <cellStyle name="Input 38 2 3 5 3" xfId="50596"/>
    <cellStyle name="Input 38 2 3 5 4" xfId="38560"/>
    <cellStyle name="Input 38 2 3 6" xfId="21821"/>
    <cellStyle name="Input 38 2 3 6 2" xfId="47343"/>
    <cellStyle name="Input 38 2 3 6 3" xfId="51249"/>
    <cellStyle name="Input 38 2 3 7" xfId="41146"/>
    <cellStyle name="Input 38 2 3 8" xfId="40205"/>
    <cellStyle name="Input 38 2 4" xfId="14928"/>
    <cellStyle name="Input 38 2 4 2" xfId="43026"/>
    <cellStyle name="Input 38 2 4 3" xfId="39242"/>
    <cellStyle name="Input 38 2 4 4" xfId="32549"/>
    <cellStyle name="Input 38 2 5" xfId="13159"/>
    <cellStyle name="Input 38 2 5 2" xfId="42361"/>
    <cellStyle name="Input 38 2 5 3" xfId="39060"/>
    <cellStyle name="Input 38 2 5 4" xfId="30794"/>
    <cellStyle name="Input 38 2 6" xfId="19515"/>
    <cellStyle name="Input 38 2 6 2" xfId="45037"/>
    <cellStyle name="Input 38 2 6 3" xfId="48943"/>
    <cellStyle name="Input 38 2 6 4" xfId="37048"/>
    <cellStyle name="Input 38 2 7" xfId="11684"/>
    <cellStyle name="Input 38 2 7 2" xfId="41671"/>
    <cellStyle name="Input 38 2 7 3" xfId="39643"/>
    <cellStyle name="Input 38 2 7 4" xfId="29363"/>
    <cellStyle name="Input 38 2 8" xfId="20296"/>
    <cellStyle name="Input 38 2 8 2" xfId="45818"/>
    <cellStyle name="Input 38 2 8 3" xfId="49724"/>
    <cellStyle name="Input 38 2 9" xfId="39886"/>
    <cellStyle name="Input 38 3" xfId="53152"/>
    <cellStyle name="Input 39" xfId="1991"/>
    <cellStyle name="Input 39 2" xfId="7147"/>
    <cellStyle name="Input 39 2 10" xfId="43394"/>
    <cellStyle name="Input 39 2 11" xfId="53154"/>
    <cellStyle name="Input 39 2 2" xfId="10674"/>
    <cellStyle name="Input 39 2 2 2" xfId="18461"/>
    <cellStyle name="Input 39 2 2 2 2" xfId="43993"/>
    <cellStyle name="Input 39 2 2 2 3" xfId="47902"/>
    <cellStyle name="Input 39 2 2 2 4" xfId="36084"/>
    <cellStyle name="Input 39 2 2 3" xfId="19888"/>
    <cellStyle name="Input 39 2 2 3 2" xfId="45410"/>
    <cellStyle name="Input 39 2 2 3 3" xfId="49316"/>
    <cellStyle name="Input 39 2 2 3 4" xfId="37388"/>
    <cellStyle name="Input 39 2 2 4" xfId="20275"/>
    <cellStyle name="Input 39 2 2 4 2" xfId="45797"/>
    <cellStyle name="Input 39 2 2 4 3" xfId="49703"/>
    <cellStyle name="Input 39 2 2 4 4" xfId="37728"/>
    <cellStyle name="Input 39 2 2 5" xfId="20874"/>
    <cellStyle name="Input 39 2 2 5 2" xfId="46396"/>
    <cellStyle name="Input 39 2 2 5 3" xfId="50302"/>
    <cellStyle name="Input 39 2 2 5 4" xfId="38266"/>
    <cellStyle name="Input 39 2 2 6" xfId="21527"/>
    <cellStyle name="Input 39 2 2 6 2" xfId="47049"/>
    <cellStyle name="Input 39 2 2 6 3" xfId="50955"/>
    <cellStyle name="Input 39 2 2 7" xfId="40852"/>
    <cellStyle name="Input 39 2 2 8" xfId="39573"/>
    <cellStyle name="Input 39 2 3" xfId="10969"/>
    <cellStyle name="Input 39 2 3 2" xfId="18756"/>
    <cellStyle name="Input 39 2 3 2 2" xfId="44288"/>
    <cellStyle name="Input 39 2 3 2 3" xfId="48197"/>
    <cellStyle name="Input 39 2 3 2 4" xfId="36379"/>
    <cellStyle name="Input 39 2 3 3" xfId="19088"/>
    <cellStyle name="Input 39 2 3 3 2" xfId="44610"/>
    <cellStyle name="Input 39 2 3 3 3" xfId="48516"/>
    <cellStyle name="Input 39 2 3 3 4" xfId="36669"/>
    <cellStyle name="Input 39 2 3 4" xfId="19852"/>
    <cellStyle name="Input 39 2 3 4 2" xfId="45374"/>
    <cellStyle name="Input 39 2 3 4 3" xfId="49280"/>
    <cellStyle name="Input 39 2 3 4 4" xfId="37352"/>
    <cellStyle name="Input 39 2 3 5" xfId="21169"/>
    <cellStyle name="Input 39 2 3 5 2" xfId="46691"/>
    <cellStyle name="Input 39 2 3 5 3" xfId="50597"/>
    <cellStyle name="Input 39 2 3 5 4" xfId="38561"/>
    <cellStyle name="Input 39 2 3 6" xfId="21822"/>
    <cellStyle name="Input 39 2 3 6 2" xfId="47344"/>
    <cellStyle name="Input 39 2 3 6 3" xfId="51250"/>
    <cellStyle name="Input 39 2 3 7" xfId="41147"/>
    <cellStyle name="Input 39 2 3 8" xfId="39345"/>
    <cellStyle name="Input 39 2 4" xfId="14929"/>
    <cellStyle name="Input 39 2 4 2" xfId="43027"/>
    <cellStyle name="Input 39 2 4 3" xfId="39030"/>
    <cellStyle name="Input 39 2 4 4" xfId="32550"/>
    <cellStyle name="Input 39 2 5" xfId="13160"/>
    <cellStyle name="Input 39 2 5 2" xfId="42362"/>
    <cellStyle name="Input 39 2 5 3" xfId="39059"/>
    <cellStyle name="Input 39 2 5 4" xfId="30795"/>
    <cellStyle name="Input 39 2 6" xfId="20263"/>
    <cellStyle name="Input 39 2 6 2" xfId="45785"/>
    <cellStyle name="Input 39 2 6 3" xfId="49691"/>
    <cellStyle name="Input 39 2 6 4" xfId="37717"/>
    <cellStyle name="Input 39 2 7" xfId="19033"/>
    <cellStyle name="Input 39 2 7 2" xfId="44555"/>
    <cellStyle name="Input 39 2 7 3" xfId="48461"/>
    <cellStyle name="Input 39 2 7 4" xfId="36622"/>
    <cellStyle name="Input 39 2 8" xfId="19188"/>
    <cellStyle name="Input 39 2 8 2" xfId="44710"/>
    <cellStyle name="Input 39 2 8 3" xfId="48616"/>
    <cellStyle name="Input 39 2 9" xfId="39887"/>
    <cellStyle name="Input 39 3" xfId="22466"/>
    <cellStyle name="Input 39 3 2" xfId="23030"/>
    <cellStyle name="Input 39 3 2 2" xfId="47617"/>
    <cellStyle name="Input 39 3 2 3" xfId="51428"/>
    <cellStyle name="Input 39 3 3" xfId="47510"/>
    <cellStyle name="Input 39 3 4" xfId="51364"/>
    <cellStyle name="Input 39 3 5" xfId="53155"/>
    <cellStyle name="Input 39 4" xfId="53153"/>
    <cellStyle name="Input 4" xfId="108"/>
    <cellStyle name="Input 4 10" xfId="1993"/>
    <cellStyle name="Input 4 10 2" xfId="7149"/>
    <cellStyle name="Input 4 10 2 10" xfId="39383"/>
    <cellStyle name="Input 4 10 2 2" xfId="10676"/>
    <cellStyle name="Input 4 10 2 2 2" xfId="18463"/>
    <cellStyle name="Input 4 10 2 2 2 2" xfId="43995"/>
    <cellStyle name="Input 4 10 2 2 2 3" xfId="47904"/>
    <cellStyle name="Input 4 10 2 2 2 4" xfId="36086"/>
    <cellStyle name="Input 4 10 2 2 3" xfId="19727"/>
    <cellStyle name="Input 4 10 2 2 3 2" xfId="45249"/>
    <cellStyle name="Input 4 10 2 2 3 3" xfId="49155"/>
    <cellStyle name="Input 4 10 2 2 3 4" xfId="37240"/>
    <cellStyle name="Input 4 10 2 2 4" xfId="19048"/>
    <cellStyle name="Input 4 10 2 2 4 2" xfId="44570"/>
    <cellStyle name="Input 4 10 2 2 4 3" xfId="48476"/>
    <cellStyle name="Input 4 10 2 2 4 4" xfId="36633"/>
    <cellStyle name="Input 4 10 2 2 5" xfId="20876"/>
    <cellStyle name="Input 4 10 2 2 5 2" xfId="46398"/>
    <cellStyle name="Input 4 10 2 2 5 3" xfId="50304"/>
    <cellStyle name="Input 4 10 2 2 5 4" xfId="38268"/>
    <cellStyle name="Input 4 10 2 2 6" xfId="21529"/>
    <cellStyle name="Input 4 10 2 2 6 2" xfId="47051"/>
    <cellStyle name="Input 4 10 2 2 6 3" xfId="50957"/>
    <cellStyle name="Input 4 10 2 2 7" xfId="40854"/>
    <cellStyle name="Input 4 10 2 2 8" xfId="43494"/>
    <cellStyle name="Input 4 10 2 3" xfId="10971"/>
    <cellStyle name="Input 4 10 2 3 2" xfId="18758"/>
    <cellStyle name="Input 4 10 2 3 2 2" xfId="44290"/>
    <cellStyle name="Input 4 10 2 3 2 3" xfId="48199"/>
    <cellStyle name="Input 4 10 2 3 2 4" xfId="36381"/>
    <cellStyle name="Input 4 10 2 3 3" xfId="12633"/>
    <cellStyle name="Input 4 10 2 3 3 2" xfId="42093"/>
    <cellStyle name="Input 4 10 2 3 3 3" xfId="40164"/>
    <cellStyle name="Input 4 10 2 3 3 4" xfId="30284"/>
    <cellStyle name="Input 4 10 2 3 4" xfId="13257"/>
    <cellStyle name="Input 4 10 2 3 4 2" xfId="42408"/>
    <cellStyle name="Input 4 10 2 3 4 3" xfId="40407"/>
    <cellStyle name="Input 4 10 2 3 4 4" xfId="30888"/>
    <cellStyle name="Input 4 10 2 3 5" xfId="21171"/>
    <cellStyle name="Input 4 10 2 3 5 2" xfId="46693"/>
    <cellStyle name="Input 4 10 2 3 5 3" xfId="50599"/>
    <cellStyle name="Input 4 10 2 3 5 4" xfId="38563"/>
    <cellStyle name="Input 4 10 2 3 6" xfId="21824"/>
    <cellStyle name="Input 4 10 2 3 6 2" xfId="47346"/>
    <cellStyle name="Input 4 10 2 3 6 3" xfId="51252"/>
    <cellStyle name="Input 4 10 2 3 7" xfId="41149"/>
    <cellStyle name="Input 4 10 2 3 8" xfId="39155"/>
    <cellStyle name="Input 4 10 2 4" xfId="14931"/>
    <cellStyle name="Input 4 10 2 4 2" xfId="43029"/>
    <cellStyle name="Input 4 10 2 4 3" xfId="43268"/>
    <cellStyle name="Input 4 10 2 4 4" xfId="32552"/>
    <cellStyle name="Input 4 10 2 5" xfId="13161"/>
    <cellStyle name="Input 4 10 2 5 2" xfId="42363"/>
    <cellStyle name="Input 4 10 2 5 3" xfId="39058"/>
    <cellStyle name="Input 4 10 2 5 4" xfId="30796"/>
    <cellStyle name="Input 4 10 2 6" xfId="20055"/>
    <cellStyle name="Input 4 10 2 6 2" xfId="45577"/>
    <cellStyle name="Input 4 10 2 6 3" xfId="49483"/>
    <cellStyle name="Input 4 10 2 6 4" xfId="37535"/>
    <cellStyle name="Input 4 10 2 7" xfId="12928"/>
    <cellStyle name="Input 4 10 2 7 2" xfId="42230"/>
    <cellStyle name="Input 4 10 2 7 3" xfId="42772"/>
    <cellStyle name="Input 4 10 2 7 4" xfId="30564"/>
    <cellStyle name="Input 4 10 2 8" xfId="18957"/>
    <cellStyle name="Input 4 10 2 8 2" xfId="44479"/>
    <cellStyle name="Input 4 10 2 8 3" xfId="48385"/>
    <cellStyle name="Input 4 10 2 9" xfId="39889"/>
    <cellStyle name="Input 4 11" xfId="1994"/>
    <cellStyle name="Input 4 11 2" xfId="7150"/>
    <cellStyle name="Input 4 11 2 10" xfId="39212"/>
    <cellStyle name="Input 4 11 2 2" xfId="10677"/>
    <cellStyle name="Input 4 11 2 2 2" xfId="18464"/>
    <cellStyle name="Input 4 11 2 2 2 2" xfId="43996"/>
    <cellStyle name="Input 4 11 2 2 2 3" xfId="47905"/>
    <cellStyle name="Input 4 11 2 2 2 4" xfId="36087"/>
    <cellStyle name="Input 4 11 2 2 3" xfId="11496"/>
    <cellStyle name="Input 4 11 2 2 3 2" xfId="41487"/>
    <cellStyle name="Input 4 11 2 2 3 3" xfId="40437"/>
    <cellStyle name="Input 4 11 2 2 3 4" xfId="29197"/>
    <cellStyle name="Input 4 11 2 2 4" xfId="19656"/>
    <cellStyle name="Input 4 11 2 2 4 2" xfId="45178"/>
    <cellStyle name="Input 4 11 2 2 4 3" xfId="49084"/>
    <cellStyle name="Input 4 11 2 2 4 4" xfId="37176"/>
    <cellStyle name="Input 4 11 2 2 5" xfId="20877"/>
    <cellStyle name="Input 4 11 2 2 5 2" xfId="46399"/>
    <cellStyle name="Input 4 11 2 2 5 3" xfId="50305"/>
    <cellStyle name="Input 4 11 2 2 5 4" xfId="38269"/>
    <cellStyle name="Input 4 11 2 2 6" xfId="21530"/>
    <cellStyle name="Input 4 11 2 2 6 2" xfId="47052"/>
    <cellStyle name="Input 4 11 2 2 6 3" xfId="50958"/>
    <cellStyle name="Input 4 11 2 2 7" xfId="40855"/>
    <cellStyle name="Input 4 11 2 2 8" xfId="40357"/>
    <cellStyle name="Input 4 11 2 3" xfId="10972"/>
    <cellStyle name="Input 4 11 2 3 2" xfId="18759"/>
    <cellStyle name="Input 4 11 2 3 2 2" xfId="44291"/>
    <cellStyle name="Input 4 11 2 3 2 3" xfId="48200"/>
    <cellStyle name="Input 4 11 2 3 2 4" xfId="36382"/>
    <cellStyle name="Input 4 11 2 3 3" xfId="12173"/>
    <cellStyle name="Input 4 11 2 3 3 2" xfId="41898"/>
    <cellStyle name="Input 4 11 2 3 3 3" xfId="39291"/>
    <cellStyle name="Input 4 11 2 3 3 4" xfId="29831"/>
    <cellStyle name="Input 4 11 2 3 4" xfId="19498"/>
    <cellStyle name="Input 4 11 2 3 4 2" xfId="45020"/>
    <cellStyle name="Input 4 11 2 3 4 3" xfId="48926"/>
    <cellStyle name="Input 4 11 2 3 4 4" xfId="37032"/>
    <cellStyle name="Input 4 11 2 3 5" xfId="21172"/>
    <cellStyle name="Input 4 11 2 3 5 2" xfId="46694"/>
    <cellStyle name="Input 4 11 2 3 5 3" xfId="50600"/>
    <cellStyle name="Input 4 11 2 3 5 4" xfId="38564"/>
    <cellStyle name="Input 4 11 2 3 6" xfId="21825"/>
    <cellStyle name="Input 4 11 2 3 6 2" xfId="47347"/>
    <cellStyle name="Input 4 11 2 3 6 3" xfId="51253"/>
    <cellStyle name="Input 4 11 2 3 7" xfId="41150"/>
    <cellStyle name="Input 4 11 2 3 8" xfId="47563"/>
    <cellStyle name="Input 4 11 2 4" xfId="14932"/>
    <cellStyle name="Input 4 11 2 4 2" xfId="43030"/>
    <cellStyle name="Input 4 11 2 4 3" xfId="40127"/>
    <cellStyle name="Input 4 11 2 4 4" xfId="32553"/>
    <cellStyle name="Input 4 11 2 5" xfId="12477"/>
    <cellStyle name="Input 4 11 2 5 2" xfId="41978"/>
    <cellStyle name="Input 4 11 2 5 3" xfId="40313"/>
    <cellStyle name="Input 4 11 2 5 4" xfId="30134"/>
    <cellStyle name="Input 4 11 2 6" xfId="19847"/>
    <cellStyle name="Input 4 11 2 6 2" xfId="45369"/>
    <cellStyle name="Input 4 11 2 6 3" xfId="49275"/>
    <cellStyle name="Input 4 11 2 6 4" xfId="37347"/>
    <cellStyle name="Input 4 11 2 7" xfId="12061"/>
    <cellStyle name="Input 4 11 2 7 2" xfId="41791"/>
    <cellStyle name="Input 4 11 2 7 3" xfId="43566"/>
    <cellStyle name="Input 4 11 2 7 4" xfId="29725"/>
    <cellStyle name="Input 4 11 2 8" xfId="18995"/>
    <cellStyle name="Input 4 11 2 8 2" xfId="44517"/>
    <cellStyle name="Input 4 11 2 8 3" xfId="48423"/>
    <cellStyle name="Input 4 11 2 9" xfId="39890"/>
    <cellStyle name="Input 4 12" xfId="1995"/>
    <cellStyle name="Input 4 12 2" xfId="7151"/>
    <cellStyle name="Input 4 12 2 10" xfId="47570"/>
    <cellStyle name="Input 4 12 2 2" xfId="10678"/>
    <cellStyle name="Input 4 12 2 2 2" xfId="18465"/>
    <cellStyle name="Input 4 12 2 2 2 2" xfId="43997"/>
    <cellStyle name="Input 4 12 2 2 2 3" xfId="47906"/>
    <cellStyle name="Input 4 12 2 2 2 4" xfId="36088"/>
    <cellStyle name="Input 4 12 2 2 3" xfId="19728"/>
    <cellStyle name="Input 4 12 2 2 3 2" xfId="45250"/>
    <cellStyle name="Input 4 12 2 2 3 3" xfId="49156"/>
    <cellStyle name="Input 4 12 2 2 3 4" xfId="37241"/>
    <cellStyle name="Input 4 12 2 2 4" xfId="19242"/>
    <cellStyle name="Input 4 12 2 2 4 2" xfId="44764"/>
    <cellStyle name="Input 4 12 2 2 4 3" xfId="48670"/>
    <cellStyle name="Input 4 12 2 2 4 4" xfId="36806"/>
    <cellStyle name="Input 4 12 2 2 5" xfId="20878"/>
    <cellStyle name="Input 4 12 2 2 5 2" xfId="46400"/>
    <cellStyle name="Input 4 12 2 2 5 3" xfId="50306"/>
    <cellStyle name="Input 4 12 2 2 5 4" xfId="38270"/>
    <cellStyle name="Input 4 12 2 2 6" xfId="21531"/>
    <cellStyle name="Input 4 12 2 2 6 2" xfId="47053"/>
    <cellStyle name="Input 4 12 2 2 6 3" xfId="50959"/>
    <cellStyle name="Input 4 12 2 2 7" xfId="40856"/>
    <cellStyle name="Input 4 12 2 2 8" xfId="39469"/>
    <cellStyle name="Input 4 12 2 3" xfId="10973"/>
    <cellStyle name="Input 4 12 2 3 2" xfId="18760"/>
    <cellStyle name="Input 4 12 2 3 2 2" xfId="44292"/>
    <cellStyle name="Input 4 12 2 3 2 3" xfId="48201"/>
    <cellStyle name="Input 4 12 2 3 2 4" xfId="36383"/>
    <cellStyle name="Input 4 12 2 3 3" xfId="13350"/>
    <cellStyle name="Input 4 12 2 3 3 2" xfId="42501"/>
    <cellStyle name="Input 4 12 2 3 3 3" xfId="39617"/>
    <cellStyle name="Input 4 12 2 3 3 4" xfId="30976"/>
    <cellStyle name="Input 4 12 2 3 4" xfId="12759"/>
    <cellStyle name="Input 4 12 2 3 4 2" xfId="42183"/>
    <cellStyle name="Input 4 12 2 3 4 3" xfId="43299"/>
    <cellStyle name="Input 4 12 2 3 4 4" xfId="30403"/>
    <cellStyle name="Input 4 12 2 3 5" xfId="21173"/>
    <cellStyle name="Input 4 12 2 3 5 2" xfId="46695"/>
    <cellStyle name="Input 4 12 2 3 5 3" xfId="50601"/>
    <cellStyle name="Input 4 12 2 3 5 4" xfId="38565"/>
    <cellStyle name="Input 4 12 2 3 6" xfId="21826"/>
    <cellStyle name="Input 4 12 2 3 6 2" xfId="47348"/>
    <cellStyle name="Input 4 12 2 3 6 3" xfId="51254"/>
    <cellStyle name="Input 4 12 2 3 7" xfId="41151"/>
    <cellStyle name="Input 4 12 2 3 8" xfId="41396"/>
    <cellStyle name="Input 4 12 2 4" xfId="14933"/>
    <cellStyle name="Input 4 12 2 4 2" xfId="43031"/>
    <cellStyle name="Input 4 12 2 4 3" xfId="39241"/>
    <cellStyle name="Input 4 12 2 4 4" xfId="32554"/>
    <cellStyle name="Input 4 12 2 5" xfId="12478"/>
    <cellStyle name="Input 4 12 2 5 2" xfId="41979"/>
    <cellStyle name="Input 4 12 2 5 3" xfId="39428"/>
    <cellStyle name="Input 4 12 2 5 4" xfId="30135"/>
    <cellStyle name="Input 4 12 2 6" xfId="18898"/>
    <cellStyle name="Input 4 12 2 6 2" xfId="44420"/>
    <cellStyle name="Input 4 12 2 6 3" xfId="48326"/>
    <cellStyle name="Input 4 12 2 6 4" xfId="36516"/>
    <cellStyle name="Input 4 12 2 7" xfId="11549"/>
    <cellStyle name="Input 4 12 2 7 2" xfId="41540"/>
    <cellStyle name="Input 4 12 2 7 3" xfId="42792"/>
    <cellStyle name="Input 4 12 2 7 4" xfId="29247"/>
    <cellStyle name="Input 4 12 2 8" xfId="20102"/>
    <cellStyle name="Input 4 12 2 8 2" xfId="45624"/>
    <cellStyle name="Input 4 12 2 8 3" xfId="49530"/>
    <cellStyle name="Input 4 12 2 9" xfId="39891"/>
    <cellStyle name="Input 4 13" xfId="1996"/>
    <cellStyle name="Input 4 13 2" xfId="7152"/>
    <cellStyle name="Input 4 13 2 10" xfId="41693"/>
    <cellStyle name="Input 4 13 2 2" xfId="10679"/>
    <cellStyle name="Input 4 13 2 2 2" xfId="18466"/>
    <cellStyle name="Input 4 13 2 2 2 2" xfId="43998"/>
    <cellStyle name="Input 4 13 2 2 2 3" xfId="47907"/>
    <cellStyle name="Input 4 13 2 2 2 4" xfId="36089"/>
    <cellStyle name="Input 4 13 2 2 3" xfId="11495"/>
    <cellStyle name="Input 4 13 2 2 3 2" xfId="41486"/>
    <cellStyle name="Input 4 13 2 2 3 3" xfId="43577"/>
    <cellStyle name="Input 4 13 2 2 3 4" xfId="29196"/>
    <cellStyle name="Input 4 13 2 2 4" xfId="19951"/>
    <cellStyle name="Input 4 13 2 2 4 2" xfId="45473"/>
    <cellStyle name="Input 4 13 2 2 4 3" xfId="49379"/>
    <cellStyle name="Input 4 13 2 2 4 4" xfId="37442"/>
    <cellStyle name="Input 4 13 2 2 5" xfId="20879"/>
    <cellStyle name="Input 4 13 2 2 5 2" xfId="46401"/>
    <cellStyle name="Input 4 13 2 2 5 3" xfId="50307"/>
    <cellStyle name="Input 4 13 2 2 5 4" xfId="38271"/>
    <cellStyle name="Input 4 13 2 2 6" xfId="21532"/>
    <cellStyle name="Input 4 13 2 2 6 2" xfId="47054"/>
    <cellStyle name="Input 4 13 2 2 6 3" xfId="50960"/>
    <cellStyle name="Input 4 13 2 2 7" xfId="40857"/>
    <cellStyle name="Input 4 13 2 2 8" xfId="42040"/>
    <cellStyle name="Input 4 13 2 3" xfId="10974"/>
    <cellStyle name="Input 4 13 2 3 2" xfId="18761"/>
    <cellStyle name="Input 4 13 2 3 2 2" xfId="44293"/>
    <cellStyle name="Input 4 13 2 3 2 3" xfId="48202"/>
    <cellStyle name="Input 4 13 2 3 2 4" xfId="36384"/>
    <cellStyle name="Input 4 13 2 3 3" xfId="19576"/>
    <cellStyle name="Input 4 13 2 3 3 2" xfId="45098"/>
    <cellStyle name="Input 4 13 2 3 3 3" xfId="49004"/>
    <cellStyle name="Input 4 13 2 3 3 4" xfId="37102"/>
    <cellStyle name="Input 4 13 2 3 4" xfId="18923"/>
    <cellStyle name="Input 4 13 2 3 4 2" xfId="44445"/>
    <cellStyle name="Input 4 13 2 3 4 3" xfId="48351"/>
    <cellStyle name="Input 4 13 2 3 4 4" xfId="36536"/>
    <cellStyle name="Input 4 13 2 3 5" xfId="21174"/>
    <cellStyle name="Input 4 13 2 3 5 2" xfId="46696"/>
    <cellStyle name="Input 4 13 2 3 5 3" xfId="50602"/>
    <cellStyle name="Input 4 13 2 3 5 4" xfId="38566"/>
    <cellStyle name="Input 4 13 2 3 6" xfId="21827"/>
    <cellStyle name="Input 4 13 2 3 6 2" xfId="47349"/>
    <cellStyle name="Input 4 13 2 3 6 3" xfId="51255"/>
    <cellStyle name="Input 4 13 2 3 7" xfId="41152"/>
    <cellStyle name="Input 4 13 2 3 8" xfId="43199"/>
    <cellStyle name="Input 4 13 2 4" xfId="14934"/>
    <cellStyle name="Input 4 13 2 4 2" xfId="43032"/>
    <cellStyle name="Input 4 13 2 4 3" xfId="41913"/>
    <cellStyle name="Input 4 13 2 4 4" xfId="32555"/>
    <cellStyle name="Input 4 13 2 5" xfId="11314"/>
    <cellStyle name="Input 4 13 2 5 2" xfId="41339"/>
    <cellStyle name="Input 4 13 2 5 3" xfId="39658"/>
    <cellStyle name="Input 4 13 2 5 4" xfId="29028"/>
    <cellStyle name="Input 4 13 2 6" xfId="12126"/>
    <cellStyle name="Input 4 13 2 6 2" xfId="41851"/>
    <cellStyle name="Input 4 13 2 6 3" xfId="42779"/>
    <cellStyle name="Input 4 13 2 6 4" xfId="29785"/>
    <cellStyle name="Input 4 13 2 7" xfId="19447"/>
    <cellStyle name="Input 4 13 2 7 2" xfId="44969"/>
    <cellStyle name="Input 4 13 2 7 3" xfId="48875"/>
    <cellStyle name="Input 4 13 2 7 4" xfId="36992"/>
    <cellStyle name="Input 4 13 2 8" xfId="12130"/>
    <cellStyle name="Input 4 13 2 8 2" xfId="41855"/>
    <cellStyle name="Input 4 13 2 8 3" xfId="47465"/>
    <cellStyle name="Input 4 13 2 9" xfId="39892"/>
    <cellStyle name="Input 4 14" xfId="4238"/>
    <cellStyle name="Input 4 14 2" xfId="7153"/>
    <cellStyle name="Input 4 14 2 10" xfId="43245"/>
    <cellStyle name="Input 4 14 2 2" xfId="10680"/>
    <cellStyle name="Input 4 14 2 2 2" xfId="18467"/>
    <cellStyle name="Input 4 14 2 2 2 2" xfId="43999"/>
    <cellStyle name="Input 4 14 2 2 2 3" xfId="47908"/>
    <cellStyle name="Input 4 14 2 2 2 4" xfId="36090"/>
    <cellStyle name="Input 4 14 2 2 3" xfId="13320"/>
    <cellStyle name="Input 4 14 2 2 3 2" xfId="42471"/>
    <cellStyle name="Input 4 14 2 2 3 3" xfId="40295"/>
    <cellStyle name="Input 4 14 2 2 3 4" xfId="30946"/>
    <cellStyle name="Input 4 14 2 2 4" xfId="19507"/>
    <cellStyle name="Input 4 14 2 2 4 2" xfId="45029"/>
    <cellStyle name="Input 4 14 2 2 4 3" xfId="48935"/>
    <cellStyle name="Input 4 14 2 2 4 4" xfId="37041"/>
    <cellStyle name="Input 4 14 2 2 5" xfId="20880"/>
    <cellStyle name="Input 4 14 2 2 5 2" xfId="46402"/>
    <cellStyle name="Input 4 14 2 2 5 3" xfId="50308"/>
    <cellStyle name="Input 4 14 2 2 5 4" xfId="38272"/>
    <cellStyle name="Input 4 14 2 2 6" xfId="21533"/>
    <cellStyle name="Input 4 14 2 2 6 2" xfId="47055"/>
    <cellStyle name="Input 4 14 2 2 6 3" xfId="50961"/>
    <cellStyle name="Input 4 14 2 2 7" xfId="40858"/>
    <cellStyle name="Input 4 14 2 2 8" xfId="43359"/>
    <cellStyle name="Input 4 14 2 3" xfId="10975"/>
    <cellStyle name="Input 4 14 2 3 2" xfId="18762"/>
    <cellStyle name="Input 4 14 2 3 2 2" xfId="44294"/>
    <cellStyle name="Input 4 14 2 3 2 3" xfId="48203"/>
    <cellStyle name="Input 4 14 2 3 2 4" xfId="36385"/>
    <cellStyle name="Input 4 14 2 3 3" xfId="20122"/>
    <cellStyle name="Input 4 14 2 3 3 2" xfId="45644"/>
    <cellStyle name="Input 4 14 2 3 3 3" xfId="49550"/>
    <cellStyle name="Input 4 14 2 3 3 4" xfId="37594"/>
    <cellStyle name="Input 4 14 2 3 4" xfId="20341"/>
    <cellStyle name="Input 4 14 2 3 4 2" xfId="45863"/>
    <cellStyle name="Input 4 14 2 3 4 3" xfId="49769"/>
    <cellStyle name="Input 4 14 2 3 4 4" xfId="37783"/>
    <cellStyle name="Input 4 14 2 3 5" xfId="21175"/>
    <cellStyle name="Input 4 14 2 3 5 2" xfId="46697"/>
    <cellStyle name="Input 4 14 2 3 5 3" xfId="50603"/>
    <cellStyle name="Input 4 14 2 3 5 4" xfId="38567"/>
    <cellStyle name="Input 4 14 2 3 6" xfId="21828"/>
    <cellStyle name="Input 4 14 2 3 6 2" xfId="47350"/>
    <cellStyle name="Input 4 14 2 3 6 3" xfId="51256"/>
    <cellStyle name="Input 4 14 2 3 7" xfId="41153"/>
    <cellStyle name="Input 4 14 2 3 8" xfId="40058"/>
    <cellStyle name="Input 4 14 2 4" xfId="14935"/>
    <cellStyle name="Input 4 14 2 4 2" xfId="43033"/>
    <cellStyle name="Input 4 14 2 4 3" xfId="43267"/>
    <cellStyle name="Input 4 14 2 4 4" xfId="32556"/>
    <cellStyle name="Input 4 14 2 5" xfId="13162"/>
    <cellStyle name="Input 4 14 2 5 2" xfId="42364"/>
    <cellStyle name="Input 4 14 2 5 3" xfId="39057"/>
    <cellStyle name="Input 4 14 2 5 4" xfId="30797"/>
    <cellStyle name="Input 4 14 2 6" xfId="11844"/>
    <cellStyle name="Input 4 14 2 6 2" xfId="41742"/>
    <cellStyle name="Input 4 14 2 6 3" xfId="43313"/>
    <cellStyle name="Input 4 14 2 6 4" xfId="29514"/>
    <cellStyle name="Input 4 14 2 7" xfId="19031"/>
    <cellStyle name="Input 4 14 2 7 2" xfId="44553"/>
    <cellStyle name="Input 4 14 2 7 3" xfId="48459"/>
    <cellStyle name="Input 4 14 2 7 4" xfId="36621"/>
    <cellStyle name="Input 4 14 2 8" xfId="19221"/>
    <cellStyle name="Input 4 14 2 8 2" xfId="44743"/>
    <cellStyle name="Input 4 14 2 8 3" xfId="48649"/>
    <cellStyle name="Input 4 14 2 9" xfId="39893"/>
    <cellStyle name="Input 4 15" xfId="4239"/>
    <cellStyle name="Input 4 15 2" xfId="7154"/>
    <cellStyle name="Input 4 15 2 10" xfId="40104"/>
    <cellStyle name="Input 4 15 2 2" xfId="10681"/>
    <cellStyle name="Input 4 15 2 2 2" xfId="18468"/>
    <cellStyle name="Input 4 15 2 2 2 2" xfId="44000"/>
    <cellStyle name="Input 4 15 2 2 2 3" xfId="47909"/>
    <cellStyle name="Input 4 15 2 2 2 4" xfId="36091"/>
    <cellStyle name="Input 4 15 2 2 3" xfId="19592"/>
    <cellStyle name="Input 4 15 2 2 3 2" xfId="45114"/>
    <cellStyle name="Input 4 15 2 2 3 3" xfId="49020"/>
    <cellStyle name="Input 4 15 2 2 3 4" xfId="37118"/>
    <cellStyle name="Input 4 15 2 2 4" xfId="20268"/>
    <cellStyle name="Input 4 15 2 2 4 2" xfId="45790"/>
    <cellStyle name="Input 4 15 2 2 4 3" xfId="49696"/>
    <cellStyle name="Input 4 15 2 2 4 4" xfId="37722"/>
    <cellStyle name="Input 4 15 2 2 5" xfId="20881"/>
    <cellStyle name="Input 4 15 2 2 5 2" xfId="46403"/>
    <cellStyle name="Input 4 15 2 2 5 3" xfId="50309"/>
    <cellStyle name="Input 4 15 2 2 5 4" xfId="38273"/>
    <cellStyle name="Input 4 15 2 2 6" xfId="21534"/>
    <cellStyle name="Input 4 15 2 2 6 2" xfId="47056"/>
    <cellStyle name="Input 4 15 2 2 6 3" xfId="50962"/>
    <cellStyle name="Input 4 15 2 2 7" xfId="40859"/>
    <cellStyle name="Input 4 15 2 2 8" xfId="40221"/>
    <cellStyle name="Input 4 15 2 3" xfId="10976"/>
    <cellStyle name="Input 4 15 2 3 2" xfId="18763"/>
    <cellStyle name="Input 4 15 2 3 2 2" xfId="44295"/>
    <cellStyle name="Input 4 15 2 3 2 3" xfId="48204"/>
    <cellStyle name="Input 4 15 2 3 2 4" xfId="36386"/>
    <cellStyle name="Input 4 15 2 3 3" xfId="19381"/>
    <cellStyle name="Input 4 15 2 3 3 2" xfId="44903"/>
    <cellStyle name="Input 4 15 2 3 3 3" xfId="48809"/>
    <cellStyle name="Input 4 15 2 3 3 4" xfId="36932"/>
    <cellStyle name="Input 4 15 2 3 4" xfId="12239"/>
    <cellStyle name="Input 4 15 2 3 4 2" xfId="41908"/>
    <cellStyle name="Input 4 15 2 3 4 3" xfId="40528"/>
    <cellStyle name="Input 4 15 2 3 4 4" xfId="29896"/>
    <cellStyle name="Input 4 15 2 3 5" xfId="21176"/>
    <cellStyle name="Input 4 15 2 3 5 2" xfId="46698"/>
    <cellStyle name="Input 4 15 2 3 5 3" xfId="50604"/>
    <cellStyle name="Input 4 15 2 3 5 4" xfId="38568"/>
    <cellStyle name="Input 4 15 2 3 6" xfId="21829"/>
    <cellStyle name="Input 4 15 2 3 6 2" xfId="47351"/>
    <cellStyle name="Input 4 15 2 3 6 3" xfId="51257"/>
    <cellStyle name="Input 4 15 2 3 7" xfId="41154"/>
    <cellStyle name="Input 4 15 2 3 8" xfId="42805"/>
    <cellStyle name="Input 4 15 2 4" xfId="14936"/>
    <cellStyle name="Input 4 15 2 4 2" xfId="43034"/>
    <cellStyle name="Input 4 15 2 4 3" xfId="40126"/>
    <cellStyle name="Input 4 15 2 4 4" xfId="32557"/>
    <cellStyle name="Input 4 15 2 5" xfId="13163"/>
    <cellStyle name="Input 4 15 2 5 2" xfId="42365"/>
    <cellStyle name="Input 4 15 2 5 3" xfId="39056"/>
    <cellStyle name="Input 4 15 2 5 4" xfId="30798"/>
    <cellStyle name="Input 4 15 2 6" xfId="19444"/>
    <cellStyle name="Input 4 15 2 6 2" xfId="44966"/>
    <cellStyle name="Input 4 15 2 6 3" xfId="48872"/>
    <cellStyle name="Input 4 15 2 6 4" xfId="36990"/>
    <cellStyle name="Input 4 15 2 7" xfId="19818"/>
    <cellStyle name="Input 4 15 2 7 2" xfId="45340"/>
    <cellStyle name="Input 4 15 2 7 3" xfId="49246"/>
    <cellStyle name="Input 4 15 2 7 4" xfId="37322"/>
    <cellStyle name="Input 4 15 2 8" xfId="20596"/>
    <cellStyle name="Input 4 15 2 8 2" xfId="46118"/>
    <cellStyle name="Input 4 15 2 8 3" xfId="50024"/>
    <cellStyle name="Input 4 15 2 9" xfId="39894"/>
    <cellStyle name="Input 4 16" xfId="4240"/>
    <cellStyle name="Input 4 16 2" xfId="10458"/>
    <cellStyle name="Input 4 16 2 2" xfId="18245"/>
    <cellStyle name="Input 4 16 2 2 2" xfId="43777"/>
    <cellStyle name="Input 4 16 2 2 3" xfId="47686"/>
    <cellStyle name="Input 4 16 2 2 4" xfId="35868"/>
    <cellStyle name="Input 4 16 2 3" xfId="20167"/>
    <cellStyle name="Input 4 16 2 3 2" xfId="45689"/>
    <cellStyle name="Input 4 16 2 3 3" xfId="49595"/>
    <cellStyle name="Input 4 16 2 3 4" xfId="37639"/>
    <cellStyle name="Input 4 16 2 4" xfId="19082"/>
    <cellStyle name="Input 4 16 2 4 2" xfId="44604"/>
    <cellStyle name="Input 4 16 2 4 3" xfId="48510"/>
    <cellStyle name="Input 4 16 2 4 4" xfId="36664"/>
    <cellStyle name="Input 4 16 2 5" xfId="20658"/>
    <cellStyle name="Input 4 16 2 5 2" xfId="46180"/>
    <cellStyle name="Input 4 16 2 5 3" xfId="50086"/>
    <cellStyle name="Input 4 16 2 5 4" xfId="38050"/>
    <cellStyle name="Input 4 16 2 6" xfId="21311"/>
    <cellStyle name="Input 4 16 2 6 2" xfId="46833"/>
    <cellStyle name="Input 4 16 2 6 3" xfId="50739"/>
    <cellStyle name="Input 4 16 2 7" xfId="40636"/>
    <cellStyle name="Input 4 16 2 8" xfId="43615"/>
    <cellStyle name="Input 4 16 3" xfId="8461"/>
    <cellStyle name="Input 4 16 3 2" xfId="16251"/>
    <cellStyle name="Input 4 16 3 2 2" xfId="43386"/>
    <cellStyle name="Input 4 16 3 2 3" xfId="40386"/>
    <cellStyle name="Input 4 16 3 2 4" xfId="33872"/>
    <cellStyle name="Input 4 16 3 3" xfId="13284"/>
    <cellStyle name="Input 4 16 3 3 2" xfId="42435"/>
    <cellStyle name="Input 4 16 3 3 3" xfId="43286"/>
    <cellStyle name="Input 4 16 3 3 4" xfId="30915"/>
    <cellStyle name="Input 4 16 3 4" xfId="19650"/>
    <cellStyle name="Input 4 16 3 4 2" xfId="45172"/>
    <cellStyle name="Input 4 16 3 4 3" xfId="49078"/>
    <cellStyle name="Input 4 16 3 4 4" xfId="37170"/>
    <cellStyle name="Input 4 16 3 5" xfId="11324"/>
    <cellStyle name="Input 4 16 3 5 2" xfId="41349"/>
    <cellStyle name="Input 4 16 3 5 3" xfId="43332"/>
    <cellStyle name="Input 4 16 3 5 4" xfId="29037"/>
    <cellStyle name="Input 4 16 3 6" xfId="19915"/>
    <cellStyle name="Input 4 16 3 6 2" xfId="45437"/>
    <cellStyle name="Input 4 16 3 6 3" xfId="49343"/>
    <cellStyle name="Input 4 16 3 7" xfId="40248"/>
    <cellStyle name="Input 4 16 3 8" xfId="39198"/>
    <cellStyle name="Input 4 17" xfId="7148"/>
    <cellStyle name="Input 4 17 10" xfId="40256"/>
    <cellStyle name="Input 4 17 2" xfId="10675"/>
    <cellStyle name="Input 4 17 2 2" xfId="18462"/>
    <cellStyle name="Input 4 17 2 2 2" xfId="43994"/>
    <cellStyle name="Input 4 17 2 2 3" xfId="47903"/>
    <cellStyle name="Input 4 17 2 2 4" xfId="36085"/>
    <cellStyle name="Input 4 17 2 3" xfId="19111"/>
    <cellStyle name="Input 4 17 2 3 2" xfId="44633"/>
    <cellStyle name="Input 4 17 2 3 3" xfId="48539"/>
    <cellStyle name="Input 4 17 2 3 4" xfId="36692"/>
    <cellStyle name="Input 4 17 2 4" xfId="18905"/>
    <cellStyle name="Input 4 17 2 4 2" xfId="44427"/>
    <cellStyle name="Input 4 17 2 4 3" xfId="48333"/>
    <cellStyle name="Input 4 17 2 4 4" xfId="36521"/>
    <cellStyle name="Input 4 17 2 5" xfId="20875"/>
    <cellStyle name="Input 4 17 2 5 2" xfId="46397"/>
    <cellStyle name="Input 4 17 2 5 3" xfId="50303"/>
    <cellStyle name="Input 4 17 2 5 4" xfId="38267"/>
    <cellStyle name="Input 4 17 2 6" xfId="21528"/>
    <cellStyle name="Input 4 17 2 6 2" xfId="47050"/>
    <cellStyle name="Input 4 17 2 6 3" xfId="50956"/>
    <cellStyle name="Input 4 17 2 7" xfId="40853"/>
    <cellStyle name="Input 4 17 2 8" xfId="42581"/>
    <cellStyle name="Input 4 17 3" xfId="10970"/>
    <cellStyle name="Input 4 17 3 2" xfId="18757"/>
    <cellStyle name="Input 4 17 3 2 2" xfId="44289"/>
    <cellStyle name="Input 4 17 3 2 3" xfId="48198"/>
    <cellStyle name="Input 4 17 3 2 4" xfId="36380"/>
    <cellStyle name="Input 4 17 3 3" xfId="19697"/>
    <cellStyle name="Input 4 17 3 3 2" xfId="45219"/>
    <cellStyle name="Input 4 17 3 3 3" xfId="49125"/>
    <cellStyle name="Input 4 17 3 3 4" xfId="37210"/>
    <cellStyle name="Input 4 17 3 4" xfId="19166"/>
    <cellStyle name="Input 4 17 3 4 2" xfId="44688"/>
    <cellStyle name="Input 4 17 3 4 3" xfId="48594"/>
    <cellStyle name="Input 4 17 3 4 4" xfId="36741"/>
    <cellStyle name="Input 4 17 3 5" xfId="21170"/>
    <cellStyle name="Input 4 17 3 5 2" xfId="46692"/>
    <cellStyle name="Input 4 17 3 5 3" xfId="50598"/>
    <cellStyle name="Input 4 17 3 5 4" xfId="38562"/>
    <cellStyle name="Input 4 17 3 6" xfId="21823"/>
    <cellStyle name="Input 4 17 3 6 2" xfId="47345"/>
    <cellStyle name="Input 4 17 3 6 3" xfId="51251"/>
    <cellStyle name="Input 4 17 3 7" xfId="41148"/>
    <cellStyle name="Input 4 17 3 8" xfId="39156"/>
    <cellStyle name="Input 4 17 4" xfId="14930"/>
    <cellStyle name="Input 4 17 4 2" xfId="43028"/>
    <cellStyle name="Input 4 17 4 3" xfId="41914"/>
    <cellStyle name="Input 4 17 4 4" xfId="32551"/>
    <cellStyle name="Input 4 17 5" xfId="11313"/>
    <cellStyle name="Input 4 17 5 2" xfId="41338"/>
    <cellStyle name="Input 4 17 5 3" xfId="40547"/>
    <cellStyle name="Input 4 17 5 4" xfId="29027"/>
    <cellStyle name="Input 4 17 6" xfId="19468"/>
    <cellStyle name="Input 4 17 6 2" xfId="44990"/>
    <cellStyle name="Input 4 17 6 3" xfId="48896"/>
    <cellStyle name="Input 4 17 6 4" xfId="37010"/>
    <cellStyle name="Input 4 17 7" xfId="20253"/>
    <cellStyle name="Input 4 17 7 2" xfId="45775"/>
    <cellStyle name="Input 4 17 7 3" xfId="49681"/>
    <cellStyle name="Input 4 17 7 4" xfId="37709"/>
    <cellStyle name="Input 4 17 8" xfId="13189"/>
    <cellStyle name="Input 4 17 8 2" xfId="42391"/>
    <cellStyle name="Input 4 17 8 3" xfId="40024"/>
    <cellStyle name="Input 4 17 9" xfId="39888"/>
    <cellStyle name="Input 4 18" xfId="1992"/>
    <cellStyle name="Input 4 19" xfId="52730"/>
    <cellStyle name="Input 4 2" xfId="1997"/>
    <cellStyle name="Input 4 2 2" xfId="1998"/>
    <cellStyle name="Input 4 2 2 2" xfId="7156"/>
    <cellStyle name="Input 4 2 2 2 10" xfId="43740"/>
    <cellStyle name="Input 4 2 2 2 2" xfId="10683"/>
    <cellStyle name="Input 4 2 2 2 2 2" xfId="18470"/>
    <cellStyle name="Input 4 2 2 2 2 2 2" xfId="44002"/>
    <cellStyle name="Input 4 2 2 2 2 2 3" xfId="47911"/>
    <cellStyle name="Input 4 2 2 2 2 2 4" xfId="36093"/>
    <cellStyle name="Input 4 2 2 2 2 3" xfId="19405"/>
    <cellStyle name="Input 4 2 2 2 2 3 2" xfId="44927"/>
    <cellStyle name="Input 4 2 2 2 2 3 3" xfId="48833"/>
    <cellStyle name="Input 4 2 2 2 2 3 4" xfId="36956"/>
    <cellStyle name="Input 4 2 2 2 2 4" xfId="12648"/>
    <cellStyle name="Input 4 2 2 2 2 4 2" xfId="42108"/>
    <cellStyle name="Input 4 2 2 2 2 4 3" xfId="43449"/>
    <cellStyle name="Input 4 2 2 2 2 4 4" xfId="30299"/>
    <cellStyle name="Input 4 2 2 2 2 5" xfId="20883"/>
    <cellStyle name="Input 4 2 2 2 2 5 2" xfId="46405"/>
    <cellStyle name="Input 4 2 2 2 2 5 3" xfId="50311"/>
    <cellStyle name="Input 4 2 2 2 2 5 4" xfId="38275"/>
    <cellStyle name="Input 4 2 2 2 2 6" xfId="21536"/>
    <cellStyle name="Input 4 2 2 2 2 6 2" xfId="47058"/>
    <cellStyle name="Input 4 2 2 2 2 6 3" xfId="50964"/>
    <cellStyle name="Input 4 2 2 2 2 7" xfId="40861"/>
    <cellStyle name="Input 4 2 2 2 2 8" xfId="39167"/>
    <cellStyle name="Input 4 2 2 2 3" xfId="10978"/>
    <cellStyle name="Input 4 2 2 2 3 2" xfId="18765"/>
    <cellStyle name="Input 4 2 2 2 3 2 2" xfId="44297"/>
    <cellStyle name="Input 4 2 2 2 3 2 3" xfId="48206"/>
    <cellStyle name="Input 4 2 2 2 3 2 4" xfId="36388"/>
    <cellStyle name="Input 4 2 2 2 3 3" xfId="19254"/>
    <cellStyle name="Input 4 2 2 2 3 3 2" xfId="44776"/>
    <cellStyle name="Input 4 2 2 2 3 3 3" xfId="48682"/>
    <cellStyle name="Input 4 2 2 2 3 3 4" xfId="36818"/>
    <cellStyle name="Input 4 2 2 2 3 4" xfId="11569"/>
    <cellStyle name="Input 4 2 2 2 3 4 2" xfId="41560"/>
    <cellStyle name="Input 4 2 2 2 3 4 3" xfId="42686"/>
    <cellStyle name="Input 4 2 2 2 3 4 4" xfId="29266"/>
    <cellStyle name="Input 4 2 2 2 3 5" xfId="21178"/>
    <cellStyle name="Input 4 2 2 2 3 5 2" xfId="46700"/>
    <cellStyle name="Input 4 2 2 2 3 5 3" xfId="50606"/>
    <cellStyle name="Input 4 2 2 2 3 5 4" xfId="38570"/>
    <cellStyle name="Input 4 2 2 2 3 6" xfId="21831"/>
    <cellStyle name="Input 4 2 2 2 3 6 2" xfId="47353"/>
    <cellStyle name="Input 4 2 2 2 3 6 3" xfId="51259"/>
    <cellStyle name="Input 4 2 2 2 3 7" xfId="41156"/>
    <cellStyle name="Input 4 2 2 2 3 8" xfId="40553"/>
    <cellStyle name="Input 4 2 2 2 4" xfId="14938"/>
    <cellStyle name="Input 4 2 2 2 4 2" xfId="43036"/>
    <cellStyle name="Input 4 2 2 2 4 3" xfId="41258"/>
    <cellStyle name="Input 4 2 2 2 4 4" xfId="32559"/>
    <cellStyle name="Input 4 2 2 2 5" xfId="13165"/>
    <cellStyle name="Input 4 2 2 2 5 2" xfId="42367"/>
    <cellStyle name="Input 4 2 2 2 5 3" xfId="39054"/>
    <cellStyle name="Input 4 2 2 2 5 4" xfId="30800"/>
    <cellStyle name="Input 4 2 2 2 6" xfId="19135"/>
    <cellStyle name="Input 4 2 2 2 6 2" xfId="44657"/>
    <cellStyle name="Input 4 2 2 2 6 3" xfId="48563"/>
    <cellStyle name="Input 4 2 2 2 6 4" xfId="36716"/>
    <cellStyle name="Input 4 2 2 2 7" xfId="19861"/>
    <cellStyle name="Input 4 2 2 2 7 2" xfId="45383"/>
    <cellStyle name="Input 4 2 2 2 7 3" xfId="49289"/>
    <cellStyle name="Input 4 2 2 2 7 4" xfId="37361"/>
    <cellStyle name="Input 4 2 2 2 8" xfId="11698"/>
    <cellStyle name="Input 4 2 2 2 8 2" xfId="41676"/>
    <cellStyle name="Input 4 2 2 2 8 3" xfId="39133"/>
    <cellStyle name="Input 4 2 2 2 9" xfId="39896"/>
    <cellStyle name="Input 4 2 2 3" xfId="53157"/>
    <cellStyle name="Input 4 2 3" xfId="1999"/>
    <cellStyle name="Input 4 2 3 2" xfId="7157"/>
    <cellStyle name="Input 4 2 3 2 10" xfId="40599"/>
    <cellStyle name="Input 4 2 3 2 2" xfId="10684"/>
    <cellStyle name="Input 4 2 3 2 2 2" xfId="18471"/>
    <cellStyle name="Input 4 2 3 2 2 2 2" xfId="44003"/>
    <cellStyle name="Input 4 2 3 2 2 2 3" xfId="47912"/>
    <cellStyle name="Input 4 2 3 2 2 2 4" xfId="36094"/>
    <cellStyle name="Input 4 2 3 2 2 3" xfId="20012"/>
    <cellStyle name="Input 4 2 3 2 2 3 2" xfId="45534"/>
    <cellStyle name="Input 4 2 3 2 2 3 3" xfId="49440"/>
    <cellStyle name="Input 4 2 3 2 2 3 4" xfId="37496"/>
    <cellStyle name="Input 4 2 3 2 2 4" xfId="19493"/>
    <cellStyle name="Input 4 2 3 2 2 4 2" xfId="45015"/>
    <cellStyle name="Input 4 2 3 2 2 4 3" xfId="48921"/>
    <cellStyle name="Input 4 2 3 2 2 4 4" xfId="37028"/>
    <cellStyle name="Input 4 2 3 2 2 5" xfId="20884"/>
    <cellStyle name="Input 4 2 3 2 2 5 2" xfId="46406"/>
    <cellStyle name="Input 4 2 3 2 2 5 3" xfId="50312"/>
    <cellStyle name="Input 4 2 3 2 2 5 4" xfId="38276"/>
    <cellStyle name="Input 4 2 3 2 2 6" xfId="21537"/>
    <cellStyle name="Input 4 2 3 2 2 6 2" xfId="47059"/>
    <cellStyle name="Input 4 2 3 2 2 6 3" xfId="50965"/>
    <cellStyle name="Input 4 2 3 2 2 7" xfId="40862"/>
    <cellStyle name="Input 4 2 3 2 2 8" xfId="41408"/>
    <cellStyle name="Input 4 2 3 2 3" xfId="10979"/>
    <cellStyle name="Input 4 2 3 2 3 2" xfId="18766"/>
    <cellStyle name="Input 4 2 3 2 3 2 2" xfId="44298"/>
    <cellStyle name="Input 4 2 3 2 3 2 3" xfId="48207"/>
    <cellStyle name="Input 4 2 3 2 3 2 4" xfId="36389"/>
    <cellStyle name="Input 4 2 3 2 3 3" xfId="19863"/>
    <cellStyle name="Input 4 2 3 2 3 3 2" xfId="45385"/>
    <cellStyle name="Input 4 2 3 2 3 3 3" xfId="49291"/>
    <cellStyle name="Input 4 2 3 2 3 3 4" xfId="37363"/>
    <cellStyle name="Input 4 2 3 2 3 4" xfId="12329"/>
    <cellStyle name="Input 4 2 3 2 3 4 2" xfId="41931"/>
    <cellStyle name="Input 4 2 3 2 3 4 3" xfId="39087"/>
    <cellStyle name="Input 4 2 3 2 3 4 4" xfId="29986"/>
    <cellStyle name="Input 4 2 3 2 3 5" xfId="21179"/>
    <cellStyle name="Input 4 2 3 2 3 5 2" xfId="46701"/>
    <cellStyle name="Input 4 2 3 2 3 5 3" xfId="50607"/>
    <cellStyle name="Input 4 2 3 2 3 5 4" xfId="38571"/>
    <cellStyle name="Input 4 2 3 2 3 6" xfId="21832"/>
    <cellStyle name="Input 4 2 3 2 3 6 2" xfId="47354"/>
    <cellStyle name="Input 4 2 3 2 3 6 3" xfId="51260"/>
    <cellStyle name="Input 4 2 3 2 3 7" xfId="41157"/>
    <cellStyle name="Input 4 2 3 2 3 8" xfId="39664"/>
    <cellStyle name="Input 4 2 3 2 4" xfId="14939"/>
    <cellStyle name="Input 4 2 3 2 4 2" xfId="43037"/>
    <cellStyle name="Input 4 2 3 2 4 3" xfId="43151"/>
    <cellStyle name="Input 4 2 3 2 4 4" xfId="32560"/>
    <cellStyle name="Input 4 2 3 2 5" xfId="13166"/>
    <cellStyle name="Input 4 2 3 2 5 2" xfId="42368"/>
    <cellStyle name="Input 4 2 3 2 5 3" xfId="39265"/>
    <cellStyle name="Input 4 2 3 2 5 4" xfId="30801"/>
    <cellStyle name="Input 4 2 3 2 6" xfId="11448"/>
    <cellStyle name="Input 4 2 3 2 6 2" xfId="41439"/>
    <cellStyle name="Input 4 2 3 2 6 3" xfId="40543"/>
    <cellStyle name="Input 4 2 3 2 6 4" xfId="29153"/>
    <cellStyle name="Input 4 2 3 2 7" xfId="12128"/>
    <cellStyle name="Input 4 2 3 2 7 2" xfId="41853"/>
    <cellStyle name="Input 4 2 3 2 7 3" xfId="40529"/>
    <cellStyle name="Input 4 2 3 2 7 4" xfId="29787"/>
    <cellStyle name="Input 4 2 3 2 8" xfId="20260"/>
    <cellStyle name="Input 4 2 3 2 8 2" xfId="45782"/>
    <cellStyle name="Input 4 2 3 2 8 3" xfId="49688"/>
    <cellStyle name="Input 4 2 3 2 9" xfId="39897"/>
    <cellStyle name="Input 4 2 4" xfId="4241"/>
    <cellStyle name="Input 4 2 4 2" xfId="7158"/>
    <cellStyle name="Input 4 2 4 2 10" xfId="39933"/>
    <cellStyle name="Input 4 2 4 2 2" xfId="10685"/>
    <cellStyle name="Input 4 2 4 2 2 2" xfId="18472"/>
    <cellStyle name="Input 4 2 4 2 2 2 2" xfId="44004"/>
    <cellStyle name="Input 4 2 4 2 2 2 3" xfId="47913"/>
    <cellStyle name="Input 4 2 4 2 2 2 4" xfId="36095"/>
    <cellStyle name="Input 4 2 4 2 2 3" xfId="19278"/>
    <cellStyle name="Input 4 2 4 2 2 3 2" xfId="44800"/>
    <cellStyle name="Input 4 2 4 2 2 3 3" xfId="48706"/>
    <cellStyle name="Input 4 2 4 2 2 3 4" xfId="36842"/>
    <cellStyle name="Input 4 2 4 2 2 4" xfId="11567"/>
    <cellStyle name="Input 4 2 4 2 2 4 2" xfId="41558"/>
    <cellStyle name="Input 4 2 4 2 2 4 3" xfId="40538"/>
    <cellStyle name="Input 4 2 4 2 2 4 4" xfId="29264"/>
    <cellStyle name="Input 4 2 4 2 2 5" xfId="20885"/>
    <cellStyle name="Input 4 2 4 2 2 5 2" xfId="46407"/>
    <cellStyle name="Input 4 2 4 2 2 5 3" xfId="50313"/>
    <cellStyle name="Input 4 2 4 2 2 5 4" xfId="38277"/>
    <cellStyle name="Input 4 2 4 2 2 6" xfId="21538"/>
    <cellStyle name="Input 4 2 4 2 2 6 2" xfId="47060"/>
    <cellStyle name="Input 4 2 4 2 2 6 3" xfId="50966"/>
    <cellStyle name="Input 4 2 4 2 2 7" xfId="40863"/>
    <cellStyle name="Input 4 2 4 2 2 8" xfId="43211"/>
    <cellStyle name="Input 4 2 4 2 3" xfId="10980"/>
    <cellStyle name="Input 4 2 4 2 3 2" xfId="18767"/>
    <cellStyle name="Input 4 2 4 2 3 2 2" xfId="44299"/>
    <cellStyle name="Input 4 2 4 2 3 2 3" xfId="48208"/>
    <cellStyle name="Input 4 2 4 2 3 2 4" xfId="36390"/>
    <cellStyle name="Input 4 2 4 2 3 3" xfId="19086"/>
    <cellStyle name="Input 4 2 4 2 3 3 2" xfId="44608"/>
    <cellStyle name="Input 4 2 4 2 3 3 3" xfId="48514"/>
    <cellStyle name="Input 4 2 4 2 3 3 4" xfId="36667"/>
    <cellStyle name="Input 4 2 4 2 3 4" xfId="19544"/>
    <cellStyle name="Input 4 2 4 2 3 4 2" xfId="45066"/>
    <cellStyle name="Input 4 2 4 2 3 4 3" xfId="48972"/>
    <cellStyle name="Input 4 2 4 2 3 4 4" xfId="37071"/>
    <cellStyle name="Input 4 2 4 2 3 5" xfId="21180"/>
    <cellStyle name="Input 4 2 4 2 3 5 2" xfId="46702"/>
    <cellStyle name="Input 4 2 4 2 3 5 3" xfId="50608"/>
    <cellStyle name="Input 4 2 4 2 3 5 4" xfId="38572"/>
    <cellStyle name="Input 4 2 4 2 3 6" xfId="21833"/>
    <cellStyle name="Input 4 2 4 2 3 6 2" xfId="47355"/>
    <cellStyle name="Input 4 2 4 2 3 6 3" xfId="51261"/>
    <cellStyle name="Input 4 2 4 2 3 7" xfId="41158"/>
    <cellStyle name="Input 4 2 4 2 3 8" xfId="42701"/>
    <cellStyle name="Input 4 2 4 2 4" xfId="14940"/>
    <cellStyle name="Input 4 2 4 2 4 2" xfId="43038"/>
    <cellStyle name="Input 4 2 4 2 4 3" xfId="40010"/>
    <cellStyle name="Input 4 2 4 2 4 4" xfId="32561"/>
    <cellStyle name="Input 4 2 4 2 5" xfId="13167"/>
    <cellStyle name="Input 4 2 4 2 5 2" xfId="42369"/>
    <cellStyle name="Input 4 2 4 2 5 3" xfId="39264"/>
    <cellStyle name="Input 4 2 4 2 5 4" xfId="30802"/>
    <cellStyle name="Input 4 2 4 2 6" xfId="20363"/>
    <cellStyle name="Input 4 2 4 2 6 2" xfId="45885"/>
    <cellStyle name="Input 4 2 4 2 6 3" xfId="49791"/>
    <cellStyle name="Input 4 2 4 2 6 4" xfId="37805"/>
    <cellStyle name="Input 4 2 4 2 7" xfId="19027"/>
    <cellStyle name="Input 4 2 4 2 7 2" xfId="44549"/>
    <cellStyle name="Input 4 2 4 2 7 3" xfId="48455"/>
    <cellStyle name="Input 4 2 4 2 7 4" xfId="36617"/>
    <cellStyle name="Input 4 2 4 2 8" xfId="19032"/>
    <cellStyle name="Input 4 2 4 2 8 2" xfId="44554"/>
    <cellStyle name="Input 4 2 4 2 8 3" xfId="48460"/>
    <cellStyle name="Input 4 2 4 2 9" xfId="39898"/>
    <cellStyle name="Input 4 2 5" xfId="7155"/>
    <cellStyle name="Input 4 2 5 10" xfId="43073"/>
    <cellStyle name="Input 4 2 5 2" xfId="10682"/>
    <cellStyle name="Input 4 2 5 2 2" xfId="18469"/>
    <cellStyle name="Input 4 2 5 2 2 2" xfId="44001"/>
    <cellStyle name="Input 4 2 5 2 2 3" xfId="47910"/>
    <cellStyle name="Input 4 2 5 2 2 4" xfId="36092"/>
    <cellStyle name="Input 4 2 5 2 3" xfId="20146"/>
    <cellStyle name="Input 4 2 5 2 3 2" xfId="45668"/>
    <cellStyle name="Input 4 2 5 2 3 3" xfId="49574"/>
    <cellStyle name="Input 4 2 5 2 3 4" xfId="37618"/>
    <cellStyle name="Input 4 2 5 2 4" xfId="19072"/>
    <cellStyle name="Input 4 2 5 2 4 2" xfId="44594"/>
    <cellStyle name="Input 4 2 5 2 4 3" xfId="48500"/>
    <cellStyle name="Input 4 2 5 2 4 4" xfId="36654"/>
    <cellStyle name="Input 4 2 5 2 5" xfId="20882"/>
    <cellStyle name="Input 4 2 5 2 5 2" xfId="46404"/>
    <cellStyle name="Input 4 2 5 2 5 3" xfId="50310"/>
    <cellStyle name="Input 4 2 5 2 5 4" xfId="38274"/>
    <cellStyle name="Input 4 2 5 2 6" xfId="21535"/>
    <cellStyle name="Input 4 2 5 2 6 2" xfId="47057"/>
    <cellStyle name="Input 4 2 5 2 6 3" xfId="50963"/>
    <cellStyle name="Input 4 2 5 2 7" xfId="40860"/>
    <cellStyle name="Input 4 2 5 2 8" xfId="39361"/>
    <cellStyle name="Input 4 2 5 3" xfId="10977"/>
    <cellStyle name="Input 4 2 5 3 2" xfId="18764"/>
    <cellStyle name="Input 4 2 5 3 2 2" xfId="44296"/>
    <cellStyle name="Input 4 2 5 3 2 3" xfId="48205"/>
    <cellStyle name="Input 4 2 5 3 2 4" xfId="36387"/>
    <cellStyle name="Input 4 2 5 3 3" xfId="19988"/>
    <cellStyle name="Input 4 2 5 3 3 2" xfId="45510"/>
    <cellStyle name="Input 4 2 5 3 3 3" xfId="49416"/>
    <cellStyle name="Input 4 2 5 3 3 4" xfId="37472"/>
    <cellStyle name="Input 4 2 5 3 4" xfId="18868"/>
    <cellStyle name="Input 4 2 5 3 4 2" xfId="44390"/>
    <cellStyle name="Input 4 2 5 3 4 3" xfId="48296"/>
    <cellStyle name="Input 4 2 5 3 4 4" xfId="36491"/>
    <cellStyle name="Input 4 2 5 3 5" xfId="21177"/>
    <cellStyle name="Input 4 2 5 3 5 2" xfId="46699"/>
    <cellStyle name="Input 4 2 5 3 5 3" xfId="50605"/>
    <cellStyle name="Input 4 2 5 3 5 4" xfId="38569"/>
    <cellStyle name="Input 4 2 5 3 6" xfId="21830"/>
    <cellStyle name="Input 4 2 5 3 6 2" xfId="47352"/>
    <cellStyle name="Input 4 2 5 3 6 3" xfId="51258"/>
    <cellStyle name="Input 4 2 5 3 7" xfId="41155"/>
    <cellStyle name="Input 4 2 5 3 8" xfId="43694"/>
    <cellStyle name="Input 4 2 5 4" xfId="14937"/>
    <cellStyle name="Input 4 2 5 4 2" xfId="43035"/>
    <cellStyle name="Input 4 2 5 4 3" xfId="39240"/>
    <cellStyle name="Input 4 2 5 4 4" xfId="32558"/>
    <cellStyle name="Input 4 2 5 5" xfId="13164"/>
    <cellStyle name="Input 4 2 5 5 2" xfId="42366"/>
    <cellStyle name="Input 4 2 5 5 3" xfId="39055"/>
    <cellStyle name="Input 4 2 5 5 4" xfId="30799"/>
    <cellStyle name="Input 4 2 5 6" xfId="12036"/>
    <cellStyle name="Input 4 2 5 6 2" xfId="41772"/>
    <cellStyle name="Input 4 2 5 6 3" xfId="42677"/>
    <cellStyle name="Input 4 2 5 6 4" xfId="29701"/>
    <cellStyle name="Input 4 2 5 7" xfId="12800"/>
    <cellStyle name="Input 4 2 5 7 2" xfId="42196"/>
    <cellStyle name="Input 4 2 5 7 3" xfId="39422"/>
    <cellStyle name="Input 4 2 5 7 4" xfId="30442"/>
    <cellStyle name="Input 4 2 5 8" xfId="19842"/>
    <cellStyle name="Input 4 2 5 8 2" xfId="45364"/>
    <cellStyle name="Input 4 2 5 8 3" xfId="49270"/>
    <cellStyle name="Input 4 2 5 9" xfId="39895"/>
    <cellStyle name="Input 4 2 6" xfId="53156"/>
    <cellStyle name="Input 4 2_Sheet1" xfId="2000"/>
    <cellStyle name="Input 4 3" xfId="2001"/>
    <cellStyle name="Input 4 3 2" xfId="7159"/>
    <cellStyle name="Input 4 3 2 10" xfId="42733"/>
    <cellStyle name="Input 4 3 2 2" xfId="10686"/>
    <cellStyle name="Input 4 3 2 2 2" xfId="18473"/>
    <cellStyle name="Input 4 3 2 2 2 2" xfId="44005"/>
    <cellStyle name="Input 4 3 2 2 2 3" xfId="47914"/>
    <cellStyle name="Input 4 3 2 2 2 4" xfId="36096"/>
    <cellStyle name="Input 4 3 2 2 3" xfId="19887"/>
    <cellStyle name="Input 4 3 2 2 3 2" xfId="45409"/>
    <cellStyle name="Input 4 3 2 2 3 3" xfId="49315"/>
    <cellStyle name="Input 4 3 2 2 3 4" xfId="37387"/>
    <cellStyle name="Input 4 3 2 2 4" xfId="13288"/>
    <cellStyle name="Input 4 3 2 2 4 2" xfId="42439"/>
    <cellStyle name="Input 4 3 2 2 4 3" xfId="41273"/>
    <cellStyle name="Input 4 3 2 2 4 4" xfId="30918"/>
    <cellStyle name="Input 4 3 2 2 5" xfId="20886"/>
    <cellStyle name="Input 4 3 2 2 5 2" xfId="46408"/>
    <cellStyle name="Input 4 3 2 2 5 3" xfId="50314"/>
    <cellStyle name="Input 4 3 2 2 5 4" xfId="38278"/>
    <cellStyle name="Input 4 3 2 2 6" xfId="21539"/>
    <cellStyle name="Input 4 3 2 2 6 2" xfId="47061"/>
    <cellStyle name="Input 4 3 2 2 6 3" xfId="50967"/>
    <cellStyle name="Input 4 3 2 2 7" xfId="40864"/>
    <cellStyle name="Input 4 3 2 2 8" xfId="40070"/>
    <cellStyle name="Input 4 3 2 3" xfId="10981"/>
    <cellStyle name="Input 4 3 2 3 2" xfId="18768"/>
    <cellStyle name="Input 4 3 2 3 2 2" xfId="44300"/>
    <cellStyle name="Input 4 3 2 3 2 3" xfId="48209"/>
    <cellStyle name="Input 4 3 2 3 2 4" xfId="36391"/>
    <cellStyle name="Input 4 3 2 3 3" xfId="19695"/>
    <cellStyle name="Input 4 3 2 3 3 2" xfId="45217"/>
    <cellStyle name="Input 4 3 2 3 3 3" xfId="49123"/>
    <cellStyle name="Input 4 3 2 3 3 4" xfId="37208"/>
    <cellStyle name="Input 4 3 2 3 4" xfId="19323"/>
    <cellStyle name="Input 4 3 2 3 4 2" xfId="44845"/>
    <cellStyle name="Input 4 3 2 3 4 3" xfId="48751"/>
    <cellStyle name="Input 4 3 2 3 4 4" xfId="36881"/>
    <cellStyle name="Input 4 3 2 3 5" xfId="21181"/>
    <cellStyle name="Input 4 3 2 3 5 2" xfId="46703"/>
    <cellStyle name="Input 4 3 2 3 5 3" xfId="50609"/>
    <cellStyle name="Input 4 3 2 3 5 4" xfId="38573"/>
    <cellStyle name="Input 4 3 2 3 6" xfId="21834"/>
    <cellStyle name="Input 4 3 2 3 6 2" xfId="47356"/>
    <cellStyle name="Input 4 3 2 3 6 3" xfId="51262"/>
    <cellStyle name="Input 4 3 2 3 7" xfId="41159"/>
    <cellStyle name="Input 4 3 2 3 8" xfId="43590"/>
    <cellStyle name="Input 4 3 2 4" xfId="14941"/>
    <cellStyle name="Input 4 3 2 4 2" xfId="43039"/>
    <cellStyle name="Input 4 3 2 4 3" xfId="42751"/>
    <cellStyle name="Input 4 3 2 4 4" xfId="32562"/>
    <cellStyle name="Input 4 3 2 5" xfId="11315"/>
    <cellStyle name="Input 4 3 2 5 2" xfId="41340"/>
    <cellStyle name="Input 4 3 2 5 3" xfId="42695"/>
    <cellStyle name="Input 4 3 2 5 4" xfId="29029"/>
    <cellStyle name="Input 4 3 2 6" xfId="11775"/>
    <cellStyle name="Input 4 3 2 6 2" xfId="41709"/>
    <cellStyle name="Input 4 3 2 6 3" xfId="39131"/>
    <cellStyle name="Input 4 3 2 6 4" xfId="29448"/>
    <cellStyle name="Input 4 3 2 7" xfId="12845"/>
    <cellStyle name="Input 4 3 2 7 2" xfId="42209"/>
    <cellStyle name="Input 4 3 2 7 3" xfId="39079"/>
    <cellStyle name="Input 4 3 2 7 4" xfId="30485"/>
    <cellStyle name="Input 4 3 2 8" xfId="19062"/>
    <cellStyle name="Input 4 3 2 8 2" xfId="44584"/>
    <cellStyle name="Input 4 3 2 8 3" xfId="48490"/>
    <cellStyle name="Input 4 3 2 9" xfId="39899"/>
    <cellStyle name="Input 4 3 3" xfId="53158"/>
    <cellStyle name="Input 4 4" xfId="2002"/>
    <cellStyle name="Input 4 4 2" xfId="7160"/>
    <cellStyle name="Input 4 4 2 10" xfId="43621"/>
    <cellStyle name="Input 4 4 2 2" xfId="10687"/>
    <cellStyle name="Input 4 4 2 2 2" xfId="18474"/>
    <cellStyle name="Input 4 4 2 2 2 2" xfId="44006"/>
    <cellStyle name="Input 4 4 2 2 2 3" xfId="47915"/>
    <cellStyle name="Input 4 4 2 2 2 4" xfId="36097"/>
    <cellStyle name="Input 4 4 2 2 3" xfId="19110"/>
    <cellStyle name="Input 4 4 2 2 3 2" xfId="44632"/>
    <cellStyle name="Input 4 4 2 2 3 3" xfId="48538"/>
    <cellStyle name="Input 4 4 2 2 3 4" xfId="36691"/>
    <cellStyle name="Input 4 4 2 2 4" xfId="19018"/>
    <cellStyle name="Input 4 4 2 2 4 2" xfId="44540"/>
    <cellStyle name="Input 4 4 2 2 4 3" xfId="48446"/>
    <cellStyle name="Input 4 4 2 2 4 4" xfId="36610"/>
    <cellStyle name="Input 4 4 2 2 5" xfId="20887"/>
    <cellStyle name="Input 4 4 2 2 5 2" xfId="46409"/>
    <cellStyle name="Input 4 4 2 2 5 3" xfId="50315"/>
    <cellStyle name="Input 4 4 2 2 5 4" xfId="38279"/>
    <cellStyle name="Input 4 4 2 2 6" xfId="21540"/>
    <cellStyle name="Input 4 4 2 2 6 2" xfId="47062"/>
    <cellStyle name="Input 4 4 2 2 6 3" xfId="50968"/>
    <cellStyle name="Input 4 4 2 2 7" xfId="40865"/>
    <cellStyle name="Input 4 4 2 2 8" xfId="42819"/>
    <cellStyle name="Input 4 4 2 3" xfId="10982"/>
    <cellStyle name="Input 4 4 2 3 2" xfId="18769"/>
    <cellStyle name="Input 4 4 2 3 2 2" xfId="44301"/>
    <cellStyle name="Input 4 4 2 3 2 3" xfId="48210"/>
    <cellStyle name="Input 4 4 2 3 2 4" xfId="36392"/>
    <cellStyle name="Input 4 4 2 3 3" xfId="11526"/>
    <cellStyle name="Input 4 4 2 3 3 2" xfId="41517"/>
    <cellStyle name="Input 4 4 2 3 3 3" xfId="39142"/>
    <cellStyle name="Input 4 4 2 3 3 4" xfId="29227"/>
    <cellStyle name="Input 4 4 2 3 4" xfId="19949"/>
    <cellStyle name="Input 4 4 2 3 4 2" xfId="45471"/>
    <cellStyle name="Input 4 4 2 3 4 3" xfId="49377"/>
    <cellStyle name="Input 4 4 2 3 4 4" xfId="37440"/>
    <cellStyle name="Input 4 4 2 3 5" xfId="21182"/>
    <cellStyle name="Input 4 4 2 3 5 2" xfId="46704"/>
    <cellStyle name="Input 4 4 2 3 5 3" xfId="50610"/>
    <cellStyle name="Input 4 4 2 3 5 4" xfId="38574"/>
    <cellStyle name="Input 4 4 2 3 6" xfId="21835"/>
    <cellStyle name="Input 4 4 2 3 6 2" xfId="47357"/>
    <cellStyle name="Input 4 4 2 3 6 3" xfId="51263"/>
    <cellStyle name="Input 4 4 2 3 7" xfId="41160"/>
    <cellStyle name="Input 4 4 2 3 8" xfId="40448"/>
    <cellStyle name="Input 4 4 2 4" xfId="14942"/>
    <cellStyle name="Input 4 4 2 4 2" xfId="43040"/>
    <cellStyle name="Input 4 4 2 4 3" xfId="43638"/>
    <cellStyle name="Input 4 4 2 4 4" xfId="32563"/>
    <cellStyle name="Input 4 4 2 5" xfId="11316"/>
    <cellStyle name="Input 4 4 2 5 2" xfId="41341"/>
    <cellStyle name="Input 4 4 2 5 3" xfId="43583"/>
    <cellStyle name="Input 4 4 2 5 4" xfId="29030"/>
    <cellStyle name="Input 4 4 2 6" xfId="19780"/>
    <cellStyle name="Input 4 4 2 6 2" xfId="45302"/>
    <cellStyle name="Input 4 4 2 6 3" xfId="49208"/>
    <cellStyle name="Input 4 4 2 6 4" xfId="37290"/>
    <cellStyle name="Input 4 4 2 7" xfId="19778"/>
    <cellStyle name="Input 4 4 2 7 2" xfId="45300"/>
    <cellStyle name="Input 4 4 2 7 3" xfId="49206"/>
    <cellStyle name="Input 4 4 2 7 4" xfId="37288"/>
    <cellStyle name="Input 4 4 2 8" xfId="20212"/>
    <cellStyle name="Input 4 4 2 8 2" xfId="45734"/>
    <cellStyle name="Input 4 4 2 8 3" xfId="49640"/>
    <cellStyle name="Input 4 4 2 9" xfId="39900"/>
    <cellStyle name="Input 4 4 3" xfId="22913"/>
    <cellStyle name="Input 4 4 3 2" xfId="47595"/>
    <cellStyle name="Input 4 4 3 3" xfId="51410"/>
    <cellStyle name="Input 4 4 3 4" xfId="39007"/>
    <cellStyle name="Input 4 4 4" xfId="23053"/>
    <cellStyle name="Input 4 4 4 2" xfId="47639"/>
    <cellStyle name="Input 4 4 4 3" xfId="51450"/>
    <cellStyle name="Input 4 4 5" xfId="53159"/>
    <cellStyle name="Input 4 5" xfId="2003"/>
    <cellStyle name="Input 4 5 2" xfId="7161"/>
    <cellStyle name="Input 4 5 2 10" xfId="40479"/>
    <cellStyle name="Input 4 5 2 2" xfId="10688"/>
    <cellStyle name="Input 4 5 2 2 2" xfId="18475"/>
    <cellStyle name="Input 4 5 2 2 2 2" xfId="44007"/>
    <cellStyle name="Input 4 5 2 2 2 3" xfId="47916"/>
    <cellStyle name="Input 4 5 2 2 2 4" xfId="36098"/>
    <cellStyle name="Input 4 5 2 2 3" xfId="19726"/>
    <cellStyle name="Input 4 5 2 2 3 2" xfId="45248"/>
    <cellStyle name="Input 4 5 2 2 3 3" xfId="49154"/>
    <cellStyle name="Input 4 5 2 2 3 4" xfId="37239"/>
    <cellStyle name="Input 4 5 2 2 4" xfId="12644"/>
    <cellStyle name="Input 4 5 2 2 4 2" xfId="42104"/>
    <cellStyle name="Input 4 5 2 2 4 3" xfId="43559"/>
    <cellStyle name="Input 4 5 2 2 4 4" xfId="30295"/>
    <cellStyle name="Input 4 5 2 2 5" xfId="20888"/>
    <cellStyle name="Input 4 5 2 2 5 2" xfId="46410"/>
    <cellStyle name="Input 4 5 2 2 5 3" xfId="50316"/>
    <cellStyle name="Input 4 5 2 2 5 4" xfId="38280"/>
    <cellStyle name="Input 4 5 2 2 6" xfId="21541"/>
    <cellStyle name="Input 4 5 2 2 6 2" xfId="47063"/>
    <cellStyle name="Input 4 5 2 2 6 3" xfId="50969"/>
    <cellStyle name="Input 4 5 2 2 7" xfId="40866"/>
    <cellStyle name="Input 4 5 2 2 8" xfId="43708"/>
    <cellStyle name="Input 4 5 2 3" xfId="10983"/>
    <cellStyle name="Input 4 5 2 3 2" xfId="18770"/>
    <cellStyle name="Input 4 5 2 3 2 2" xfId="44302"/>
    <cellStyle name="Input 4 5 2 3 2 3" xfId="48211"/>
    <cellStyle name="Input 4 5 2 3 2 4" xfId="36393"/>
    <cellStyle name="Input 4 5 2 3 3" xfId="13351"/>
    <cellStyle name="Input 4 5 2 3 3 2" xfId="42502"/>
    <cellStyle name="Input 4 5 2 3 3 3" xfId="42653"/>
    <cellStyle name="Input 4 5 2 3 3 4" xfId="30977"/>
    <cellStyle name="Input 4 5 2 3 4" xfId="20343"/>
    <cellStyle name="Input 4 5 2 3 4 2" xfId="45865"/>
    <cellStyle name="Input 4 5 2 3 4 3" xfId="49771"/>
    <cellStyle name="Input 4 5 2 3 4 4" xfId="37785"/>
    <cellStyle name="Input 4 5 2 3 5" xfId="21183"/>
    <cellStyle name="Input 4 5 2 3 5 2" xfId="46705"/>
    <cellStyle name="Input 4 5 2 3 5 3" xfId="50611"/>
    <cellStyle name="Input 4 5 2 3 5 4" xfId="38575"/>
    <cellStyle name="Input 4 5 2 3 6" xfId="21836"/>
    <cellStyle name="Input 4 5 2 3 6 2" xfId="47358"/>
    <cellStyle name="Input 4 5 2 3 6 3" xfId="51264"/>
    <cellStyle name="Input 4 5 2 3 7" xfId="41161"/>
    <cellStyle name="Input 4 5 2 3 8" xfId="39558"/>
    <cellStyle name="Input 4 5 2 4" xfId="14943"/>
    <cellStyle name="Input 4 5 2 4 2" xfId="43041"/>
    <cellStyle name="Input 4 5 2 4 3" xfId="40497"/>
    <cellStyle name="Input 4 5 2 4 4" xfId="32564"/>
    <cellStyle name="Input 4 5 2 5" xfId="11317"/>
    <cellStyle name="Input 4 5 2 5 2" xfId="41342"/>
    <cellStyle name="Input 4 5 2 5 3" xfId="40442"/>
    <cellStyle name="Input 4 5 2 5 4" xfId="29031"/>
    <cellStyle name="Input 4 5 2 6" xfId="11113"/>
    <cellStyle name="Input 4 5 2 6 2" xfId="41254"/>
    <cellStyle name="Input 4 5 2 6 3" xfId="40444"/>
    <cellStyle name="Input 4 5 2 6 4" xfId="28827"/>
    <cellStyle name="Input 4 5 2 7" xfId="19791"/>
    <cellStyle name="Input 4 5 2 7 2" xfId="45313"/>
    <cellStyle name="Input 4 5 2 7 3" xfId="49219"/>
    <cellStyle name="Input 4 5 2 7 4" xfId="37299"/>
    <cellStyle name="Input 4 5 2 8" xfId="19084"/>
    <cellStyle name="Input 4 5 2 8 2" xfId="44606"/>
    <cellStyle name="Input 4 5 2 8 3" xfId="48512"/>
    <cellStyle name="Input 4 5 2 9" xfId="39901"/>
    <cellStyle name="Input 4 5 3" xfId="53160"/>
    <cellStyle name="Input 4 6" xfId="2004"/>
    <cellStyle name="Input 4 6 2" xfId="7162"/>
    <cellStyle name="Input 4 6 2 10" xfId="39589"/>
    <cellStyle name="Input 4 6 2 2" xfId="10689"/>
    <cellStyle name="Input 4 6 2 2 2" xfId="18476"/>
    <cellStyle name="Input 4 6 2 2 2 2" xfId="44008"/>
    <cellStyle name="Input 4 6 2 2 2 3" xfId="47917"/>
    <cellStyle name="Input 4 6 2 2 2 4" xfId="36099"/>
    <cellStyle name="Input 4 6 2 2 3" xfId="11497"/>
    <cellStyle name="Input 4 6 2 2 3 2" xfId="41488"/>
    <cellStyle name="Input 4 6 2 2 3 3" xfId="39548"/>
    <cellStyle name="Input 4 6 2 2 3 4" xfId="29198"/>
    <cellStyle name="Input 4 6 2 2 4" xfId="19972"/>
    <cellStyle name="Input 4 6 2 2 4 2" xfId="45494"/>
    <cellStyle name="Input 4 6 2 2 4 3" xfId="49400"/>
    <cellStyle name="Input 4 6 2 2 4 4" xfId="37457"/>
    <cellStyle name="Input 4 6 2 2 5" xfId="20889"/>
    <cellStyle name="Input 4 6 2 2 5 2" xfId="46411"/>
    <cellStyle name="Input 4 6 2 2 5 3" xfId="50317"/>
    <cellStyle name="Input 4 6 2 2 5 4" xfId="38281"/>
    <cellStyle name="Input 4 6 2 2 6" xfId="21542"/>
    <cellStyle name="Input 4 6 2 2 6 2" xfId="47064"/>
    <cellStyle name="Input 4 6 2 2 6 3" xfId="50970"/>
    <cellStyle name="Input 4 6 2 2 7" xfId="40867"/>
    <cellStyle name="Input 4 6 2 2 8" xfId="40567"/>
    <cellStyle name="Input 4 6 2 3" xfId="10984"/>
    <cellStyle name="Input 4 6 2 3 2" xfId="18771"/>
    <cellStyle name="Input 4 6 2 3 2 2" xfId="44303"/>
    <cellStyle name="Input 4 6 2 3 2 3" xfId="48212"/>
    <cellStyle name="Input 4 6 2 3 2 4" xfId="36394"/>
    <cellStyle name="Input 4 6 2 3 3" xfId="19568"/>
    <cellStyle name="Input 4 6 2 3 3 2" xfId="45090"/>
    <cellStyle name="Input 4 6 2 3 3 3" xfId="48996"/>
    <cellStyle name="Input 4 6 2 3 3 4" xfId="37094"/>
    <cellStyle name="Input 4 6 2 3 4" xfId="19227"/>
    <cellStyle name="Input 4 6 2 3 4 2" xfId="44749"/>
    <cellStyle name="Input 4 6 2 3 4 3" xfId="48655"/>
    <cellStyle name="Input 4 6 2 3 4 4" xfId="36792"/>
    <cellStyle name="Input 4 6 2 3 5" xfId="21184"/>
    <cellStyle name="Input 4 6 2 3 5 2" xfId="46706"/>
    <cellStyle name="Input 4 6 2 3 5 3" xfId="50612"/>
    <cellStyle name="Input 4 6 2 3 5 4" xfId="38576"/>
    <cellStyle name="Input 4 6 2 3 6" xfId="21837"/>
    <cellStyle name="Input 4 6 2 3 6 2" xfId="47359"/>
    <cellStyle name="Input 4 6 2 3 6 3" xfId="51265"/>
    <cellStyle name="Input 4 6 2 3 7" xfId="41162"/>
    <cellStyle name="Input 4 6 2 3 8" xfId="42566"/>
    <cellStyle name="Input 4 6 2 4" xfId="14944"/>
    <cellStyle name="Input 4 6 2 4 2" xfId="43042"/>
    <cellStyle name="Input 4 6 2 4 3" xfId="39605"/>
    <cellStyle name="Input 4 6 2 4 4" xfId="32565"/>
    <cellStyle name="Input 4 6 2 5" xfId="13168"/>
    <cellStyle name="Input 4 6 2 5 2" xfId="42370"/>
    <cellStyle name="Input 4 6 2 5 3" xfId="39053"/>
    <cellStyle name="Input 4 6 2 5 4" xfId="30803"/>
    <cellStyle name="Input 4 6 2 6" xfId="19478"/>
    <cellStyle name="Input 4 6 2 6 2" xfId="45000"/>
    <cellStyle name="Input 4 6 2 6 3" xfId="48906"/>
    <cellStyle name="Input 4 6 2 6 4" xfId="37020"/>
    <cellStyle name="Input 4 6 2 7" xfId="19981"/>
    <cellStyle name="Input 4 6 2 7 2" xfId="45503"/>
    <cellStyle name="Input 4 6 2 7 3" xfId="49409"/>
    <cellStyle name="Input 4 6 2 7 4" xfId="37465"/>
    <cellStyle name="Input 4 6 2 8" xfId="20595"/>
    <cellStyle name="Input 4 6 2 8 2" xfId="46117"/>
    <cellStyle name="Input 4 6 2 8 3" xfId="50023"/>
    <cellStyle name="Input 4 6 2 9" xfId="39902"/>
    <cellStyle name="Input 4 6 3" xfId="53161"/>
    <cellStyle name="Input 4 7" xfId="2005"/>
    <cellStyle name="Input 4 7 2" xfId="7163"/>
    <cellStyle name="Input 4 7 2 10" xfId="42597"/>
    <cellStyle name="Input 4 7 2 2" xfId="10690"/>
    <cellStyle name="Input 4 7 2 2 2" xfId="18477"/>
    <cellStyle name="Input 4 7 2 2 2 2" xfId="44009"/>
    <cellStyle name="Input 4 7 2 2 2 3" xfId="47918"/>
    <cellStyle name="Input 4 7 2 2 2 4" xfId="36100"/>
    <cellStyle name="Input 4 7 2 2 3" xfId="13312"/>
    <cellStyle name="Input 4 7 2 2 3 2" xfId="42463"/>
    <cellStyle name="Input 4 7 2 2 3 3" xfId="40511"/>
    <cellStyle name="Input 4 7 2 2 3 4" xfId="30938"/>
    <cellStyle name="Input 4 7 2 2 4" xfId="12681"/>
    <cellStyle name="Input 4 7 2 2 4 2" xfId="42141"/>
    <cellStyle name="Input 4 7 2 2 4 3" xfId="39632"/>
    <cellStyle name="Input 4 7 2 2 4 4" xfId="30328"/>
    <cellStyle name="Input 4 7 2 2 5" xfId="20890"/>
    <cellStyle name="Input 4 7 2 2 5 2" xfId="46412"/>
    <cellStyle name="Input 4 7 2 2 5 3" xfId="50318"/>
    <cellStyle name="Input 4 7 2 2 5 4" xfId="38282"/>
    <cellStyle name="Input 4 7 2 2 6" xfId="21543"/>
    <cellStyle name="Input 4 7 2 2 6 2" xfId="47065"/>
    <cellStyle name="Input 4 7 2 2 6 3" xfId="50971"/>
    <cellStyle name="Input 4 7 2 2 7" xfId="40868"/>
    <cellStyle name="Input 4 7 2 2 8" xfId="39678"/>
    <cellStyle name="Input 4 7 2 3" xfId="10985"/>
    <cellStyle name="Input 4 7 2 3 2" xfId="18772"/>
    <cellStyle name="Input 4 7 2 3 2 2" xfId="44304"/>
    <cellStyle name="Input 4 7 2 3 2 3" xfId="48213"/>
    <cellStyle name="Input 4 7 2 3 2 4" xfId="36395"/>
    <cellStyle name="Input 4 7 2 3 3" xfId="20121"/>
    <cellStyle name="Input 4 7 2 3 3 2" xfId="45643"/>
    <cellStyle name="Input 4 7 2 3 3 3" xfId="49549"/>
    <cellStyle name="Input 4 7 2 3 3 4" xfId="37593"/>
    <cellStyle name="Input 4 7 2 3 4" xfId="19325"/>
    <cellStyle name="Input 4 7 2 3 4 2" xfId="44847"/>
    <cellStyle name="Input 4 7 2 3 4 3" xfId="48753"/>
    <cellStyle name="Input 4 7 2 3 4 4" xfId="36883"/>
    <cellStyle name="Input 4 7 2 3 5" xfId="21185"/>
    <cellStyle name="Input 4 7 2 3 5 2" xfId="46707"/>
    <cellStyle name="Input 4 7 2 3 5 3" xfId="50613"/>
    <cellStyle name="Input 4 7 2 3 5 4" xfId="38577"/>
    <cellStyle name="Input 4 7 2 3 6" xfId="21838"/>
    <cellStyle name="Input 4 7 2 3 6 2" xfId="47360"/>
    <cellStyle name="Input 4 7 2 3 6 3" xfId="51266"/>
    <cellStyle name="Input 4 7 2 3 7" xfId="41163"/>
    <cellStyle name="Input 4 7 2 3 8" xfId="43479"/>
    <cellStyle name="Input 4 7 2 4" xfId="14945"/>
    <cellStyle name="Input 4 7 2 4 2" xfId="43043"/>
    <cellStyle name="Input 4 7 2 4 3" xfId="42641"/>
    <cellStyle name="Input 4 7 2 4 4" xfId="32566"/>
    <cellStyle name="Input 4 7 2 5" xfId="13169"/>
    <cellStyle name="Input 4 7 2 5 2" xfId="42371"/>
    <cellStyle name="Input 4 7 2 5 3" xfId="39052"/>
    <cellStyle name="Input 4 7 2 5 4" xfId="30804"/>
    <cellStyle name="Input 4 7 2 6" xfId="19317"/>
    <cellStyle name="Input 4 7 2 6 2" xfId="44839"/>
    <cellStyle name="Input 4 7 2 6 3" xfId="48745"/>
    <cellStyle name="Input 4 7 2 6 4" xfId="36878"/>
    <cellStyle name="Input 4 7 2 7" xfId="19319"/>
    <cellStyle name="Input 4 7 2 7 2" xfId="44841"/>
    <cellStyle name="Input 4 7 2 7 3" xfId="48747"/>
    <cellStyle name="Input 4 7 2 7 4" xfId="36880"/>
    <cellStyle name="Input 4 7 2 8" xfId="20505"/>
    <cellStyle name="Input 4 7 2 8 2" xfId="46027"/>
    <cellStyle name="Input 4 7 2 8 3" xfId="49933"/>
    <cellStyle name="Input 4 7 2 9" xfId="39903"/>
    <cellStyle name="Input 4 7 3" xfId="53162"/>
    <cellStyle name="Input 4 8" xfId="2006"/>
    <cellStyle name="Input 4 8 2" xfId="7164"/>
    <cellStyle name="Input 4 8 2 10" xfId="43510"/>
    <cellStyle name="Input 4 8 2 2" xfId="10691"/>
    <cellStyle name="Input 4 8 2 2 2" xfId="18478"/>
    <cellStyle name="Input 4 8 2 2 2 2" xfId="44010"/>
    <cellStyle name="Input 4 8 2 2 2 3" xfId="47919"/>
    <cellStyle name="Input 4 8 2 2 2 4" xfId="36101"/>
    <cellStyle name="Input 4 8 2 2 3" xfId="19591"/>
    <cellStyle name="Input 4 8 2 2 3 2" xfId="45113"/>
    <cellStyle name="Input 4 8 2 2 3 3" xfId="49019"/>
    <cellStyle name="Input 4 8 2 2 3 4" xfId="37117"/>
    <cellStyle name="Input 4 8 2 2 4" xfId="12601"/>
    <cellStyle name="Input 4 8 2 2 4 2" xfId="42061"/>
    <cellStyle name="Input 4 8 2 2 4 3" xfId="40525"/>
    <cellStyle name="Input 4 8 2 2 4 4" xfId="30253"/>
    <cellStyle name="Input 4 8 2 2 5" xfId="20891"/>
    <cellStyle name="Input 4 8 2 2 5 2" xfId="46413"/>
    <cellStyle name="Input 4 8 2 2 5 3" xfId="50319"/>
    <cellStyle name="Input 4 8 2 2 5 4" xfId="38283"/>
    <cellStyle name="Input 4 8 2 2 6" xfId="21544"/>
    <cellStyle name="Input 4 8 2 2 6 2" xfId="47066"/>
    <cellStyle name="Input 4 8 2 2 6 3" xfId="50972"/>
    <cellStyle name="Input 4 8 2 2 7" xfId="40869"/>
    <cellStyle name="Input 4 8 2 2 8" xfId="42715"/>
    <cellStyle name="Input 4 8 2 3" xfId="10986"/>
    <cellStyle name="Input 4 8 2 3 2" xfId="18773"/>
    <cellStyle name="Input 4 8 2 3 2 2" xfId="44305"/>
    <cellStyle name="Input 4 8 2 3 2 3" xfId="48214"/>
    <cellStyle name="Input 4 8 2 3 2 4" xfId="36396"/>
    <cellStyle name="Input 4 8 2 3 3" xfId="19380"/>
    <cellStyle name="Input 4 8 2 3 3 2" xfId="44902"/>
    <cellStyle name="Input 4 8 2 3 3 3" xfId="48808"/>
    <cellStyle name="Input 4 8 2 3 3 4" xfId="36931"/>
    <cellStyle name="Input 4 8 2 3 4" xfId="19448"/>
    <cellStyle name="Input 4 8 2 3 4 2" xfId="44970"/>
    <cellStyle name="Input 4 8 2 3 4 3" xfId="48876"/>
    <cellStyle name="Input 4 8 2 3 4 4" xfId="36993"/>
    <cellStyle name="Input 4 8 2 3 5" xfId="21186"/>
    <cellStyle name="Input 4 8 2 3 5 2" xfId="46708"/>
    <cellStyle name="Input 4 8 2 3 5 3" xfId="50614"/>
    <cellStyle name="Input 4 8 2 3 5 4" xfId="38578"/>
    <cellStyle name="Input 4 8 2 3 6" xfId="21839"/>
    <cellStyle name="Input 4 8 2 3 6 2" xfId="47361"/>
    <cellStyle name="Input 4 8 2 3 6 3" xfId="51267"/>
    <cellStyle name="Input 4 8 2 3 7" xfId="41164"/>
    <cellStyle name="Input 4 8 2 3 8" xfId="40342"/>
    <cellStyle name="Input 4 8 2 4" xfId="14946"/>
    <cellStyle name="Input 4 8 2 4 2" xfId="43044"/>
    <cellStyle name="Input 4 8 2 4 3" xfId="43529"/>
    <cellStyle name="Input 4 8 2 4 4" xfId="32567"/>
    <cellStyle name="Input 4 8 2 5" xfId="13170"/>
    <cellStyle name="Input 4 8 2 5 2" xfId="42372"/>
    <cellStyle name="Input 4 8 2 5 3" xfId="39051"/>
    <cellStyle name="Input 4 8 2 5 4" xfId="30805"/>
    <cellStyle name="Input 4 8 2 6" xfId="11845"/>
    <cellStyle name="Input 4 8 2 6 2" xfId="41743"/>
    <cellStyle name="Input 4 8 2 6 3" xfId="40175"/>
    <cellStyle name="Input 4 8 2 6 4" xfId="29515"/>
    <cellStyle name="Input 4 8 2 7" xfId="20316"/>
    <cellStyle name="Input 4 8 2 7 2" xfId="45838"/>
    <cellStyle name="Input 4 8 2 7 3" xfId="49744"/>
    <cellStyle name="Input 4 8 2 7 4" xfId="37766"/>
    <cellStyle name="Input 4 8 2 8" xfId="12600"/>
    <cellStyle name="Input 4 8 2 8 2" xfId="42060"/>
    <cellStyle name="Input 4 8 2 8 3" xfId="43666"/>
    <cellStyle name="Input 4 8 2 9" xfId="39904"/>
    <cellStyle name="Input 4 8 3" xfId="53163"/>
    <cellStyle name="Input 4 9" xfId="2007"/>
    <cellStyle name="Input 4 9 2" xfId="7165"/>
    <cellStyle name="Input 4 9 2 10" xfId="40373"/>
    <cellStyle name="Input 4 9 2 2" xfId="10692"/>
    <cellStyle name="Input 4 9 2 2 2" xfId="18479"/>
    <cellStyle name="Input 4 9 2 2 2 2" xfId="44011"/>
    <cellStyle name="Input 4 9 2 2 2 3" xfId="47920"/>
    <cellStyle name="Input 4 9 2 2 2 4" xfId="36102"/>
    <cellStyle name="Input 4 9 2 2 3" xfId="20145"/>
    <cellStyle name="Input 4 9 2 2 3 2" xfId="45667"/>
    <cellStyle name="Input 4 9 2 2 3 3" xfId="49573"/>
    <cellStyle name="Input 4 9 2 2 3 4" xfId="37617"/>
    <cellStyle name="Input 4 9 2 2 4" xfId="11532"/>
    <cellStyle name="Input 4 9 2 2 4 2" xfId="41523"/>
    <cellStyle name="Input 4 9 2 2 4 3" xfId="40537"/>
    <cellStyle name="Input 4 9 2 2 4 4" xfId="29232"/>
    <cellStyle name="Input 4 9 2 2 5" xfId="20892"/>
    <cellStyle name="Input 4 9 2 2 5 2" xfId="46414"/>
    <cellStyle name="Input 4 9 2 2 5 3" xfId="50320"/>
    <cellStyle name="Input 4 9 2 2 5 4" xfId="38284"/>
    <cellStyle name="Input 4 9 2 2 6" xfId="21545"/>
    <cellStyle name="Input 4 9 2 2 6 2" xfId="47067"/>
    <cellStyle name="Input 4 9 2 2 6 3" xfId="50973"/>
    <cellStyle name="Input 4 9 2 2 7" xfId="40870"/>
    <cellStyle name="Input 4 9 2 2 8" xfId="43604"/>
    <cellStyle name="Input 4 9 2 3" xfId="10987"/>
    <cellStyle name="Input 4 9 2 3 2" xfId="18774"/>
    <cellStyle name="Input 4 9 2 3 2 2" xfId="44306"/>
    <cellStyle name="Input 4 9 2 3 2 3" xfId="48215"/>
    <cellStyle name="Input 4 9 2 3 2 4" xfId="36397"/>
    <cellStyle name="Input 4 9 2 3 3" xfId="19987"/>
    <cellStyle name="Input 4 9 2 3 3 2" xfId="45509"/>
    <cellStyle name="Input 4 9 2 3 3 3" xfId="49415"/>
    <cellStyle name="Input 4 9 2 3 3 4" xfId="37471"/>
    <cellStyle name="Input 4 9 2 3 4" xfId="19625"/>
    <cellStyle name="Input 4 9 2 3 4 2" xfId="45147"/>
    <cellStyle name="Input 4 9 2 3 4 3" xfId="49053"/>
    <cellStyle name="Input 4 9 2 3 4 4" xfId="37148"/>
    <cellStyle name="Input 4 9 2 3 5" xfId="21187"/>
    <cellStyle name="Input 4 9 2 3 5 2" xfId="46709"/>
    <cellStyle name="Input 4 9 2 3 5 3" xfId="50615"/>
    <cellStyle name="Input 4 9 2 3 5 4" xfId="38579"/>
    <cellStyle name="Input 4 9 2 3 6" xfId="21840"/>
    <cellStyle name="Input 4 9 2 3 6 2" xfId="47362"/>
    <cellStyle name="Input 4 9 2 3 6 3" xfId="51268"/>
    <cellStyle name="Input 4 9 2 3 7" xfId="41165"/>
    <cellStyle name="Input 4 9 2 3 8" xfId="39454"/>
    <cellStyle name="Input 4 9 2 4" xfId="14947"/>
    <cellStyle name="Input 4 9 2 4 2" xfId="43045"/>
    <cellStyle name="Input 4 9 2 4 3" xfId="40390"/>
    <cellStyle name="Input 4 9 2 4 4" xfId="32568"/>
    <cellStyle name="Input 4 9 2 5" xfId="13171"/>
    <cellStyle name="Input 4 9 2 5 2" xfId="42373"/>
    <cellStyle name="Input 4 9 2 5 3" xfId="39263"/>
    <cellStyle name="Input 4 9 2 5 4" xfId="30806"/>
    <cellStyle name="Input 4 9 2 6" xfId="20046"/>
    <cellStyle name="Input 4 9 2 6 2" xfId="45568"/>
    <cellStyle name="Input 4 9 2 6 3" xfId="49474"/>
    <cellStyle name="Input 4 9 2 6 4" xfId="37527"/>
    <cellStyle name="Input 4 9 2 7" xfId="18882"/>
    <cellStyle name="Input 4 9 2 7 2" xfId="44404"/>
    <cellStyle name="Input 4 9 2 7 3" xfId="48310"/>
    <cellStyle name="Input 4 9 2 7 4" xfId="36504"/>
    <cellStyle name="Input 4 9 2 8" xfId="13295"/>
    <cellStyle name="Input 4 9 2 8 2" xfId="42446"/>
    <cellStyle name="Input 4 9 2 8 3" xfId="42654"/>
    <cellStyle name="Input 4 9 2 9" xfId="39905"/>
    <cellStyle name="Input 4 9 3" xfId="53337"/>
    <cellStyle name="Input 4_Sheet1" xfId="2008"/>
    <cellStyle name="Input 40" xfId="2009"/>
    <cellStyle name="Input 40 2" xfId="22467"/>
    <cellStyle name="Input 40 2 2" xfId="47511"/>
    <cellStyle name="Input 40 2 3" xfId="51365"/>
    <cellStyle name="Input 40 2 4" xfId="38807"/>
    <cellStyle name="Input 40 3" xfId="23031"/>
    <cellStyle name="Input 40 3 2" xfId="47618"/>
    <cellStyle name="Input 40 3 3" xfId="51429"/>
    <cellStyle name="Input 40 4" xfId="53164"/>
    <cellStyle name="Input 41" xfId="2010"/>
    <cellStyle name="Input 41 2" xfId="7166"/>
    <cellStyle name="Input 41 2 10" xfId="39485"/>
    <cellStyle name="Input 41 2 2" xfId="10693"/>
    <cellStyle name="Input 41 2 2 2" xfId="18480"/>
    <cellStyle name="Input 41 2 2 2 2" xfId="44012"/>
    <cellStyle name="Input 41 2 2 2 3" xfId="47921"/>
    <cellStyle name="Input 41 2 2 2 4" xfId="36103"/>
    <cellStyle name="Input 41 2 2 3" xfId="19404"/>
    <cellStyle name="Input 41 2 2 3 2" xfId="44926"/>
    <cellStyle name="Input 41 2 2 3 3" xfId="48832"/>
    <cellStyle name="Input 41 2 2 3 4" xfId="36955"/>
    <cellStyle name="Input 41 2 2 4" xfId="20369"/>
    <cellStyle name="Input 41 2 2 4 2" xfId="45891"/>
    <cellStyle name="Input 41 2 2 4 3" xfId="49797"/>
    <cellStyle name="Input 41 2 2 4 4" xfId="37809"/>
    <cellStyle name="Input 41 2 2 5" xfId="20893"/>
    <cellStyle name="Input 41 2 2 5 2" xfId="46415"/>
    <cellStyle name="Input 41 2 2 5 3" xfId="50321"/>
    <cellStyle name="Input 41 2 2 5 4" xfId="38285"/>
    <cellStyle name="Input 41 2 2 6" xfId="21546"/>
    <cellStyle name="Input 41 2 2 6 2" xfId="47068"/>
    <cellStyle name="Input 41 2 2 6 3" xfId="50974"/>
    <cellStyle name="Input 41 2 2 7" xfId="40871"/>
    <cellStyle name="Input 41 2 2 8" xfId="40462"/>
    <cellStyle name="Input 41 2 3" xfId="10988"/>
    <cellStyle name="Input 41 2 3 2" xfId="18775"/>
    <cellStyle name="Input 41 2 3 2 2" xfId="44307"/>
    <cellStyle name="Input 41 2 3 2 3" xfId="48216"/>
    <cellStyle name="Input 41 2 3 2 4" xfId="36398"/>
    <cellStyle name="Input 41 2 3 3" xfId="19253"/>
    <cellStyle name="Input 41 2 3 3 2" xfId="44775"/>
    <cellStyle name="Input 41 2 3 3 3" xfId="48681"/>
    <cellStyle name="Input 41 2 3 3 4" xfId="36817"/>
    <cellStyle name="Input 41 2 3 4" xfId="11570"/>
    <cellStyle name="Input 41 2 3 4 2" xfId="41561"/>
    <cellStyle name="Input 41 2 3 4 3" xfId="43574"/>
    <cellStyle name="Input 41 2 3 4 4" xfId="29267"/>
    <cellStyle name="Input 41 2 3 5" xfId="21188"/>
    <cellStyle name="Input 41 2 3 5 2" xfId="46710"/>
    <cellStyle name="Input 41 2 3 5 3" xfId="50616"/>
    <cellStyle name="Input 41 2 3 5 4" xfId="38580"/>
    <cellStyle name="Input 41 2 3 6" xfId="21841"/>
    <cellStyle name="Input 41 2 3 6 2" xfId="47363"/>
    <cellStyle name="Input 41 2 3 6 3" xfId="51269"/>
    <cellStyle name="Input 41 2 3 7" xfId="41166"/>
    <cellStyle name="Input 41 2 3 8" xfId="42022"/>
    <cellStyle name="Input 41 2 4" xfId="14948"/>
    <cellStyle name="Input 41 2 4 2" xfId="43046"/>
    <cellStyle name="Input 41 2 4 3" xfId="39499"/>
    <cellStyle name="Input 41 2 4 4" xfId="32569"/>
    <cellStyle name="Input 41 2 5" xfId="13172"/>
    <cellStyle name="Input 41 2 5 2" xfId="42374"/>
    <cellStyle name="Input 41 2 5 3" xfId="39262"/>
    <cellStyle name="Input 41 2 5 4" xfId="30807"/>
    <cellStyle name="Input 41 2 6" xfId="12037"/>
    <cellStyle name="Input 41 2 6 2" xfId="41773"/>
    <cellStyle name="Input 41 2 6 3" xfId="47476"/>
    <cellStyle name="Input 41 2 6 4" xfId="29702"/>
    <cellStyle name="Input 41 2 7" xfId="20451"/>
    <cellStyle name="Input 41 2 7 2" xfId="45973"/>
    <cellStyle name="Input 41 2 7 3" xfId="49879"/>
    <cellStyle name="Input 41 2 7 4" xfId="37890"/>
    <cellStyle name="Input 41 2 8" xfId="12022"/>
    <cellStyle name="Input 41 2 8 2" xfId="41759"/>
    <cellStyle name="Input 41 2 8 3" xfId="43312"/>
    <cellStyle name="Input 41 2 9" xfId="39906"/>
    <cellStyle name="Input 41 3" xfId="22468"/>
    <cellStyle name="Input 41 3 2" xfId="47512"/>
    <cellStyle name="Input 41 3 3" xfId="51366"/>
    <cellStyle name="Input 41 3 4" xfId="38808"/>
    <cellStyle name="Input 41 4" xfId="23032"/>
    <cellStyle name="Input 41 4 2" xfId="47619"/>
    <cellStyle name="Input 41 4 3" xfId="51430"/>
    <cellStyle name="Input 41 5" xfId="53165"/>
    <cellStyle name="Input 42" xfId="2011"/>
    <cellStyle name="Input 42 2" xfId="7167"/>
    <cellStyle name="Input 42 2 10" xfId="42166"/>
    <cellStyle name="Input 42 2 2" xfId="10694"/>
    <cellStyle name="Input 42 2 2 2" xfId="18481"/>
    <cellStyle name="Input 42 2 2 2 2" xfId="44013"/>
    <cellStyle name="Input 42 2 2 2 3" xfId="47922"/>
    <cellStyle name="Input 42 2 2 2 4" xfId="36104"/>
    <cellStyle name="Input 42 2 2 3" xfId="20011"/>
    <cellStyle name="Input 42 2 2 3 2" xfId="45533"/>
    <cellStyle name="Input 42 2 2 3 3" xfId="49439"/>
    <cellStyle name="Input 42 2 2 3 4" xfId="37495"/>
    <cellStyle name="Input 42 2 2 4" xfId="19782"/>
    <cellStyle name="Input 42 2 2 4 2" xfId="45304"/>
    <cellStyle name="Input 42 2 2 4 3" xfId="49210"/>
    <cellStyle name="Input 42 2 2 4 4" xfId="37291"/>
    <cellStyle name="Input 42 2 2 5" xfId="20894"/>
    <cellStyle name="Input 42 2 2 5 2" xfId="46416"/>
    <cellStyle name="Input 42 2 2 5 3" xfId="50322"/>
    <cellStyle name="Input 42 2 2 5 4" xfId="38286"/>
    <cellStyle name="Input 42 2 2 6" xfId="21547"/>
    <cellStyle name="Input 42 2 2 6 2" xfId="47069"/>
    <cellStyle name="Input 42 2 2 6 3" xfId="50975"/>
    <cellStyle name="Input 42 2 2 7" xfId="40872"/>
    <cellStyle name="Input 42 2 2 8" xfId="39572"/>
    <cellStyle name="Input 42 2 3" xfId="10989"/>
    <cellStyle name="Input 42 2 3 2" xfId="18776"/>
    <cellStyle name="Input 42 2 3 2 2" xfId="44308"/>
    <cellStyle name="Input 42 2 3 2 3" xfId="48217"/>
    <cellStyle name="Input 42 2 3 2 4" xfId="36399"/>
    <cellStyle name="Input 42 2 3 3" xfId="19862"/>
    <cellStyle name="Input 42 2 3 3 2" xfId="45384"/>
    <cellStyle name="Input 42 2 3 3 3" xfId="49290"/>
    <cellStyle name="Input 42 2 3 3 4" xfId="37362"/>
    <cellStyle name="Input 42 2 3 4" xfId="12134"/>
    <cellStyle name="Input 42 2 3 4 2" xfId="41859"/>
    <cellStyle name="Input 42 2 3 4 3" xfId="39536"/>
    <cellStyle name="Input 42 2 3 4 4" xfId="29792"/>
    <cellStyle name="Input 42 2 3 5" xfId="21189"/>
    <cellStyle name="Input 42 2 3 5 2" xfId="46711"/>
    <cellStyle name="Input 42 2 3 5 3" xfId="50617"/>
    <cellStyle name="Input 42 2 3 5 4" xfId="38581"/>
    <cellStyle name="Input 42 2 3 6" xfId="21842"/>
    <cellStyle name="Input 42 2 3 6 2" xfId="47364"/>
    <cellStyle name="Input 42 2 3 6 3" xfId="51270"/>
    <cellStyle name="Input 42 2 3 7" xfId="41167"/>
    <cellStyle name="Input 42 2 3 8" xfId="43341"/>
    <cellStyle name="Input 42 2 4" xfId="14949"/>
    <cellStyle name="Input 42 2 4 2" xfId="43047"/>
    <cellStyle name="Input 42 2 4 3" xfId="42509"/>
    <cellStyle name="Input 42 2 4 4" xfId="32570"/>
    <cellStyle name="Input 42 2 5" xfId="13173"/>
    <cellStyle name="Input 42 2 5 2" xfId="42375"/>
    <cellStyle name="Input 42 2 5 3" xfId="39261"/>
    <cellStyle name="Input 42 2 5 4" xfId="30808"/>
    <cellStyle name="Input 42 2 6" xfId="19760"/>
    <cellStyle name="Input 42 2 6 2" xfId="45282"/>
    <cellStyle name="Input 42 2 6 3" xfId="49188"/>
    <cellStyle name="Input 42 2 6 4" xfId="37273"/>
    <cellStyle name="Input 42 2 7" xfId="20509"/>
    <cellStyle name="Input 42 2 7 2" xfId="46031"/>
    <cellStyle name="Input 42 2 7 3" xfId="49937"/>
    <cellStyle name="Input 42 2 7 4" xfId="37928"/>
    <cellStyle name="Input 42 2 8" xfId="19957"/>
    <cellStyle name="Input 42 2 8 2" xfId="45479"/>
    <cellStyle name="Input 42 2 8 3" xfId="49385"/>
    <cellStyle name="Input 42 2 9" xfId="39907"/>
    <cellStyle name="Input 42 3" xfId="22469"/>
    <cellStyle name="Input 42 3 2" xfId="47513"/>
    <cellStyle name="Input 42 3 3" xfId="51367"/>
    <cellStyle name="Input 42 3 4" xfId="38809"/>
    <cellStyle name="Input 42 4" xfId="23033"/>
    <cellStyle name="Input 42 4 2" xfId="47620"/>
    <cellStyle name="Input 42 4 3" xfId="51431"/>
    <cellStyle name="Input 42 5" xfId="53166"/>
    <cellStyle name="Input 43" xfId="2012"/>
    <cellStyle name="Input 43 2" xfId="7168"/>
    <cellStyle name="Input 43 2 10" xfId="43393"/>
    <cellStyle name="Input 43 2 2" xfId="10695"/>
    <cellStyle name="Input 43 2 2 2" xfId="18482"/>
    <cellStyle name="Input 43 2 2 2 2" xfId="44014"/>
    <cellStyle name="Input 43 2 2 2 3" xfId="47923"/>
    <cellStyle name="Input 43 2 2 2 4" xfId="36105"/>
    <cellStyle name="Input 43 2 2 3" xfId="19277"/>
    <cellStyle name="Input 43 2 2 3 2" xfId="44799"/>
    <cellStyle name="Input 43 2 2 3 3" xfId="48705"/>
    <cellStyle name="Input 43 2 2 3 4" xfId="36841"/>
    <cellStyle name="Input 43 2 2 4" xfId="18913"/>
    <cellStyle name="Input 43 2 2 4 2" xfId="44435"/>
    <cellStyle name="Input 43 2 2 4 3" xfId="48341"/>
    <cellStyle name="Input 43 2 2 4 4" xfId="36527"/>
    <cellStyle name="Input 43 2 2 5" xfId="20895"/>
    <cellStyle name="Input 43 2 2 5 2" xfId="46417"/>
    <cellStyle name="Input 43 2 2 5 3" xfId="50323"/>
    <cellStyle name="Input 43 2 2 5 4" xfId="38287"/>
    <cellStyle name="Input 43 2 2 6" xfId="21548"/>
    <cellStyle name="Input 43 2 2 6 2" xfId="47070"/>
    <cellStyle name="Input 43 2 2 6 3" xfId="50976"/>
    <cellStyle name="Input 43 2 2 7" xfId="40873"/>
    <cellStyle name="Input 43 2 2 8" xfId="42580"/>
    <cellStyle name="Input 43 2 3" xfId="10990"/>
    <cellStyle name="Input 43 2 3 2" xfId="18777"/>
    <cellStyle name="Input 43 2 3 2 2" xfId="44309"/>
    <cellStyle name="Input 43 2 3 2 3" xfId="48218"/>
    <cellStyle name="Input 43 2 3 2 4" xfId="36400"/>
    <cellStyle name="Input 43 2 3 3" xfId="19085"/>
    <cellStyle name="Input 43 2 3 3 2" xfId="44607"/>
    <cellStyle name="Input 43 2 3 3 3" xfId="48513"/>
    <cellStyle name="Input 43 2 3 3 4" xfId="36666"/>
    <cellStyle name="Input 43 2 3 4" xfId="20111"/>
    <cellStyle name="Input 43 2 3 4 2" xfId="45633"/>
    <cellStyle name="Input 43 2 3 4 3" xfId="49539"/>
    <cellStyle name="Input 43 2 3 4 4" xfId="37583"/>
    <cellStyle name="Input 43 2 3 5" xfId="21190"/>
    <cellStyle name="Input 43 2 3 5 2" xfId="46712"/>
    <cellStyle name="Input 43 2 3 5 3" xfId="50618"/>
    <cellStyle name="Input 43 2 3 5 4" xfId="38582"/>
    <cellStyle name="Input 43 2 3 6" xfId="21843"/>
    <cellStyle name="Input 43 2 3 6 2" xfId="47365"/>
    <cellStyle name="Input 43 2 3 6 3" xfId="51271"/>
    <cellStyle name="Input 43 2 3 7" xfId="41168"/>
    <cellStyle name="Input 43 2 3 8" xfId="40203"/>
    <cellStyle name="Input 43 2 4" xfId="14950"/>
    <cellStyle name="Input 43 2 4 2" xfId="43048"/>
    <cellStyle name="Input 43 2 4 3" xfId="43420"/>
    <cellStyle name="Input 43 2 4 4" xfId="32571"/>
    <cellStyle name="Input 43 2 5" xfId="12020"/>
    <cellStyle name="Input 43 2 5 2" xfId="41757"/>
    <cellStyle name="Input 43 2 5 3" xfId="40037"/>
    <cellStyle name="Input 43 2 5 4" xfId="29688"/>
    <cellStyle name="Input 43 2 6" xfId="12127"/>
    <cellStyle name="Input 43 2 6 2" xfId="41852"/>
    <cellStyle name="Input 43 2 6 3" xfId="43669"/>
    <cellStyle name="Input 43 2 6 4" xfId="29786"/>
    <cellStyle name="Input 43 2 7" xfId="19794"/>
    <cellStyle name="Input 43 2 7 2" xfId="45316"/>
    <cellStyle name="Input 43 2 7 3" xfId="49222"/>
    <cellStyle name="Input 43 2 7 4" xfId="37301"/>
    <cellStyle name="Input 43 2 8" xfId="20040"/>
    <cellStyle name="Input 43 2 8 2" xfId="45562"/>
    <cellStyle name="Input 43 2 8 3" xfId="49468"/>
    <cellStyle name="Input 43 2 9" xfId="39908"/>
    <cellStyle name="Input 43 3" xfId="22470"/>
    <cellStyle name="Input 43 3 2" xfId="47514"/>
    <cellStyle name="Input 43 3 3" xfId="51368"/>
    <cellStyle name="Input 43 3 4" xfId="38810"/>
    <cellStyle name="Input 43 4" xfId="23034"/>
    <cellStyle name="Input 43 4 2" xfId="47621"/>
    <cellStyle name="Input 43 4 3" xfId="51432"/>
    <cellStyle name="Input 43 5" xfId="53167"/>
    <cellStyle name="Input 44" xfId="22471"/>
    <cellStyle name="Input 44 2" xfId="23035"/>
    <cellStyle name="Input 44 2 2" xfId="47622"/>
    <cellStyle name="Input 44 2 3" xfId="51433"/>
    <cellStyle name="Input 44 3" xfId="47515"/>
    <cellStyle name="Input 44 4" xfId="51369"/>
    <cellStyle name="Input 44 5" xfId="53168"/>
    <cellStyle name="Input 45" xfId="22472"/>
    <cellStyle name="Input 45 2" xfId="23036"/>
    <cellStyle name="Input 45 2 2" xfId="47623"/>
    <cellStyle name="Input 45 2 3" xfId="51434"/>
    <cellStyle name="Input 45 3" xfId="47516"/>
    <cellStyle name="Input 45 4" xfId="51370"/>
    <cellStyle name="Input 45 5" xfId="53169"/>
    <cellStyle name="Input 46" xfId="22473"/>
    <cellStyle name="Input 46 2" xfId="23037"/>
    <cellStyle name="Input 46 2 2" xfId="47624"/>
    <cellStyle name="Input 46 2 3" xfId="51435"/>
    <cellStyle name="Input 46 3" xfId="47517"/>
    <cellStyle name="Input 46 4" xfId="51371"/>
    <cellStyle name="Input 46 5" xfId="53170"/>
    <cellStyle name="Input 47" xfId="22474"/>
    <cellStyle name="Input 47 2" xfId="23038"/>
    <cellStyle name="Input 47 2 2" xfId="47625"/>
    <cellStyle name="Input 47 2 3" xfId="51436"/>
    <cellStyle name="Input 47 3" xfId="47518"/>
    <cellStyle name="Input 47 4" xfId="51372"/>
    <cellStyle name="Input 47 5" xfId="53171"/>
    <cellStyle name="Input 48" xfId="22475"/>
    <cellStyle name="Input 48 2" xfId="23039"/>
    <cellStyle name="Input 48 2 2" xfId="47626"/>
    <cellStyle name="Input 48 2 3" xfId="51437"/>
    <cellStyle name="Input 48 3" xfId="47519"/>
    <cellStyle name="Input 48 4" xfId="51373"/>
    <cellStyle name="Input 48 5" xfId="53172"/>
    <cellStyle name="Input 49" xfId="22659"/>
    <cellStyle name="Input 5" xfId="2013"/>
    <cellStyle name="Input 5 2" xfId="2014"/>
    <cellStyle name="Input 5 2 2" xfId="2015"/>
    <cellStyle name="Input 5 2 2 2" xfId="7171"/>
    <cellStyle name="Input 5 2 2 2 10" xfId="39211"/>
    <cellStyle name="Input 5 2 2 2 2" xfId="10698"/>
    <cellStyle name="Input 5 2 2 2 2 2" xfId="18485"/>
    <cellStyle name="Input 5 2 2 2 2 2 2" xfId="44017"/>
    <cellStyle name="Input 5 2 2 2 2 2 3" xfId="47926"/>
    <cellStyle name="Input 5 2 2 2 2 2 4" xfId="36108"/>
    <cellStyle name="Input 5 2 2 2 2 3" xfId="19725"/>
    <cellStyle name="Input 5 2 2 2 2 3 2" xfId="45247"/>
    <cellStyle name="Input 5 2 2 2 2 3 3" xfId="49153"/>
    <cellStyle name="Input 5 2 2 2 2 3 4" xfId="37238"/>
    <cellStyle name="Input 5 2 2 2 2 4" xfId="20225"/>
    <cellStyle name="Input 5 2 2 2 2 4 2" xfId="45747"/>
    <cellStyle name="Input 5 2 2 2 2 4 3" xfId="49653"/>
    <cellStyle name="Input 5 2 2 2 2 4 4" xfId="37684"/>
    <cellStyle name="Input 5 2 2 2 2 5" xfId="20898"/>
    <cellStyle name="Input 5 2 2 2 2 5 2" xfId="46420"/>
    <cellStyle name="Input 5 2 2 2 2 5 3" xfId="50326"/>
    <cellStyle name="Input 5 2 2 2 2 5 4" xfId="38290"/>
    <cellStyle name="Input 5 2 2 2 2 6" xfId="21551"/>
    <cellStyle name="Input 5 2 2 2 2 6 2" xfId="47073"/>
    <cellStyle name="Input 5 2 2 2 2 6 3" xfId="50979"/>
    <cellStyle name="Input 5 2 2 2 2 7" xfId="40876"/>
    <cellStyle name="Input 5 2 2 2 2 8" xfId="39468"/>
    <cellStyle name="Input 5 2 2 2 3" xfId="10993"/>
    <cellStyle name="Input 5 2 2 2 3 2" xfId="18780"/>
    <cellStyle name="Input 5 2 2 2 3 2 2" xfId="44312"/>
    <cellStyle name="Input 5 2 2 2 3 2 3" xfId="48221"/>
    <cellStyle name="Input 5 2 2 2 3 2 4" xfId="36403"/>
    <cellStyle name="Input 5 2 2 2 3 3" xfId="13352"/>
    <cellStyle name="Input 5 2 2 2 3 3 2" xfId="42503"/>
    <cellStyle name="Input 5 2 2 2 3 3 3" xfId="43541"/>
    <cellStyle name="Input 5 2 2 2 3 3 4" xfId="30978"/>
    <cellStyle name="Input 5 2 2 2 3 4" xfId="20282"/>
    <cellStyle name="Input 5 2 2 2 3 4 2" xfId="45804"/>
    <cellStyle name="Input 5 2 2 2 3 4 3" xfId="49710"/>
    <cellStyle name="Input 5 2 2 2 3 4 4" xfId="37734"/>
    <cellStyle name="Input 5 2 2 2 3 5" xfId="21193"/>
    <cellStyle name="Input 5 2 2 2 3 5 2" xfId="46715"/>
    <cellStyle name="Input 5 2 2 2 3 5 3" xfId="50621"/>
    <cellStyle name="Input 5 2 2 2 3 5 4" xfId="38585"/>
    <cellStyle name="Input 5 2 2 2 3 6" xfId="21846"/>
    <cellStyle name="Input 5 2 2 2 3 6 2" xfId="47368"/>
    <cellStyle name="Input 5 2 2 2 3 6 3" xfId="51274"/>
    <cellStyle name="Input 5 2 2 2 3 7" xfId="41171"/>
    <cellStyle name="Input 5 2 2 2 3 8" xfId="47486"/>
    <cellStyle name="Input 5 2 2 2 4" xfId="14953"/>
    <cellStyle name="Input 5 2 2 2 4 2" xfId="43051"/>
    <cellStyle name="Input 5 2 2 2 4 3" xfId="41911"/>
    <cellStyle name="Input 5 2 2 2 4 4" xfId="32574"/>
    <cellStyle name="Input 5 2 2 2 5" xfId="13176"/>
    <cellStyle name="Input 5 2 2 2 5 2" xfId="42378"/>
    <cellStyle name="Input 5 2 2 2 5 3" xfId="39048"/>
    <cellStyle name="Input 5 2 2 2 5 4" xfId="30811"/>
    <cellStyle name="Input 5 2 2 2 6" xfId="19927"/>
    <cellStyle name="Input 5 2 2 2 6 2" xfId="45449"/>
    <cellStyle name="Input 5 2 2 2 6 3" xfId="49355"/>
    <cellStyle name="Input 5 2 2 2 6 4" xfId="37422"/>
    <cellStyle name="Input 5 2 2 2 7" xfId="11562"/>
    <cellStyle name="Input 5 2 2 2 7 2" xfId="41553"/>
    <cellStyle name="Input 5 2 2 2 7 3" xfId="41366"/>
    <cellStyle name="Input 5 2 2 2 7 4" xfId="29259"/>
    <cellStyle name="Input 5 2 2 2 8" xfId="19321"/>
    <cellStyle name="Input 5 2 2 2 8 2" xfId="44843"/>
    <cellStyle name="Input 5 2 2 2 8 3" xfId="48749"/>
    <cellStyle name="Input 5 2 2 2 9" xfId="39911"/>
    <cellStyle name="Input 5 2 2 3" xfId="53175"/>
    <cellStyle name="Input 5 2 3" xfId="7170"/>
    <cellStyle name="Input 5 2 3 10" xfId="39382"/>
    <cellStyle name="Input 5 2 3 2" xfId="10697"/>
    <cellStyle name="Input 5 2 3 2 2" xfId="18484"/>
    <cellStyle name="Input 5 2 3 2 2 2" xfId="44016"/>
    <cellStyle name="Input 5 2 3 2 2 3" xfId="47925"/>
    <cellStyle name="Input 5 2 3 2 2 4" xfId="36107"/>
    <cellStyle name="Input 5 2 3 2 3" xfId="19109"/>
    <cellStyle name="Input 5 2 3 2 3 2" xfId="44631"/>
    <cellStyle name="Input 5 2 3 2 3 3" xfId="48537"/>
    <cellStyle name="Input 5 2 3 2 3 4" xfId="36690"/>
    <cellStyle name="Input 5 2 3 2 4" xfId="19854"/>
    <cellStyle name="Input 5 2 3 2 4 2" xfId="45376"/>
    <cellStyle name="Input 5 2 3 2 4 3" xfId="49282"/>
    <cellStyle name="Input 5 2 3 2 4 4" xfId="37354"/>
    <cellStyle name="Input 5 2 3 2 5" xfId="20897"/>
    <cellStyle name="Input 5 2 3 2 5 2" xfId="46419"/>
    <cellStyle name="Input 5 2 3 2 5 3" xfId="50325"/>
    <cellStyle name="Input 5 2 3 2 5 4" xfId="38289"/>
    <cellStyle name="Input 5 2 3 2 6" xfId="21550"/>
    <cellStyle name="Input 5 2 3 2 6 2" xfId="47072"/>
    <cellStyle name="Input 5 2 3 2 6 3" xfId="50978"/>
    <cellStyle name="Input 5 2 3 2 7" xfId="40875"/>
    <cellStyle name="Input 5 2 3 2 8" xfId="40356"/>
    <cellStyle name="Input 5 2 3 3" xfId="10992"/>
    <cellStyle name="Input 5 2 3 3 2" xfId="18779"/>
    <cellStyle name="Input 5 2 3 3 2 2" xfId="44311"/>
    <cellStyle name="Input 5 2 3 3 2 3" xfId="48220"/>
    <cellStyle name="Input 5 2 3 3 2 4" xfId="36402"/>
    <cellStyle name="Input 5 2 3 3 3" xfId="11527"/>
    <cellStyle name="Input 5 2 3 3 3 2" xfId="41518"/>
    <cellStyle name="Input 5 2 3 3 3 3" xfId="41365"/>
    <cellStyle name="Input 5 2 3 3 3 4" xfId="29228"/>
    <cellStyle name="Input 5 2 3 3 4" xfId="13895"/>
    <cellStyle name="Input 5 2 3 3 4 2" xfId="42611"/>
    <cellStyle name="Input 5 2 3 3 4 3" xfId="39510"/>
    <cellStyle name="Input 5 2 3 3 4 4" xfId="31520"/>
    <cellStyle name="Input 5 2 3 3 5" xfId="21192"/>
    <cellStyle name="Input 5 2 3 3 5 2" xfId="46714"/>
    <cellStyle name="Input 5 2 3 3 5 3" xfId="50620"/>
    <cellStyle name="Input 5 2 3 3 5 4" xfId="38584"/>
    <cellStyle name="Input 5 2 3 3 6" xfId="21845"/>
    <cellStyle name="Input 5 2 3 3 6 2" xfId="47367"/>
    <cellStyle name="Input 5 2 3 3 6 3" xfId="51273"/>
    <cellStyle name="Input 5 2 3 3 7" xfId="41170"/>
    <cellStyle name="Input 5 2 3 3 8" xfId="39154"/>
    <cellStyle name="Input 5 2 3 4" xfId="14952"/>
    <cellStyle name="Input 5 2 3 4 2" xfId="43050"/>
    <cellStyle name="Input 5 2 3 4 3" xfId="39399"/>
    <cellStyle name="Input 5 2 3 4 4" xfId="32573"/>
    <cellStyle name="Input 5 2 3 5" xfId="13175"/>
    <cellStyle name="Input 5 2 3 5 2" xfId="42377"/>
    <cellStyle name="Input 5 2 3 5 3" xfId="39049"/>
    <cellStyle name="Input 5 2 3 5 4" xfId="30810"/>
    <cellStyle name="Input 5 2 3 6" xfId="11780"/>
    <cellStyle name="Input 5 2 3 6 2" xfId="41713"/>
    <cellStyle name="Input 5 2 3 6 3" xfId="39312"/>
    <cellStyle name="Input 5 2 3 6 4" xfId="29452"/>
    <cellStyle name="Input 5 2 3 7" xfId="20269"/>
    <cellStyle name="Input 5 2 3 7 2" xfId="45791"/>
    <cellStyle name="Input 5 2 3 7 3" xfId="49697"/>
    <cellStyle name="Input 5 2 3 7 4" xfId="37723"/>
    <cellStyle name="Input 5 2 3 8" xfId="19622"/>
    <cellStyle name="Input 5 2 3 8 2" xfId="45144"/>
    <cellStyle name="Input 5 2 3 8 3" xfId="49050"/>
    <cellStyle name="Input 5 2 3 9" xfId="39910"/>
    <cellStyle name="Input 5 2 4" xfId="53174"/>
    <cellStyle name="Input 5 2_Sheet1" xfId="2016"/>
    <cellStyle name="Input 5 3" xfId="2017"/>
    <cellStyle name="Input 5 3 2" xfId="7172"/>
    <cellStyle name="Input 5 3 2 10" xfId="47571"/>
    <cellStyle name="Input 5 3 2 2" xfId="10699"/>
    <cellStyle name="Input 5 3 2 2 2" xfId="18486"/>
    <cellStyle name="Input 5 3 2 2 2 2" xfId="44018"/>
    <cellStyle name="Input 5 3 2 2 2 3" xfId="47927"/>
    <cellStyle name="Input 5 3 2 2 2 4" xfId="36109"/>
    <cellStyle name="Input 5 3 2 2 3" xfId="11498"/>
    <cellStyle name="Input 5 3 2 2 3 2" xfId="41489"/>
    <cellStyle name="Input 5 3 2 2 3 3" xfId="42555"/>
    <cellStyle name="Input 5 3 2 2 3 4" xfId="29199"/>
    <cellStyle name="Input 5 3 2 2 4" xfId="19207"/>
    <cellStyle name="Input 5 3 2 2 4 2" xfId="44729"/>
    <cellStyle name="Input 5 3 2 2 4 3" xfId="48635"/>
    <cellStyle name="Input 5 3 2 2 4 4" xfId="36778"/>
    <cellStyle name="Input 5 3 2 2 5" xfId="20899"/>
    <cellStyle name="Input 5 3 2 2 5 2" xfId="46421"/>
    <cellStyle name="Input 5 3 2 2 5 3" xfId="50327"/>
    <cellStyle name="Input 5 3 2 2 5 4" xfId="38291"/>
    <cellStyle name="Input 5 3 2 2 6" xfId="21552"/>
    <cellStyle name="Input 5 3 2 2 6 2" xfId="47074"/>
    <cellStyle name="Input 5 3 2 2 6 3" xfId="50980"/>
    <cellStyle name="Input 5 3 2 2 7" xfId="40877"/>
    <cellStyle name="Input 5 3 2 2 8" xfId="42039"/>
    <cellStyle name="Input 5 3 2 3" xfId="10994"/>
    <cellStyle name="Input 5 3 2 3 2" xfId="18781"/>
    <cellStyle name="Input 5 3 2 3 2 2" xfId="44313"/>
    <cellStyle name="Input 5 3 2 3 2 3" xfId="48222"/>
    <cellStyle name="Input 5 3 2 3 2 4" xfId="36404"/>
    <cellStyle name="Input 5 3 2 3 3" xfId="19569"/>
    <cellStyle name="Input 5 3 2 3 3 2" xfId="45091"/>
    <cellStyle name="Input 5 3 2 3 3 3" xfId="48997"/>
    <cellStyle name="Input 5 3 2 3 3 4" xfId="37095"/>
    <cellStyle name="Input 5 3 2 3 4" xfId="12645"/>
    <cellStyle name="Input 5 3 2 3 4 2" xfId="42105"/>
    <cellStyle name="Input 5 3 2 3 4 3" xfId="40420"/>
    <cellStyle name="Input 5 3 2 3 4 4" xfId="30296"/>
    <cellStyle name="Input 5 3 2 3 5" xfId="21194"/>
    <cellStyle name="Input 5 3 2 3 5 2" xfId="46716"/>
    <cellStyle name="Input 5 3 2 3 5 3" xfId="50622"/>
    <cellStyle name="Input 5 3 2 3 5 4" xfId="38586"/>
    <cellStyle name="Input 5 3 2 3 6" xfId="21847"/>
    <cellStyle name="Input 5 3 2 3 6 2" xfId="47369"/>
    <cellStyle name="Input 5 3 2 3 6 3" xfId="51275"/>
    <cellStyle name="Input 5 3 2 3 7" xfId="41172"/>
    <cellStyle name="Input 5 3 2 3 8" xfId="41395"/>
    <cellStyle name="Input 5 3 2 4" xfId="14954"/>
    <cellStyle name="Input 5 3 2 4 2" xfId="43052"/>
    <cellStyle name="Input 5 3 2 4 3" xfId="43265"/>
    <cellStyle name="Input 5 3 2 4 4" xfId="32575"/>
    <cellStyle name="Input 5 3 2 5" xfId="13177"/>
    <cellStyle name="Input 5 3 2 5 2" xfId="42379"/>
    <cellStyle name="Input 5 3 2 5 3" xfId="39047"/>
    <cellStyle name="Input 5 3 2 5 4" xfId="30812"/>
    <cellStyle name="Input 5 3 2 6" xfId="12857"/>
    <cellStyle name="Input 5 3 2 6 2" xfId="42221"/>
    <cellStyle name="Input 5 3 2 6 3" xfId="42531"/>
    <cellStyle name="Input 5 3 2 6 4" xfId="30495"/>
    <cellStyle name="Input 5 3 2 7" xfId="11797"/>
    <cellStyle name="Input 5 3 2 7 2" xfId="41726"/>
    <cellStyle name="Input 5 3 2 7 3" xfId="40038"/>
    <cellStyle name="Input 5 3 2 7 4" xfId="29469"/>
    <cellStyle name="Input 5 3 2 8" xfId="20230"/>
    <cellStyle name="Input 5 3 2 8 2" xfId="45752"/>
    <cellStyle name="Input 5 3 2 8 3" xfId="49658"/>
    <cellStyle name="Input 5 3 2 9" xfId="39912"/>
    <cellStyle name="Input 5 3 3" xfId="53176"/>
    <cellStyle name="Input 5 4" xfId="4242"/>
    <cellStyle name="Input 5 4 2" xfId="10459"/>
    <cellStyle name="Input 5 4 2 2" xfId="18246"/>
    <cellStyle name="Input 5 4 2 2 2" xfId="43778"/>
    <cellStyle name="Input 5 4 2 2 3" xfId="47687"/>
    <cellStyle name="Input 5 4 2 2 4" xfId="35869"/>
    <cellStyle name="Input 5 4 2 3" xfId="19426"/>
    <cellStyle name="Input 5 4 2 3 2" xfId="44948"/>
    <cellStyle name="Input 5 4 2 3 3" xfId="48854"/>
    <cellStyle name="Input 5 4 2 3 4" xfId="36977"/>
    <cellStyle name="Input 5 4 2 4" xfId="20315"/>
    <cellStyle name="Input 5 4 2 4 2" xfId="45837"/>
    <cellStyle name="Input 5 4 2 4 3" xfId="49743"/>
    <cellStyle name="Input 5 4 2 4 4" xfId="37765"/>
    <cellStyle name="Input 5 4 2 5" xfId="20659"/>
    <cellStyle name="Input 5 4 2 5 2" xfId="46181"/>
    <cellStyle name="Input 5 4 2 5 3" xfId="50087"/>
    <cellStyle name="Input 5 4 2 5 4" xfId="38051"/>
    <cellStyle name="Input 5 4 2 6" xfId="21312"/>
    <cellStyle name="Input 5 4 2 6 2" xfId="46834"/>
    <cellStyle name="Input 5 4 2 6 3" xfId="50740"/>
    <cellStyle name="Input 5 4 2 7" xfId="40637"/>
    <cellStyle name="Input 5 4 2 8" xfId="40473"/>
    <cellStyle name="Input 5 4 3" xfId="8462"/>
    <cellStyle name="Input 5 4 3 2" xfId="16252"/>
    <cellStyle name="Input 5 4 3 2 2" xfId="43387"/>
    <cellStyle name="Input 5 4 3 2 3" xfId="39495"/>
    <cellStyle name="Input 5 4 3 2 4" xfId="33873"/>
    <cellStyle name="Input 5 4 3 3" xfId="13892"/>
    <cellStyle name="Input 5 4 3 3 2" xfId="42608"/>
    <cellStyle name="Input 5 4 3 3 3" xfId="42652"/>
    <cellStyle name="Input 5 4 3 3 4" xfId="31518"/>
    <cellStyle name="Input 5 4 3 4" xfId="19508"/>
    <cellStyle name="Input 5 4 3 4 2" xfId="45030"/>
    <cellStyle name="Input 5 4 3 4 3" xfId="48936"/>
    <cellStyle name="Input 5 4 3 4 4" xfId="37042"/>
    <cellStyle name="Input 5 4 3 5" xfId="20085"/>
    <cellStyle name="Input 5 4 3 5 2" xfId="45607"/>
    <cellStyle name="Input 5 4 3 5 3" xfId="49513"/>
    <cellStyle name="Input 5 4 3 5 4" xfId="37560"/>
    <cellStyle name="Input 5 4 3 6" xfId="11432"/>
    <cellStyle name="Input 5 4 3 6 2" xfId="41428"/>
    <cellStyle name="Input 5 4 3 6 3" xfId="40191"/>
    <cellStyle name="Input 5 4 3 7" xfId="40249"/>
    <cellStyle name="Input 5 4 3 8" xfId="39197"/>
    <cellStyle name="Input 5 5" xfId="4243"/>
    <cellStyle name="Input 5 5 2" xfId="10460"/>
    <cellStyle name="Input 5 5 2 2" xfId="18247"/>
    <cellStyle name="Input 5 5 2 2 2" xfId="43779"/>
    <cellStyle name="Input 5 5 2 2 3" xfId="47688"/>
    <cellStyle name="Input 5 5 2 2 4" xfId="35870"/>
    <cellStyle name="Input 5 5 2 3" xfId="20033"/>
    <cellStyle name="Input 5 5 2 3 2" xfId="45555"/>
    <cellStyle name="Input 5 5 2 3 3" xfId="49461"/>
    <cellStyle name="Input 5 5 2 3 4" xfId="37517"/>
    <cellStyle name="Input 5 5 2 4" xfId="11431"/>
    <cellStyle name="Input 5 5 2 4 2" xfId="41427"/>
    <cellStyle name="Input 5 5 2 4 3" xfId="43328"/>
    <cellStyle name="Input 5 5 2 4 4" xfId="29138"/>
    <cellStyle name="Input 5 5 2 5" xfId="20660"/>
    <cellStyle name="Input 5 5 2 5 2" xfId="46182"/>
    <cellStyle name="Input 5 5 2 5 3" xfId="50088"/>
    <cellStyle name="Input 5 5 2 5 4" xfId="38052"/>
    <cellStyle name="Input 5 5 2 6" xfId="21313"/>
    <cellStyle name="Input 5 5 2 6 2" xfId="46835"/>
    <cellStyle name="Input 5 5 2 6 3" xfId="50741"/>
    <cellStyle name="Input 5 5 2 7" xfId="40638"/>
    <cellStyle name="Input 5 5 2 8" xfId="39583"/>
    <cellStyle name="Input 5 5 3" xfId="8463"/>
    <cellStyle name="Input 5 5 3 2" xfId="16253"/>
    <cellStyle name="Input 5 5 3 2 2" xfId="43388"/>
    <cellStyle name="Input 5 5 3 2 3" xfId="42505"/>
    <cellStyle name="Input 5 5 3 2 4" xfId="33874"/>
    <cellStyle name="Input 5 5 3 3" xfId="20378"/>
    <cellStyle name="Input 5 5 3 3 2" xfId="45900"/>
    <cellStyle name="Input 5 5 3 3 3" xfId="49806"/>
    <cellStyle name="Input 5 5 3 3 4" xfId="37818"/>
    <cellStyle name="Input 5 5 3 4" xfId="20522"/>
    <cellStyle name="Input 5 5 3 4 2" xfId="46044"/>
    <cellStyle name="Input 5 5 3 4 3" xfId="49950"/>
    <cellStyle name="Input 5 5 3 4 4" xfId="37936"/>
    <cellStyle name="Input 5 5 3 5" xfId="11472"/>
    <cellStyle name="Input 5 5 3 5 2" xfId="41463"/>
    <cellStyle name="Input 5 5 3 5 3" xfId="40542"/>
    <cellStyle name="Input 5 5 3 5 4" xfId="29174"/>
    <cellStyle name="Input 5 5 3 6" xfId="20039"/>
    <cellStyle name="Input 5 5 3 6 2" xfId="45561"/>
    <cellStyle name="Input 5 5 3 6 3" xfId="49467"/>
    <cellStyle name="Input 5 5 3 7" xfId="40250"/>
    <cellStyle name="Input 5 5 3 8" xfId="39196"/>
    <cellStyle name="Input 5 6" xfId="4244"/>
    <cellStyle name="Input 5 6 2" xfId="10461"/>
    <cellStyle name="Input 5 6 2 2" xfId="18248"/>
    <cellStyle name="Input 5 6 2 2 2" xfId="43780"/>
    <cellStyle name="Input 5 6 2 2 3" xfId="47689"/>
    <cellStyle name="Input 5 6 2 2 4" xfId="35871"/>
    <cellStyle name="Input 5 6 2 3" xfId="19299"/>
    <cellStyle name="Input 5 6 2 3 2" xfId="44821"/>
    <cellStyle name="Input 5 6 2 3 3" xfId="48727"/>
    <cellStyle name="Input 5 6 2 3 4" xfId="36863"/>
    <cellStyle name="Input 5 6 2 4" xfId="19691"/>
    <cellStyle name="Input 5 6 2 4 2" xfId="45213"/>
    <cellStyle name="Input 5 6 2 4 3" xfId="49119"/>
    <cellStyle name="Input 5 6 2 4 4" xfId="37205"/>
    <cellStyle name="Input 5 6 2 5" xfId="20661"/>
    <cellStyle name="Input 5 6 2 5 2" xfId="46183"/>
    <cellStyle name="Input 5 6 2 5 3" xfId="50089"/>
    <cellStyle name="Input 5 6 2 5 4" xfId="38053"/>
    <cellStyle name="Input 5 6 2 6" xfId="21314"/>
    <cellStyle name="Input 5 6 2 6 2" xfId="46836"/>
    <cellStyle name="Input 5 6 2 6 3" xfId="50742"/>
    <cellStyle name="Input 5 6 2 7" xfId="40639"/>
    <cellStyle name="Input 5 6 2 8" xfId="42591"/>
    <cellStyle name="Input 5 6 3" xfId="8464"/>
    <cellStyle name="Input 5 6 3 2" xfId="16254"/>
    <cellStyle name="Input 5 6 3 2 2" xfId="43389"/>
    <cellStyle name="Input 5 6 3 2 3" xfId="43416"/>
    <cellStyle name="Input 5 6 3 2 4" xfId="33875"/>
    <cellStyle name="Input 5 6 3 3" xfId="19637"/>
    <cellStyle name="Input 5 6 3 3 2" xfId="45159"/>
    <cellStyle name="Input 5 6 3 3 3" xfId="49065"/>
    <cellStyle name="Input 5 6 3 3 4" xfId="37158"/>
    <cellStyle name="Input 5 6 3 4" xfId="11219"/>
    <cellStyle name="Input 5 6 3 4 2" xfId="41278"/>
    <cellStyle name="Input 5 6 3 4 3" xfId="39660"/>
    <cellStyle name="Input 5 6 3 4 4" xfId="28933"/>
    <cellStyle name="Input 5 6 3 5" xfId="11669"/>
    <cellStyle name="Input 5 6 3 5 2" xfId="41660"/>
    <cellStyle name="Input 5 6 3 5 3" xfId="43461"/>
    <cellStyle name="Input 5 6 3 5 4" xfId="29349"/>
    <cellStyle name="Input 5 6 3 6" xfId="20503"/>
    <cellStyle name="Input 5 6 3 6 2" xfId="46025"/>
    <cellStyle name="Input 5 6 3 6 3" xfId="49931"/>
    <cellStyle name="Input 5 6 3 7" xfId="40251"/>
    <cellStyle name="Input 5 6 3 8" xfId="39195"/>
    <cellStyle name="Input 5 7" xfId="7169"/>
    <cellStyle name="Input 5 7 10" xfId="40255"/>
    <cellStyle name="Input 5 7 2" xfId="10696"/>
    <cellStyle name="Input 5 7 2 2" xfId="18483"/>
    <cellStyle name="Input 5 7 2 2 2" xfId="44015"/>
    <cellStyle name="Input 5 7 2 2 3" xfId="47924"/>
    <cellStyle name="Input 5 7 2 2 4" xfId="36106"/>
    <cellStyle name="Input 5 7 2 3" xfId="19886"/>
    <cellStyle name="Input 5 7 2 3 2" xfId="45408"/>
    <cellStyle name="Input 5 7 2 3 3" xfId="49314"/>
    <cellStyle name="Input 5 7 2 3 4" xfId="37386"/>
    <cellStyle name="Input 5 7 2 4" xfId="12803"/>
    <cellStyle name="Input 5 7 2 4 2" xfId="42198"/>
    <cellStyle name="Input 5 7 2 4 3" xfId="40158"/>
    <cellStyle name="Input 5 7 2 4 4" xfId="30445"/>
    <cellStyle name="Input 5 7 2 5" xfId="20896"/>
    <cellStyle name="Input 5 7 2 5 2" xfId="46418"/>
    <cellStyle name="Input 5 7 2 5 3" xfId="50324"/>
    <cellStyle name="Input 5 7 2 5 4" xfId="38288"/>
    <cellStyle name="Input 5 7 2 6" xfId="21549"/>
    <cellStyle name="Input 5 7 2 6 2" xfId="47071"/>
    <cellStyle name="Input 5 7 2 6 3" xfId="50977"/>
    <cellStyle name="Input 5 7 2 7" xfId="40874"/>
    <cellStyle name="Input 5 7 2 8" xfId="43493"/>
    <cellStyle name="Input 5 7 3" xfId="10991"/>
    <cellStyle name="Input 5 7 3 2" xfId="18778"/>
    <cellStyle name="Input 5 7 3 2 2" xfId="44310"/>
    <cellStyle name="Input 5 7 3 2 3" xfId="48219"/>
    <cellStyle name="Input 5 7 3 2 4" xfId="36401"/>
    <cellStyle name="Input 5 7 3 3" xfId="19694"/>
    <cellStyle name="Input 5 7 3 3 2" xfId="45216"/>
    <cellStyle name="Input 5 7 3 3 3" xfId="49122"/>
    <cellStyle name="Input 5 7 3 3 4" xfId="37207"/>
    <cellStyle name="Input 5 7 3 4" xfId="11812"/>
    <cellStyle name="Input 5 7 3 4 2" xfId="41730"/>
    <cellStyle name="Input 5 7 3 4 3" xfId="40176"/>
    <cellStyle name="Input 5 7 3 4 4" xfId="29484"/>
    <cellStyle name="Input 5 7 3 5" xfId="21191"/>
    <cellStyle name="Input 5 7 3 5 2" xfId="46713"/>
    <cellStyle name="Input 5 7 3 5 3" xfId="50619"/>
    <cellStyle name="Input 5 7 3 5 4" xfId="38583"/>
    <cellStyle name="Input 5 7 3 6" xfId="21844"/>
    <cellStyle name="Input 5 7 3 6 2" xfId="47366"/>
    <cellStyle name="Input 5 7 3 6 3" xfId="51272"/>
    <cellStyle name="Input 5 7 3 7" xfId="41169"/>
    <cellStyle name="Input 5 7 3 8" xfId="39343"/>
    <cellStyle name="Input 5 7 4" xfId="14951"/>
    <cellStyle name="Input 5 7 4 2" xfId="43049"/>
    <cellStyle name="Input 5 7 4 3" xfId="40282"/>
    <cellStyle name="Input 5 7 4 4" xfId="32572"/>
    <cellStyle name="Input 5 7 5" xfId="13174"/>
    <cellStyle name="Input 5 7 5 2" xfId="42376"/>
    <cellStyle name="Input 5 7 5 3" xfId="39050"/>
    <cellStyle name="Input 5 7 5 4" xfId="30809"/>
    <cellStyle name="Input 5 7 6" xfId="20306"/>
    <cellStyle name="Input 5 7 6 2" xfId="45828"/>
    <cellStyle name="Input 5 7 6 3" xfId="49734"/>
    <cellStyle name="Input 5 7 6 4" xfId="37756"/>
    <cellStyle name="Input 5 7 7" xfId="19623"/>
    <cellStyle name="Input 5 7 7 2" xfId="45145"/>
    <cellStyle name="Input 5 7 7 3" xfId="49051"/>
    <cellStyle name="Input 5 7 7 4" xfId="37146"/>
    <cellStyle name="Input 5 7 8" xfId="19169"/>
    <cellStyle name="Input 5 7 8 2" xfId="44691"/>
    <cellStyle name="Input 5 7 8 3" xfId="48597"/>
    <cellStyle name="Input 5 7 9" xfId="39909"/>
    <cellStyle name="Input 5 8" xfId="53173"/>
    <cellStyle name="Input 5_Sheet1" xfId="2018"/>
    <cellStyle name="Input 50" xfId="22683"/>
    <cellStyle name="Input 51" xfId="22685"/>
    <cellStyle name="Input 52" xfId="22687"/>
    <cellStyle name="Input 53" xfId="22688"/>
    <cellStyle name="Input 54" xfId="22694"/>
    <cellStyle name="Input 55" xfId="22413"/>
    <cellStyle name="Input 55 2" xfId="23021"/>
    <cellStyle name="Input 55 2 2" xfId="47608"/>
    <cellStyle name="Input 55 2 3" xfId="51419"/>
    <cellStyle name="Input 55 3" xfId="47501"/>
    <cellStyle name="Input 55 4" xfId="51355"/>
    <cellStyle name="Input 55 5" xfId="53177"/>
    <cellStyle name="Input 6" xfId="2019"/>
    <cellStyle name="Input 6 2" xfId="2020"/>
    <cellStyle name="Input 6 2 2" xfId="2021"/>
    <cellStyle name="Input 6 2 2 2" xfId="7175"/>
    <cellStyle name="Input 6 2 2 2 10" xfId="40103"/>
    <cellStyle name="Input 6 2 2 2 2" xfId="10702"/>
    <cellStyle name="Input 6 2 2 2 2 2" xfId="18489"/>
    <cellStyle name="Input 6 2 2 2 2 2 2" xfId="44021"/>
    <cellStyle name="Input 6 2 2 2 2 2 3" xfId="47930"/>
    <cellStyle name="Input 6 2 2 2 2 2 4" xfId="36112"/>
    <cellStyle name="Input 6 2 2 2 2 3" xfId="20144"/>
    <cellStyle name="Input 6 2 2 2 2 3 2" xfId="45666"/>
    <cellStyle name="Input 6 2 2 2 2 3 3" xfId="49572"/>
    <cellStyle name="Input 6 2 2 2 2 3 4" xfId="37616"/>
    <cellStyle name="Input 6 2 2 2 2 4" xfId="11533"/>
    <cellStyle name="Input 6 2 2 2 2 4 2" xfId="41524"/>
    <cellStyle name="Input 6 2 2 2 2 4 3" xfId="39648"/>
    <cellStyle name="Input 6 2 2 2 2 4 4" xfId="29233"/>
    <cellStyle name="Input 6 2 2 2 2 5" xfId="20902"/>
    <cellStyle name="Input 6 2 2 2 2 5 2" xfId="46424"/>
    <cellStyle name="Input 6 2 2 2 2 5 3" xfId="50330"/>
    <cellStyle name="Input 6 2 2 2 2 5 4" xfId="38294"/>
    <cellStyle name="Input 6 2 2 2 2 6" xfId="21555"/>
    <cellStyle name="Input 6 2 2 2 2 6 2" xfId="47077"/>
    <cellStyle name="Input 6 2 2 2 2 6 3" xfId="50983"/>
    <cellStyle name="Input 6 2 2 2 2 7" xfId="40880"/>
    <cellStyle name="Input 6 2 2 2 2 8" xfId="39360"/>
    <cellStyle name="Input 6 2 2 2 3" xfId="10997"/>
    <cellStyle name="Input 6 2 2 2 3 2" xfId="18784"/>
    <cellStyle name="Input 6 2 2 2 3 2 2" xfId="44316"/>
    <cellStyle name="Input 6 2 2 2 3 2 3" xfId="48225"/>
    <cellStyle name="Input 6 2 2 2 3 2 4" xfId="36407"/>
    <cellStyle name="Input 6 2 2 2 3 3" xfId="13353"/>
    <cellStyle name="Input 6 2 2 2 3 3 2" xfId="42504"/>
    <cellStyle name="Input 6 2 2 2 3 3 3" xfId="40402"/>
    <cellStyle name="Input 6 2 2 2 3 3 4" xfId="30979"/>
    <cellStyle name="Input 6 2 2 2 3 4" xfId="20283"/>
    <cellStyle name="Input 6 2 2 2 3 4 2" xfId="45805"/>
    <cellStyle name="Input 6 2 2 2 3 4 3" xfId="49711"/>
    <cellStyle name="Input 6 2 2 2 3 4 4" xfId="37735"/>
    <cellStyle name="Input 6 2 2 2 3 5" xfId="21197"/>
    <cellStyle name="Input 6 2 2 2 3 5 2" xfId="46719"/>
    <cellStyle name="Input 6 2 2 2 3 5 3" xfId="50625"/>
    <cellStyle name="Input 6 2 2 2 3 5 4" xfId="38589"/>
    <cellStyle name="Input 6 2 2 2 3 6" xfId="21850"/>
    <cellStyle name="Input 6 2 2 2 3 6 2" xfId="47372"/>
    <cellStyle name="Input 6 2 2 2 3 6 3" xfId="51278"/>
    <cellStyle name="Input 6 2 2 2 3 7" xfId="41175"/>
    <cellStyle name="Input 6 2 2 2 3 8" xfId="42804"/>
    <cellStyle name="Input 6 2 2 2 4" xfId="14957"/>
    <cellStyle name="Input 6 2 2 2 4 2" xfId="43055"/>
    <cellStyle name="Input 6 2 2 2 4 3" xfId="41912"/>
    <cellStyle name="Input 6 2 2 2 4 4" xfId="32578"/>
    <cellStyle name="Input 6 2 2 2 5" xfId="13180"/>
    <cellStyle name="Input 6 2 2 2 5 2" xfId="42382"/>
    <cellStyle name="Input 6 2 2 2 5 3" xfId="47455"/>
    <cellStyle name="Input 6 2 2 2 5 4" xfId="30815"/>
    <cellStyle name="Input 6 2 2 2 6" xfId="12610"/>
    <cellStyle name="Input 6 2 2 2 6 2" xfId="42070"/>
    <cellStyle name="Input 6 2 2 2 6 3" xfId="39427"/>
    <cellStyle name="Input 6 2 2 2 6 4" xfId="30261"/>
    <cellStyle name="Input 6 2 2 2 7" xfId="12071"/>
    <cellStyle name="Input 6 2 2 2 7 2" xfId="41796"/>
    <cellStyle name="Input 6 2 2 2 7 3" xfId="39304"/>
    <cellStyle name="Input 6 2 2 2 7 4" xfId="29733"/>
    <cellStyle name="Input 6 2 2 2 8" xfId="18902"/>
    <cellStyle name="Input 6 2 2 2 8 2" xfId="44424"/>
    <cellStyle name="Input 6 2 2 2 8 3" xfId="48330"/>
    <cellStyle name="Input 6 2 2 2 9" xfId="39915"/>
    <cellStyle name="Input 6 2 2 3" xfId="53180"/>
    <cellStyle name="Input 6 2 3" xfId="7174"/>
    <cellStyle name="Input 6 2 3 10" xfId="43244"/>
    <cellStyle name="Input 6 2 3 2" xfId="10701"/>
    <cellStyle name="Input 6 2 3 2 2" xfId="18488"/>
    <cellStyle name="Input 6 2 3 2 2 2" xfId="44020"/>
    <cellStyle name="Input 6 2 3 2 2 3" xfId="47929"/>
    <cellStyle name="Input 6 2 3 2 2 4" xfId="36111"/>
    <cellStyle name="Input 6 2 3 2 3" xfId="19590"/>
    <cellStyle name="Input 6 2 3 2 3 2" xfId="45112"/>
    <cellStyle name="Input 6 2 3 2 3 3" xfId="49018"/>
    <cellStyle name="Input 6 2 3 2 3 4" xfId="37116"/>
    <cellStyle name="Input 6 2 3 2 4" xfId="12818"/>
    <cellStyle name="Input 6 2 3 2 4 2" xfId="42202"/>
    <cellStyle name="Input 6 2 3 2 4 3" xfId="43444"/>
    <cellStyle name="Input 6 2 3 2 4 4" xfId="30459"/>
    <cellStyle name="Input 6 2 3 2 5" xfId="20901"/>
    <cellStyle name="Input 6 2 3 2 5 2" xfId="46423"/>
    <cellStyle name="Input 6 2 3 2 5 3" xfId="50329"/>
    <cellStyle name="Input 6 2 3 2 5 4" xfId="38293"/>
    <cellStyle name="Input 6 2 3 2 6" xfId="21554"/>
    <cellStyle name="Input 6 2 3 2 6 2" xfId="47076"/>
    <cellStyle name="Input 6 2 3 2 6 3" xfId="50982"/>
    <cellStyle name="Input 6 2 3 2 7" xfId="40879"/>
    <cellStyle name="Input 6 2 3 2 8" xfId="40220"/>
    <cellStyle name="Input 6 2 3 3" xfId="10996"/>
    <cellStyle name="Input 6 2 3 3 2" xfId="18783"/>
    <cellStyle name="Input 6 2 3 3 2 2" xfId="44315"/>
    <cellStyle name="Input 6 2 3 3 2 3" xfId="48224"/>
    <cellStyle name="Input 6 2 3 3 2 4" xfId="36406"/>
    <cellStyle name="Input 6 2 3 3 3" xfId="11528"/>
    <cellStyle name="Input 6 2 3 3 3 2" xfId="41519"/>
    <cellStyle name="Input 6 2 3 3 3 3" xfId="43186"/>
    <cellStyle name="Input 6 2 3 3 3 4" xfId="29229"/>
    <cellStyle name="Input 6 2 3 3 4" xfId="20323"/>
    <cellStyle name="Input 6 2 3 3 4 2" xfId="45845"/>
    <cellStyle name="Input 6 2 3 3 4 3" xfId="49751"/>
    <cellStyle name="Input 6 2 3 3 4 4" xfId="37773"/>
    <cellStyle name="Input 6 2 3 3 5" xfId="21196"/>
    <cellStyle name="Input 6 2 3 3 5 2" xfId="46718"/>
    <cellStyle name="Input 6 2 3 3 5 3" xfId="50624"/>
    <cellStyle name="Input 6 2 3 3 5 4" xfId="38588"/>
    <cellStyle name="Input 6 2 3 3 6" xfId="21849"/>
    <cellStyle name="Input 6 2 3 3 6 2" xfId="47371"/>
    <cellStyle name="Input 6 2 3 3 6 3" xfId="51277"/>
    <cellStyle name="Input 6 2 3 3 7" xfId="41174"/>
    <cellStyle name="Input 6 2 3 3 8" xfId="40057"/>
    <cellStyle name="Input 6 2 3 4" xfId="14956"/>
    <cellStyle name="Input 6 2 3 4 2" xfId="43054"/>
    <cellStyle name="Input 6 2 3 4 3" xfId="39238"/>
    <cellStyle name="Input 6 2 3 4 4" xfId="32577"/>
    <cellStyle name="Input 6 2 3 5" xfId="13179"/>
    <cellStyle name="Input 6 2 3 5 2" xfId="42381"/>
    <cellStyle name="Input 6 2 3 5 3" xfId="39045"/>
    <cellStyle name="Input 6 2 3 5 4" xfId="30814"/>
    <cellStyle name="Input 6 2 3 6" xfId="12038"/>
    <cellStyle name="Input 6 2 3 6 2" xfId="41774"/>
    <cellStyle name="Input 6 2 3 6 3" xfId="47560"/>
    <cellStyle name="Input 6 2 3 6 4" xfId="29703"/>
    <cellStyle name="Input 6 2 3 7" xfId="19173"/>
    <cellStyle name="Input 6 2 3 7 2" xfId="44695"/>
    <cellStyle name="Input 6 2 3 7 3" xfId="48601"/>
    <cellStyle name="Input 6 2 3 7 4" xfId="36746"/>
    <cellStyle name="Input 6 2 3 8" xfId="13190"/>
    <cellStyle name="Input 6 2 3 8 2" xfId="42392"/>
    <cellStyle name="Input 6 2 3 8 3" xfId="47457"/>
    <cellStyle name="Input 6 2 3 9" xfId="39914"/>
    <cellStyle name="Input 6 2 4" xfId="53179"/>
    <cellStyle name="Input 6 2_Sheet1" xfId="2022"/>
    <cellStyle name="Input 6 3" xfId="2023"/>
    <cellStyle name="Input 6 3 2" xfId="7176"/>
    <cellStyle name="Input 6 3 2 10" xfId="43072"/>
    <cellStyle name="Input 6 3 2 2" xfId="10703"/>
    <cellStyle name="Input 6 3 2 2 2" xfId="18490"/>
    <cellStyle name="Input 6 3 2 2 2 2" xfId="44022"/>
    <cellStyle name="Input 6 3 2 2 2 3" xfId="47931"/>
    <cellStyle name="Input 6 3 2 2 2 4" xfId="36113"/>
    <cellStyle name="Input 6 3 2 2 3" xfId="19403"/>
    <cellStyle name="Input 6 3 2 2 3 2" xfId="44925"/>
    <cellStyle name="Input 6 3 2 2 3 3" xfId="48831"/>
    <cellStyle name="Input 6 3 2 2 3 4" xfId="36954"/>
    <cellStyle name="Input 6 3 2 2 4" xfId="20310"/>
    <cellStyle name="Input 6 3 2 2 4 2" xfId="45832"/>
    <cellStyle name="Input 6 3 2 2 4 3" xfId="49738"/>
    <cellStyle name="Input 6 3 2 2 4 4" xfId="37760"/>
    <cellStyle name="Input 6 3 2 2 5" xfId="20903"/>
    <cellStyle name="Input 6 3 2 2 5 2" xfId="46425"/>
    <cellStyle name="Input 6 3 2 2 5 3" xfId="50331"/>
    <cellStyle name="Input 6 3 2 2 5 4" xfId="38295"/>
    <cellStyle name="Input 6 3 2 2 6" xfId="21556"/>
    <cellStyle name="Input 6 3 2 2 6 2" xfId="47078"/>
    <cellStyle name="Input 6 3 2 2 6 3" xfId="50984"/>
    <cellStyle name="Input 6 3 2 2 7" xfId="40881"/>
    <cellStyle name="Input 6 3 2 2 8" xfId="39166"/>
    <cellStyle name="Input 6 3 2 3" xfId="10998"/>
    <cellStyle name="Input 6 3 2 3 2" xfId="18785"/>
    <cellStyle name="Input 6 3 2 3 2 2" xfId="44317"/>
    <cellStyle name="Input 6 3 2 3 2 3" xfId="48226"/>
    <cellStyle name="Input 6 3 2 3 2 4" xfId="36408"/>
    <cellStyle name="Input 6 3 2 3 3" xfId="13349"/>
    <cellStyle name="Input 6 3 2 3 3 2" xfId="42500"/>
    <cellStyle name="Input 6 3 2 3 3 3" xfId="40508"/>
    <cellStyle name="Input 6 3 2 3 3 4" xfId="30975"/>
    <cellStyle name="Input 6 3 2 3 4" xfId="20293"/>
    <cellStyle name="Input 6 3 2 3 4 2" xfId="45815"/>
    <cellStyle name="Input 6 3 2 3 4 3" xfId="49721"/>
    <cellStyle name="Input 6 3 2 3 4 4" xfId="37745"/>
    <cellStyle name="Input 6 3 2 3 5" xfId="21198"/>
    <cellStyle name="Input 6 3 2 3 5 2" xfId="46720"/>
    <cellStyle name="Input 6 3 2 3 5 3" xfId="50626"/>
    <cellStyle name="Input 6 3 2 3 5 4" xfId="38590"/>
    <cellStyle name="Input 6 3 2 3 6" xfId="21851"/>
    <cellStyle name="Input 6 3 2 3 6 2" xfId="47373"/>
    <cellStyle name="Input 6 3 2 3 6 3" xfId="51279"/>
    <cellStyle name="Input 6 3 2 3 7" xfId="41176"/>
    <cellStyle name="Input 6 3 2 3 8" xfId="43693"/>
    <cellStyle name="Input 6 3 2 4" xfId="14958"/>
    <cellStyle name="Input 6 3 2 4 2" xfId="43056"/>
    <cellStyle name="Input 6 3 2 4 3" xfId="43266"/>
    <cellStyle name="Input 6 3 2 4 4" xfId="32579"/>
    <cellStyle name="Input 6 3 2 5" xfId="13181"/>
    <cellStyle name="Input 6 3 2 5 2" xfId="42383"/>
    <cellStyle name="Input 6 3 2 5 3" xfId="47551"/>
    <cellStyle name="Input 6 3 2 5 4" xfId="30816"/>
    <cellStyle name="Input 6 3 2 6" xfId="19633"/>
    <cellStyle name="Input 6 3 2 6 2" xfId="45155"/>
    <cellStyle name="Input 6 3 2 6 3" xfId="49061"/>
    <cellStyle name="Input 6 3 2 6 4" xfId="37155"/>
    <cellStyle name="Input 6 3 2 7" xfId="18928"/>
    <cellStyle name="Input 6 3 2 7 2" xfId="44450"/>
    <cellStyle name="Input 6 3 2 7 3" xfId="48356"/>
    <cellStyle name="Input 6 3 2 7 4" xfId="36541"/>
    <cellStyle name="Input 6 3 2 8" xfId="18998"/>
    <cellStyle name="Input 6 3 2 8 2" xfId="44520"/>
    <cellStyle name="Input 6 3 2 8 3" xfId="48426"/>
    <cellStyle name="Input 6 3 2 9" xfId="39916"/>
    <cellStyle name="Input 6 3 3" xfId="53181"/>
    <cellStyle name="Input 6 4" xfId="7173"/>
    <cellStyle name="Input 6 4 10" xfId="41692"/>
    <cellStyle name="Input 6 4 2" xfId="10700"/>
    <cellStyle name="Input 6 4 2 2" xfId="18487"/>
    <cellStyle name="Input 6 4 2 2 2" xfId="44019"/>
    <cellStyle name="Input 6 4 2 2 3" xfId="47928"/>
    <cellStyle name="Input 6 4 2 2 4" xfId="36110"/>
    <cellStyle name="Input 6 4 2 3" xfId="12155"/>
    <cellStyle name="Input 6 4 2 3 2" xfId="41880"/>
    <cellStyle name="Input 6 4 2 3 3" xfId="40426"/>
    <cellStyle name="Input 6 4 2 3 4" xfId="29813"/>
    <cellStyle name="Input 6 4 2 4" xfId="12682"/>
    <cellStyle name="Input 6 4 2 4 2" xfId="42142"/>
    <cellStyle name="Input 6 4 2 4 3" xfId="42668"/>
    <cellStyle name="Input 6 4 2 4 4" xfId="30329"/>
    <cellStyle name="Input 6 4 2 5" xfId="20900"/>
    <cellStyle name="Input 6 4 2 5 2" xfId="46422"/>
    <cellStyle name="Input 6 4 2 5 3" xfId="50328"/>
    <cellStyle name="Input 6 4 2 5 4" xfId="38292"/>
    <cellStyle name="Input 6 4 2 6" xfId="21553"/>
    <cellStyle name="Input 6 4 2 6 2" xfId="47075"/>
    <cellStyle name="Input 6 4 2 6 3" xfId="50981"/>
    <cellStyle name="Input 6 4 2 7" xfId="40878"/>
    <cellStyle name="Input 6 4 2 8" xfId="43358"/>
    <cellStyle name="Input 6 4 3" xfId="10995"/>
    <cellStyle name="Input 6 4 3 2" xfId="18782"/>
    <cellStyle name="Input 6 4 3 2 2" xfId="44314"/>
    <cellStyle name="Input 6 4 3 2 3" xfId="48223"/>
    <cellStyle name="Input 6 4 3 2 4" xfId="36405"/>
    <cellStyle name="Input 6 4 3 3" xfId="19693"/>
    <cellStyle name="Input 6 4 3 3 2" xfId="45215"/>
    <cellStyle name="Input 6 4 3 3 3" xfId="49121"/>
    <cellStyle name="Input 6 4 3 3 4" xfId="37206"/>
    <cellStyle name="Input 6 4 3 4" xfId="11455"/>
    <cellStyle name="Input 6 4 3 4 2" xfId="41446"/>
    <cellStyle name="Input 6 4 3 4 3" xfId="43471"/>
    <cellStyle name="Input 6 4 3 4 4" xfId="29160"/>
    <cellStyle name="Input 6 4 3 5" xfId="21195"/>
    <cellStyle name="Input 6 4 3 5 2" xfId="46717"/>
    <cellStyle name="Input 6 4 3 5 3" xfId="50623"/>
    <cellStyle name="Input 6 4 3 5 4" xfId="38587"/>
    <cellStyle name="Input 6 4 3 6" xfId="21848"/>
    <cellStyle name="Input 6 4 3 6 2" xfId="47370"/>
    <cellStyle name="Input 6 4 3 6 3" xfId="51276"/>
    <cellStyle name="Input 6 4 3 7" xfId="41173"/>
    <cellStyle name="Input 6 4 3 8" xfId="43198"/>
    <cellStyle name="Input 6 4 4" xfId="14955"/>
    <cellStyle name="Input 6 4 4 2" xfId="43053"/>
    <cellStyle name="Input 6 4 4 3" xfId="40124"/>
    <cellStyle name="Input 6 4 4 4" xfId="32576"/>
    <cellStyle name="Input 6 4 5" xfId="13178"/>
    <cellStyle name="Input 6 4 5 2" xfId="42380"/>
    <cellStyle name="Input 6 4 5 3" xfId="39046"/>
    <cellStyle name="Input 6 4 5 4" xfId="30813"/>
    <cellStyle name="Input 6 4 6" xfId="19310"/>
    <cellStyle name="Input 6 4 6 2" xfId="44832"/>
    <cellStyle name="Input 6 4 6 3" xfId="48738"/>
    <cellStyle name="Input 6 4 6 4" xfId="36874"/>
    <cellStyle name="Input 6 4 7" xfId="11779"/>
    <cellStyle name="Input 6 4 7 2" xfId="41712"/>
    <cellStyle name="Input 6 4 7 3" xfId="39313"/>
    <cellStyle name="Input 6 4 7 4" xfId="29451"/>
    <cellStyle name="Input 6 4 8" xfId="20593"/>
    <cellStyle name="Input 6 4 8 2" xfId="46115"/>
    <cellStyle name="Input 6 4 8 3" xfId="50021"/>
    <cellStyle name="Input 6 4 9" xfId="39913"/>
    <cellStyle name="Input 6 5" xfId="53178"/>
    <cellStyle name="Input 6_Sheet1" xfId="2024"/>
    <cellStyle name="Input 7" xfId="2025"/>
    <cellStyle name="Input 7 2" xfId="2026"/>
    <cellStyle name="Input 7 2 2" xfId="2027"/>
    <cellStyle name="Input 7 2 2 2" xfId="7179"/>
    <cellStyle name="Input 7 2 2 2 10" xfId="39932"/>
    <cellStyle name="Input 7 2 2 2 2" xfId="10706"/>
    <cellStyle name="Input 7 2 2 2 2 2" xfId="18493"/>
    <cellStyle name="Input 7 2 2 2 2 2 2" xfId="44025"/>
    <cellStyle name="Input 7 2 2 2 2 2 3" xfId="47934"/>
    <cellStyle name="Input 7 2 2 2 2 2 4" xfId="36116"/>
    <cellStyle name="Input 7 2 2 2 2 3" xfId="19885"/>
    <cellStyle name="Input 7 2 2 2 2 3 2" xfId="45407"/>
    <cellStyle name="Input 7 2 2 2 2 3 3" xfId="49313"/>
    <cellStyle name="Input 7 2 2 2 2 3 4" xfId="37385"/>
    <cellStyle name="Input 7 2 2 2 2 4" xfId="13904"/>
    <cellStyle name="Input 7 2 2 2 2 4 2" xfId="42620"/>
    <cellStyle name="Input 7 2 2 2 2 4 3" xfId="39040"/>
    <cellStyle name="Input 7 2 2 2 2 4 4" xfId="31527"/>
    <cellStyle name="Input 7 2 2 2 2 5" xfId="20906"/>
    <cellStyle name="Input 7 2 2 2 2 5 2" xfId="46428"/>
    <cellStyle name="Input 7 2 2 2 2 5 3" xfId="50334"/>
    <cellStyle name="Input 7 2 2 2 2 5 4" xfId="38298"/>
    <cellStyle name="Input 7 2 2 2 2 6" xfId="21559"/>
    <cellStyle name="Input 7 2 2 2 2 6 2" xfId="47081"/>
    <cellStyle name="Input 7 2 2 2 2 6 3" xfId="50987"/>
    <cellStyle name="Input 7 2 2 2 2 7" xfId="40884"/>
    <cellStyle name="Input 7 2 2 2 2 8" xfId="40069"/>
    <cellStyle name="Input 7 2 2 2 3" xfId="11001"/>
    <cellStyle name="Input 7 2 2 2 3 2" xfId="18788"/>
    <cellStyle name="Input 7 2 2 2 3 2 2" xfId="44320"/>
    <cellStyle name="Input 7 2 2 2 3 2 3" xfId="48229"/>
    <cellStyle name="Input 7 2 2 2 3 2 4" xfId="36411"/>
    <cellStyle name="Input 7 2 2 2 3 3" xfId="20381"/>
    <cellStyle name="Input 7 2 2 2 3 3 2" xfId="45903"/>
    <cellStyle name="Input 7 2 2 2 3 3 3" xfId="49809"/>
    <cellStyle name="Input 7 2 2 2 3 3 4" xfId="37821"/>
    <cellStyle name="Input 7 2 2 2 3 4" xfId="20525"/>
    <cellStyle name="Input 7 2 2 2 3 4 2" xfId="46047"/>
    <cellStyle name="Input 7 2 2 2 3 4 3" xfId="49953"/>
    <cellStyle name="Input 7 2 2 2 3 4 4" xfId="37938"/>
    <cellStyle name="Input 7 2 2 2 3 5" xfId="21201"/>
    <cellStyle name="Input 7 2 2 2 3 5 2" xfId="46723"/>
    <cellStyle name="Input 7 2 2 2 3 5 3" xfId="50629"/>
    <cellStyle name="Input 7 2 2 2 3 5 4" xfId="38593"/>
    <cellStyle name="Input 7 2 2 2 3 6" xfId="21854"/>
    <cellStyle name="Input 7 2 2 2 3 6 2" xfId="47376"/>
    <cellStyle name="Input 7 2 2 2 3 6 3" xfId="51282"/>
    <cellStyle name="Input 7 2 2 2 3 7" xfId="41179"/>
    <cellStyle name="Input 7 2 2 2 3 8" xfId="42700"/>
    <cellStyle name="Input 7 2 2 2 4" xfId="14961"/>
    <cellStyle name="Input 7 2 2 2 4 2" xfId="43059"/>
    <cellStyle name="Input 7 2 2 2 4 3" xfId="39029"/>
    <cellStyle name="Input 7 2 2 2 4 4" xfId="32582"/>
    <cellStyle name="Input 7 2 2 2 5" xfId="13182"/>
    <cellStyle name="Input 7 2 2 2 5 2" xfId="42384"/>
    <cellStyle name="Input 7 2 2 2 5 3" xfId="47459"/>
    <cellStyle name="Input 7 2 2 2 5 4" xfId="30817"/>
    <cellStyle name="Input 7 2 2 2 6" xfId="19516"/>
    <cellStyle name="Input 7 2 2 2 6 2" xfId="45038"/>
    <cellStyle name="Input 7 2 2 2 6 3" xfId="48944"/>
    <cellStyle name="Input 7 2 2 2 6 4" xfId="37049"/>
    <cellStyle name="Input 7 2 2 2 7" xfId="19626"/>
    <cellStyle name="Input 7 2 2 2 7 2" xfId="45148"/>
    <cellStyle name="Input 7 2 2 2 7 3" xfId="49054"/>
    <cellStyle name="Input 7 2 2 2 7 4" xfId="37149"/>
    <cellStyle name="Input 7 2 2 2 8" xfId="19793"/>
    <cellStyle name="Input 7 2 2 2 8 2" xfId="45315"/>
    <cellStyle name="Input 7 2 2 2 8 3" xfId="49221"/>
    <cellStyle name="Input 7 2 2 2 9" xfId="39919"/>
    <cellStyle name="Input 7 2 2 3" xfId="53184"/>
    <cellStyle name="Input 7 2 3" xfId="7178"/>
    <cellStyle name="Input 7 2 3 10" xfId="40598"/>
    <cellStyle name="Input 7 2 3 2" xfId="10705"/>
    <cellStyle name="Input 7 2 3 2 2" xfId="18492"/>
    <cellStyle name="Input 7 2 3 2 2 2" xfId="44024"/>
    <cellStyle name="Input 7 2 3 2 2 3" xfId="47933"/>
    <cellStyle name="Input 7 2 3 2 2 4" xfId="36115"/>
    <cellStyle name="Input 7 2 3 2 3" xfId="19276"/>
    <cellStyle name="Input 7 2 3 2 3 2" xfId="44798"/>
    <cellStyle name="Input 7 2 3 2 3 3" xfId="48704"/>
    <cellStyle name="Input 7 2 3 2 3 4" xfId="36840"/>
    <cellStyle name="Input 7 2 3 2 4" xfId="12657"/>
    <cellStyle name="Input 7 2 3 2 4 2" xfId="42117"/>
    <cellStyle name="Input 7 2 3 2 4 3" xfId="43171"/>
    <cellStyle name="Input 7 2 3 2 4 4" xfId="30307"/>
    <cellStyle name="Input 7 2 3 2 5" xfId="20905"/>
    <cellStyle name="Input 7 2 3 2 5 2" xfId="46427"/>
    <cellStyle name="Input 7 2 3 2 5 3" xfId="50333"/>
    <cellStyle name="Input 7 2 3 2 5 4" xfId="38297"/>
    <cellStyle name="Input 7 2 3 2 6" xfId="21558"/>
    <cellStyle name="Input 7 2 3 2 6 2" xfId="47080"/>
    <cellStyle name="Input 7 2 3 2 6 3" xfId="50986"/>
    <cellStyle name="Input 7 2 3 2 7" xfId="40883"/>
    <cellStyle name="Input 7 2 3 2 8" xfId="43210"/>
    <cellStyle name="Input 7 2 3 3" xfId="11000"/>
    <cellStyle name="Input 7 2 3 3 2" xfId="18787"/>
    <cellStyle name="Input 7 2 3 3 2 2" xfId="44319"/>
    <cellStyle name="Input 7 2 3 3 2 3" xfId="48228"/>
    <cellStyle name="Input 7 2 3 3 2 4" xfId="36410"/>
    <cellStyle name="Input 7 2 3 3 3" xfId="20380"/>
    <cellStyle name="Input 7 2 3 3 3 2" xfId="45902"/>
    <cellStyle name="Input 7 2 3 3 3 3" xfId="49808"/>
    <cellStyle name="Input 7 2 3 3 3 4" xfId="37820"/>
    <cellStyle name="Input 7 2 3 3 4" xfId="20524"/>
    <cellStyle name="Input 7 2 3 3 4 2" xfId="46046"/>
    <cellStyle name="Input 7 2 3 3 4 3" xfId="49952"/>
    <cellStyle name="Input 7 2 3 3 4 4" xfId="37937"/>
    <cellStyle name="Input 7 2 3 3 5" xfId="21200"/>
    <cellStyle name="Input 7 2 3 3 5 2" xfId="46722"/>
    <cellStyle name="Input 7 2 3 3 5 3" xfId="50628"/>
    <cellStyle name="Input 7 2 3 3 5 4" xfId="38592"/>
    <cellStyle name="Input 7 2 3 3 6" xfId="21853"/>
    <cellStyle name="Input 7 2 3 3 6 2" xfId="47375"/>
    <cellStyle name="Input 7 2 3 3 6 3" xfId="51281"/>
    <cellStyle name="Input 7 2 3 3 7" xfId="41178"/>
    <cellStyle name="Input 7 2 3 3 8" xfId="39663"/>
    <cellStyle name="Input 7 2 3 4" xfId="14960"/>
    <cellStyle name="Input 7 2 3 4 2" xfId="43058"/>
    <cellStyle name="Input 7 2 3 4 3" xfId="39239"/>
    <cellStyle name="Input 7 2 3 4 4" xfId="32581"/>
    <cellStyle name="Input 7 2 3 5" xfId="11319"/>
    <cellStyle name="Input 7 2 3 5 2" xfId="41344"/>
    <cellStyle name="Input 7 2 3 5 3" xfId="42560"/>
    <cellStyle name="Input 7 2 3 5 4" xfId="29033"/>
    <cellStyle name="Input 7 2 3 6" xfId="13191"/>
    <cellStyle name="Input 7 2 3 6 2" xfId="42393"/>
    <cellStyle name="Input 7 2 3 6 3" xfId="41938"/>
    <cellStyle name="Input 7 2 3 6 4" xfId="30824"/>
    <cellStyle name="Input 7 2 3 7" xfId="12063"/>
    <cellStyle name="Input 7 2 3 7 2" xfId="41792"/>
    <cellStyle name="Input 7 2 3 7 3" xfId="39539"/>
    <cellStyle name="Input 7 2 3 7 4" xfId="29727"/>
    <cellStyle name="Input 7 2 3 8" xfId="18994"/>
    <cellStyle name="Input 7 2 3 8 2" xfId="44516"/>
    <cellStyle name="Input 7 2 3 8 3" xfId="48422"/>
    <cellStyle name="Input 7 2 3 9" xfId="39918"/>
    <cellStyle name="Input 7 2 4" xfId="53183"/>
    <cellStyle name="Input 7 2_Sheet1" xfId="2028"/>
    <cellStyle name="Input 7 3" xfId="2029"/>
    <cellStyle name="Input 7 3 2" xfId="7180"/>
    <cellStyle name="Input 7 3 2 10" xfId="42732"/>
    <cellStyle name="Input 7 3 2 2" xfId="10707"/>
    <cellStyle name="Input 7 3 2 2 2" xfId="18494"/>
    <cellStyle name="Input 7 3 2 2 2 2" xfId="44026"/>
    <cellStyle name="Input 7 3 2 2 2 3" xfId="47935"/>
    <cellStyle name="Input 7 3 2 2 2 4" xfId="36117"/>
    <cellStyle name="Input 7 3 2 2 3" xfId="19108"/>
    <cellStyle name="Input 7 3 2 2 3 2" xfId="44630"/>
    <cellStyle name="Input 7 3 2 2 3 3" xfId="48536"/>
    <cellStyle name="Input 7 3 2 2 3 4" xfId="36689"/>
    <cellStyle name="Input 7 3 2 2 4" xfId="20245"/>
    <cellStyle name="Input 7 3 2 2 4 2" xfId="45767"/>
    <cellStyle name="Input 7 3 2 2 4 3" xfId="49673"/>
    <cellStyle name="Input 7 3 2 2 4 4" xfId="37702"/>
    <cellStyle name="Input 7 3 2 2 5" xfId="20907"/>
    <cellStyle name="Input 7 3 2 2 5 2" xfId="46429"/>
    <cellStyle name="Input 7 3 2 2 5 3" xfId="50335"/>
    <cellStyle name="Input 7 3 2 2 5 4" xfId="38299"/>
    <cellStyle name="Input 7 3 2 2 6" xfId="21560"/>
    <cellStyle name="Input 7 3 2 2 6 2" xfId="47082"/>
    <cellStyle name="Input 7 3 2 2 6 3" xfId="50988"/>
    <cellStyle name="Input 7 3 2 2 7" xfId="40885"/>
    <cellStyle name="Input 7 3 2 2 8" xfId="42818"/>
    <cellStyle name="Input 7 3 2 3" xfId="11002"/>
    <cellStyle name="Input 7 3 2 3 2" xfId="18789"/>
    <cellStyle name="Input 7 3 2 3 2 2" xfId="44321"/>
    <cellStyle name="Input 7 3 2 3 2 3" xfId="48230"/>
    <cellStyle name="Input 7 3 2 3 2 4" xfId="36412"/>
    <cellStyle name="Input 7 3 2 3 3" xfId="20382"/>
    <cellStyle name="Input 7 3 2 3 3 2" xfId="45904"/>
    <cellStyle name="Input 7 3 2 3 3 3" xfId="49810"/>
    <cellStyle name="Input 7 3 2 3 3 4" xfId="37822"/>
    <cellStyle name="Input 7 3 2 3 4" xfId="20526"/>
    <cellStyle name="Input 7 3 2 3 4 2" xfId="46048"/>
    <cellStyle name="Input 7 3 2 3 4 3" xfId="49954"/>
    <cellStyle name="Input 7 3 2 3 4 4" xfId="37939"/>
    <cellStyle name="Input 7 3 2 3 5" xfId="21202"/>
    <cellStyle name="Input 7 3 2 3 5 2" xfId="46724"/>
    <cellStyle name="Input 7 3 2 3 5 3" xfId="50630"/>
    <cellStyle name="Input 7 3 2 3 5 4" xfId="38594"/>
    <cellStyle name="Input 7 3 2 3 6" xfId="21855"/>
    <cellStyle name="Input 7 3 2 3 6 2" xfId="47377"/>
    <cellStyle name="Input 7 3 2 3 6 3" xfId="51283"/>
    <cellStyle name="Input 7 3 2 3 7" xfId="41180"/>
    <cellStyle name="Input 7 3 2 3 8" xfId="43589"/>
    <cellStyle name="Input 7 3 2 4" xfId="14962"/>
    <cellStyle name="Input 7 3 2 4 2" xfId="43060"/>
    <cellStyle name="Input 7 3 2 4 3" xfId="41257"/>
    <cellStyle name="Input 7 3 2 4 4" xfId="32583"/>
    <cellStyle name="Input 7 3 2 5" xfId="13183"/>
    <cellStyle name="Input 7 3 2 5 2" xfId="42385"/>
    <cellStyle name="Input 7 3 2 5 3" xfId="43141"/>
    <cellStyle name="Input 7 3 2 5 4" xfId="30818"/>
    <cellStyle name="Input 7 3 2 6" xfId="11781"/>
    <cellStyle name="Input 7 3 2 6 2" xfId="41714"/>
    <cellStyle name="Input 7 3 2 6 3" xfId="39128"/>
    <cellStyle name="Input 7 3 2 6 4" xfId="29453"/>
    <cellStyle name="Input 7 3 2 7" xfId="20500"/>
    <cellStyle name="Input 7 3 2 7 2" xfId="46022"/>
    <cellStyle name="Input 7 3 2 7 3" xfId="49928"/>
    <cellStyle name="Input 7 3 2 7 4" xfId="37922"/>
    <cellStyle name="Input 7 3 2 8" xfId="12688"/>
    <cellStyle name="Input 7 3 2 8 2" xfId="42148"/>
    <cellStyle name="Input 7 3 2 8 3" xfId="40309"/>
    <cellStyle name="Input 7 3 2 9" xfId="39920"/>
    <cellStyle name="Input 7 3 3" xfId="53185"/>
    <cellStyle name="Input 7 4" xfId="7177"/>
    <cellStyle name="Input 7 4 10" xfId="43739"/>
    <cellStyle name="Input 7 4 11" xfId="53186"/>
    <cellStyle name="Input 7 4 2" xfId="10704"/>
    <cellStyle name="Input 7 4 2 2" xfId="18491"/>
    <cellStyle name="Input 7 4 2 2 2" xfId="44023"/>
    <cellStyle name="Input 7 4 2 2 3" xfId="47932"/>
    <cellStyle name="Input 7 4 2 2 4" xfId="36114"/>
    <cellStyle name="Input 7 4 2 3" xfId="20010"/>
    <cellStyle name="Input 7 4 2 3 2" xfId="45532"/>
    <cellStyle name="Input 7 4 2 3 3" xfId="49438"/>
    <cellStyle name="Input 7 4 2 3 4" xfId="37494"/>
    <cellStyle name="Input 7 4 2 4" xfId="11796"/>
    <cellStyle name="Input 7 4 2 4 2" xfId="41725"/>
    <cellStyle name="Input 7 4 2 4 3" xfId="43179"/>
    <cellStyle name="Input 7 4 2 4 4" xfId="29468"/>
    <cellStyle name="Input 7 4 2 5" xfId="20904"/>
    <cellStyle name="Input 7 4 2 5 2" xfId="46426"/>
    <cellStyle name="Input 7 4 2 5 3" xfId="50332"/>
    <cellStyle name="Input 7 4 2 5 4" xfId="38296"/>
    <cellStyle name="Input 7 4 2 6" xfId="21557"/>
    <cellStyle name="Input 7 4 2 6 2" xfId="47079"/>
    <cellStyle name="Input 7 4 2 6 3" xfId="50985"/>
    <cellStyle name="Input 7 4 2 7" xfId="40882"/>
    <cellStyle name="Input 7 4 2 8" xfId="41407"/>
    <cellStyle name="Input 7 4 3" xfId="10999"/>
    <cellStyle name="Input 7 4 3 2" xfId="18786"/>
    <cellStyle name="Input 7 4 3 2 2" xfId="44318"/>
    <cellStyle name="Input 7 4 3 2 3" xfId="48227"/>
    <cellStyle name="Input 7 4 3 2 4" xfId="36409"/>
    <cellStyle name="Input 7 4 3 3" xfId="19563"/>
    <cellStyle name="Input 7 4 3 3 2" xfId="45085"/>
    <cellStyle name="Input 7 4 3 3 3" xfId="48991"/>
    <cellStyle name="Input 7 4 3 3 4" xfId="37089"/>
    <cellStyle name="Input 7 4 3 4" xfId="18922"/>
    <cellStyle name="Input 7 4 3 4 2" xfId="44444"/>
    <cellStyle name="Input 7 4 3 4 3" xfId="48350"/>
    <cellStyle name="Input 7 4 3 4 4" xfId="36535"/>
    <cellStyle name="Input 7 4 3 5" xfId="21199"/>
    <cellStyle name="Input 7 4 3 5 2" xfId="46721"/>
    <cellStyle name="Input 7 4 3 5 3" xfId="50627"/>
    <cellStyle name="Input 7 4 3 5 4" xfId="38591"/>
    <cellStyle name="Input 7 4 3 6" xfId="21852"/>
    <cellStyle name="Input 7 4 3 6 2" xfId="47374"/>
    <cellStyle name="Input 7 4 3 6 3" xfId="51280"/>
    <cellStyle name="Input 7 4 3 7" xfId="41177"/>
    <cellStyle name="Input 7 4 3 8" xfId="40552"/>
    <cellStyle name="Input 7 4 4" xfId="14959"/>
    <cellStyle name="Input 7 4 4 2" xfId="43057"/>
    <cellStyle name="Input 7 4 4 3" xfId="40125"/>
    <cellStyle name="Input 7 4 4 4" xfId="32580"/>
    <cellStyle name="Input 7 4 5" xfId="11318"/>
    <cellStyle name="Input 7 4 5 2" xfId="41343"/>
    <cellStyle name="Input 7 4 5 3" xfId="39553"/>
    <cellStyle name="Input 7 4 5 4" xfId="29032"/>
    <cellStyle name="Input 7 4 6" xfId="11457"/>
    <cellStyle name="Input 7 4 6 2" xfId="41448"/>
    <cellStyle name="Input 7 4 6 3" xfId="39444"/>
    <cellStyle name="Input 7 4 6 4" xfId="29161"/>
    <cellStyle name="Input 7 4 7" xfId="19453"/>
    <cellStyle name="Input 7 4 7 2" xfId="44975"/>
    <cellStyle name="Input 7 4 7 3" xfId="48881"/>
    <cellStyle name="Input 7 4 7 4" xfId="36997"/>
    <cellStyle name="Input 7 4 8" xfId="19449"/>
    <cellStyle name="Input 7 4 8 2" xfId="44971"/>
    <cellStyle name="Input 7 4 8 3" xfId="48877"/>
    <cellStyle name="Input 7 4 9" xfId="39917"/>
    <cellStyle name="Input 7 5" xfId="22476"/>
    <cellStyle name="Input 7 6" xfId="22894"/>
    <cellStyle name="Input 7 7" xfId="53182"/>
    <cellStyle name="Input 7_Sheet1" xfId="2030"/>
    <cellStyle name="Input 8" xfId="2031"/>
    <cellStyle name="Input 8 2" xfId="2032"/>
    <cellStyle name="Input 8 2 2" xfId="2033"/>
    <cellStyle name="Input 8 2 2 2" xfId="7183"/>
    <cellStyle name="Input 8 2 2 2 10" xfId="39588"/>
    <cellStyle name="Input 8 2 2 2 2" xfId="10710"/>
    <cellStyle name="Input 8 2 2 2 2 2" xfId="18497"/>
    <cellStyle name="Input 8 2 2 2 2 2 2" xfId="44029"/>
    <cellStyle name="Input 8 2 2 2 2 2 3" xfId="47938"/>
    <cellStyle name="Input 8 2 2 2 2 2 4" xfId="36120"/>
    <cellStyle name="Input 8 2 2 2 2 3" xfId="12156"/>
    <cellStyle name="Input 8 2 2 2 2 3 2" xfId="41881"/>
    <cellStyle name="Input 8 2 2 2 2 3 3" xfId="39537"/>
    <cellStyle name="Input 8 2 2 2 2 3 4" xfId="29814"/>
    <cellStyle name="Input 8 2 2 2 2 4" xfId="12752"/>
    <cellStyle name="Input 8 2 2 2 2 4 2" xfId="42178"/>
    <cellStyle name="Input 8 2 2 2 2 4 3" xfId="39283"/>
    <cellStyle name="Input 8 2 2 2 2 4 4" xfId="30396"/>
    <cellStyle name="Input 8 2 2 2 2 5" xfId="20910"/>
    <cellStyle name="Input 8 2 2 2 2 5 2" xfId="46432"/>
    <cellStyle name="Input 8 2 2 2 2 5 3" xfId="50338"/>
    <cellStyle name="Input 8 2 2 2 2 5 4" xfId="38302"/>
    <cellStyle name="Input 8 2 2 2 2 6" xfId="21563"/>
    <cellStyle name="Input 8 2 2 2 2 6 2" xfId="47085"/>
    <cellStyle name="Input 8 2 2 2 2 6 3" xfId="50991"/>
    <cellStyle name="Input 8 2 2 2 2 7" xfId="40888"/>
    <cellStyle name="Input 8 2 2 2 2 8" xfId="39677"/>
    <cellStyle name="Input 8 2 2 2 3" xfId="11005"/>
    <cellStyle name="Input 8 2 2 2 3 2" xfId="18792"/>
    <cellStyle name="Input 8 2 2 2 3 2 2" xfId="44324"/>
    <cellStyle name="Input 8 2 2 2 3 2 3" xfId="48233"/>
    <cellStyle name="Input 8 2 2 2 3 2 4" xfId="36415"/>
    <cellStyle name="Input 8 2 2 2 3 3" xfId="20385"/>
    <cellStyle name="Input 8 2 2 2 3 3 2" xfId="45907"/>
    <cellStyle name="Input 8 2 2 2 3 3 3" xfId="49813"/>
    <cellStyle name="Input 8 2 2 2 3 3 4" xfId="37825"/>
    <cellStyle name="Input 8 2 2 2 3 4" xfId="20529"/>
    <cellStyle name="Input 8 2 2 2 3 4 2" xfId="46051"/>
    <cellStyle name="Input 8 2 2 2 3 4 3" xfId="49957"/>
    <cellStyle name="Input 8 2 2 2 3 4 4" xfId="37942"/>
    <cellStyle name="Input 8 2 2 2 3 5" xfId="21205"/>
    <cellStyle name="Input 8 2 2 2 3 5 2" xfId="46727"/>
    <cellStyle name="Input 8 2 2 2 3 5 3" xfId="50633"/>
    <cellStyle name="Input 8 2 2 2 3 5 4" xfId="38597"/>
    <cellStyle name="Input 8 2 2 2 3 6" xfId="21858"/>
    <cellStyle name="Input 8 2 2 2 3 6 2" xfId="47380"/>
    <cellStyle name="Input 8 2 2 2 3 6 3" xfId="51286"/>
    <cellStyle name="Input 8 2 2 2 3 7" xfId="41183"/>
    <cellStyle name="Input 8 2 2 2 3 8" xfId="42565"/>
    <cellStyle name="Input 8 2 2 2 4" xfId="14965"/>
    <cellStyle name="Input 8 2 2 2 4 2" xfId="43063"/>
    <cellStyle name="Input 8 2 2 2 4 3" xfId="42750"/>
    <cellStyle name="Input 8 2 2 2 4 4" xfId="32586"/>
    <cellStyle name="Input 8 2 2 2 5" xfId="11321"/>
    <cellStyle name="Input 8 2 2 2 5 2" xfId="41346"/>
    <cellStyle name="Input 8 2 2 2 5 3" xfId="40335"/>
    <cellStyle name="Input 8 2 2 2 5 4" xfId="29035"/>
    <cellStyle name="Input 8 2 2 2 6" xfId="20069"/>
    <cellStyle name="Input 8 2 2 2 6 2" xfId="45591"/>
    <cellStyle name="Input 8 2 2 2 6 3" xfId="49497"/>
    <cellStyle name="Input 8 2 2 2 6 4" xfId="37548"/>
    <cellStyle name="Input 8 2 2 2 7" xfId="20471"/>
    <cellStyle name="Input 8 2 2 2 7 2" xfId="45993"/>
    <cellStyle name="Input 8 2 2 2 7 3" xfId="49899"/>
    <cellStyle name="Input 8 2 2 2 7 4" xfId="37907"/>
    <cellStyle name="Input 8 2 2 2 8" xfId="20592"/>
    <cellStyle name="Input 8 2 2 2 8 2" xfId="46114"/>
    <cellStyle name="Input 8 2 2 2 8 3" xfId="50020"/>
    <cellStyle name="Input 8 2 2 2 9" xfId="39923"/>
    <cellStyle name="Input 8 2 2 3" xfId="53189"/>
    <cellStyle name="Input 8 2 3" xfId="7182"/>
    <cellStyle name="Input 8 2 3 10" xfId="40478"/>
    <cellStyle name="Input 8 2 3 2" xfId="10709"/>
    <cellStyle name="Input 8 2 3 2 2" xfId="18496"/>
    <cellStyle name="Input 8 2 3 2 2 2" xfId="44028"/>
    <cellStyle name="Input 8 2 3 2 2 3" xfId="47937"/>
    <cellStyle name="Input 8 2 3 2 2 4" xfId="36119"/>
    <cellStyle name="Input 8 2 3 2 3" xfId="12623"/>
    <cellStyle name="Input 8 2 3 2 3 2" xfId="42083"/>
    <cellStyle name="Input 8 2 3 2 3 3" xfId="42670"/>
    <cellStyle name="Input 8 2 3 2 3 4" xfId="30274"/>
    <cellStyle name="Input 8 2 3 2 4" xfId="20081"/>
    <cellStyle name="Input 8 2 3 2 4 2" xfId="45603"/>
    <cellStyle name="Input 8 2 3 2 4 3" xfId="49509"/>
    <cellStyle name="Input 8 2 3 2 4 4" xfId="37557"/>
    <cellStyle name="Input 8 2 3 2 5" xfId="20909"/>
    <cellStyle name="Input 8 2 3 2 5 2" xfId="46431"/>
    <cellStyle name="Input 8 2 3 2 5 3" xfId="50337"/>
    <cellStyle name="Input 8 2 3 2 5 4" xfId="38301"/>
    <cellStyle name="Input 8 2 3 2 6" xfId="21562"/>
    <cellStyle name="Input 8 2 3 2 6 2" xfId="47084"/>
    <cellStyle name="Input 8 2 3 2 6 3" xfId="50990"/>
    <cellStyle name="Input 8 2 3 2 7" xfId="40887"/>
    <cellStyle name="Input 8 2 3 2 8" xfId="40566"/>
    <cellStyle name="Input 8 2 3 3" xfId="11004"/>
    <cellStyle name="Input 8 2 3 3 2" xfId="18791"/>
    <cellStyle name="Input 8 2 3 3 2 2" xfId="44323"/>
    <cellStyle name="Input 8 2 3 3 2 3" xfId="48232"/>
    <cellStyle name="Input 8 2 3 3 2 4" xfId="36414"/>
    <cellStyle name="Input 8 2 3 3 3" xfId="20384"/>
    <cellStyle name="Input 8 2 3 3 3 2" xfId="45906"/>
    <cellStyle name="Input 8 2 3 3 3 3" xfId="49812"/>
    <cellStyle name="Input 8 2 3 3 3 4" xfId="37824"/>
    <cellStyle name="Input 8 2 3 3 4" xfId="20528"/>
    <cellStyle name="Input 8 2 3 3 4 2" xfId="46050"/>
    <cellStyle name="Input 8 2 3 3 4 3" xfId="49956"/>
    <cellStyle name="Input 8 2 3 3 4 4" xfId="37941"/>
    <cellStyle name="Input 8 2 3 3 5" xfId="21204"/>
    <cellStyle name="Input 8 2 3 3 5 2" xfId="46726"/>
    <cellStyle name="Input 8 2 3 3 5 3" xfId="50632"/>
    <cellStyle name="Input 8 2 3 3 5 4" xfId="38596"/>
    <cellStyle name="Input 8 2 3 3 6" xfId="21857"/>
    <cellStyle name="Input 8 2 3 3 6 2" xfId="47379"/>
    <cellStyle name="Input 8 2 3 3 6 3" xfId="51285"/>
    <cellStyle name="Input 8 2 3 3 7" xfId="41182"/>
    <cellStyle name="Input 8 2 3 3 8" xfId="39557"/>
    <cellStyle name="Input 8 2 3 4" xfId="14964"/>
    <cellStyle name="Input 8 2 3 4 2" xfId="43062"/>
    <cellStyle name="Input 8 2 3 4 3" xfId="40009"/>
    <cellStyle name="Input 8 2 3 4 4" xfId="32585"/>
    <cellStyle name="Input 8 2 3 5" xfId="11320"/>
    <cellStyle name="Input 8 2 3 5 2" xfId="41345"/>
    <cellStyle name="Input 8 2 3 5 3" xfId="43474"/>
    <cellStyle name="Input 8 2 3 5 4" xfId="29034"/>
    <cellStyle name="Input 8 2 3 6" xfId="11471"/>
    <cellStyle name="Input 8 2 3 6 2" xfId="41462"/>
    <cellStyle name="Input 8 2 3 6 3" xfId="43684"/>
    <cellStyle name="Input 8 2 3 6 4" xfId="29173"/>
    <cellStyle name="Input 8 2 3 7" xfId="19982"/>
    <cellStyle name="Input 8 2 3 7 2" xfId="45504"/>
    <cellStyle name="Input 8 2 3 7 3" xfId="49410"/>
    <cellStyle name="Input 8 2 3 7 4" xfId="37466"/>
    <cellStyle name="Input 8 2 3 8" xfId="20168"/>
    <cellStyle name="Input 8 2 3 8 2" xfId="45690"/>
    <cellStyle name="Input 8 2 3 8 3" xfId="49596"/>
    <cellStyle name="Input 8 2 3 9" xfId="39922"/>
    <cellStyle name="Input 8 2 4" xfId="53188"/>
    <cellStyle name="Input 8 2_Sheet1" xfId="2034"/>
    <cellStyle name="Input 8 3" xfId="2035"/>
    <cellStyle name="Input 8 3 2" xfId="7184"/>
    <cellStyle name="Input 8 3 2 10" xfId="42596"/>
    <cellStyle name="Input 8 3 2 2" xfId="10711"/>
    <cellStyle name="Input 8 3 2 2 2" xfId="18498"/>
    <cellStyle name="Input 8 3 2 2 2 2" xfId="44030"/>
    <cellStyle name="Input 8 3 2 2 2 3" xfId="47939"/>
    <cellStyle name="Input 8 3 2 2 2 4" xfId="36121"/>
    <cellStyle name="Input 8 3 2 2 3" xfId="19588"/>
    <cellStyle name="Input 8 3 2 2 3 2" xfId="45110"/>
    <cellStyle name="Input 8 3 2 2 3 3" xfId="49016"/>
    <cellStyle name="Input 8 3 2 2 3 4" xfId="37114"/>
    <cellStyle name="Input 8 3 2 2 4" xfId="12392"/>
    <cellStyle name="Input 8 3 2 2 4 2" xfId="41939"/>
    <cellStyle name="Input 8 3 2 2 4 3" xfId="43455"/>
    <cellStyle name="Input 8 3 2 2 4 4" xfId="30049"/>
    <cellStyle name="Input 8 3 2 2 5" xfId="20911"/>
    <cellStyle name="Input 8 3 2 2 5 2" xfId="46433"/>
    <cellStyle name="Input 8 3 2 2 5 3" xfId="50339"/>
    <cellStyle name="Input 8 3 2 2 5 4" xfId="38303"/>
    <cellStyle name="Input 8 3 2 2 6" xfId="21564"/>
    <cellStyle name="Input 8 3 2 2 6 2" xfId="47086"/>
    <cellStyle name="Input 8 3 2 2 6 3" xfId="50992"/>
    <cellStyle name="Input 8 3 2 2 7" xfId="40889"/>
    <cellStyle name="Input 8 3 2 2 8" xfId="42714"/>
    <cellStyle name="Input 8 3 2 3" xfId="11006"/>
    <cellStyle name="Input 8 3 2 3 2" xfId="18793"/>
    <cellStyle name="Input 8 3 2 3 2 2" xfId="44325"/>
    <cellStyle name="Input 8 3 2 3 2 3" xfId="48234"/>
    <cellStyle name="Input 8 3 2 3 2 4" xfId="36416"/>
    <cellStyle name="Input 8 3 2 3 3" xfId="20386"/>
    <cellStyle name="Input 8 3 2 3 3 2" xfId="45908"/>
    <cellStyle name="Input 8 3 2 3 3 3" xfId="49814"/>
    <cellStyle name="Input 8 3 2 3 3 4" xfId="37826"/>
    <cellStyle name="Input 8 3 2 3 4" xfId="20530"/>
    <cellStyle name="Input 8 3 2 3 4 2" xfId="46052"/>
    <cellStyle name="Input 8 3 2 3 4 3" xfId="49958"/>
    <cellStyle name="Input 8 3 2 3 4 4" xfId="37943"/>
    <cellStyle name="Input 8 3 2 3 5" xfId="21206"/>
    <cellStyle name="Input 8 3 2 3 5 2" xfId="46728"/>
    <cellStyle name="Input 8 3 2 3 5 3" xfId="50634"/>
    <cellStyle name="Input 8 3 2 3 5 4" xfId="38598"/>
    <cellStyle name="Input 8 3 2 3 6" xfId="21859"/>
    <cellStyle name="Input 8 3 2 3 6 2" xfId="47381"/>
    <cellStyle name="Input 8 3 2 3 6 3" xfId="51287"/>
    <cellStyle name="Input 8 3 2 3 7" xfId="41184"/>
    <cellStyle name="Input 8 3 2 3 8" xfId="43478"/>
    <cellStyle name="Input 8 3 2 4" xfId="14966"/>
    <cellStyle name="Input 8 3 2 4 2" xfId="43064"/>
    <cellStyle name="Input 8 3 2 4 3" xfId="43637"/>
    <cellStyle name="Input 8 3 2 4 4" xfId="32587"/>
    <cellStyle name="Input 8 3 2 5" xfId="11322"/>
    <cellStyle name="Input 8 3 2 5 2" xfId="41347"/>
    <cellStyle name="Input 8 3 2 5 3" xfId="39447"/>
    <cellStyle name="Input 8 3 2 5 4" xfId="29036"/>
    <cellStyle name="Input 8 3 2 6" xfId="18982"/>
    <cellStyle name="Input 8 3 2 6 2" xfId="44504"/>
    <cellStyle name="Input 8 3 2 6 3" xfId="48410"/>
    <cellStyle name="Input 8 3 2 6 4" xfId="36590"/>
    <cellStyle name="Input 8 3 2 7" xfId="11618"/>
    <cellStyle name="Input 8 3 2 7 2" xfId="41609"/>
    <cellStyle name="Input 8 3 2 7 3" xfId="39436"/>
    <cellStyle name="Input 8 3 2 7 4" xfId="29307"/>
    <cellStyle name="Input 8 3 2 8" xfId="12842"/>
    <cellStyle name="Input 8 3 2 8 2" xfId="42206"/>
    <cellStyle name="Input 8 3 2 8 3" xfId="43296"/>
    <cellStyle name="Input 8 3 2 9" xfId="39924"/>
    <cellStyle name="Input 8 3 3" xfId="53190"/>
    <cellStyle name="Input 8 4" xfId="7181"/>
    <cellStyle name="Input 8 4 10" xfId="43620"/>
    <cellStyle name="Input 8 4 11" xfId="53191"/>
    <cellStyle name="Input 8 4 2" xfId="10708"/>
    <cellStyle name="Input 8 4 2 2" xfId="18495"/>
    <cellStyle name="Input 8 4 2 2 2" xfId="44027"/>
    <cellStyle name="Input 8 4 2 2 3" xfId="47936"/>
    <cellStyle name="Input 8 4 2 2 4" xfId="36118"/>
    <cellStyle name="Input 8 4 2 3" xfId="19724"/>
    <cellStyle name="Input 8 4 2 3 2" xfId="45246"/>
    <cellStyle name="Input 8 4 2 3 3" xfId="49152"/>
    <cellStyle name="Input 8 4 2 3 4" xfId="37237"/>
    <cellStyle name="Input 8 4 2 4" xfId="19528"/>
    <cellStyle name="Input 8 4 2 4 2" xfId="45050"/>
    <cellStyle name="Input 8 4 2 4 3" xfId="48956"/>
    <cellStyle name="Input 8 4 2 4 4" xfId="37059"/>
    <cellStyle name="Input 8 4 2 5" xfId="20908"/>
    <cellStyle name="Input 8 4 2 5 2" xfId="46430"/>
    <cellStyle name="Input 8 4 2 5 3" xfId="50336"/>
    <cellStyle name="Input 8 4 2 5 4" xfId="38300"/>
    <cellStyle name="Input 8 4 2 6" xfId="21561"/>
    <cellStyle name="Input 8 4 2 6 2" xfId="47083"/>
    <cellStyle name="Input 8 4 2 6 3" xfId="50989"/>
    <cellStyle name="Input 8 4 2 7" xfId="40886"/>
    <cellStyle name="Input 8 4 2 8" xfId="43707"/>
    <cellStyle name="Input 8 4 3" xfId="11003"/>
    <cellStyle name="Input 8 4 3 2" xfId="18790"/>
    <cellStyle name="Input 8 4 3 2 2" xfId="44322"/>
    <cellStyle name="Input 8 4 3 2 3" xfId="48231"/>
    <cellStyle name="Input 8 4 3 2 4" xfId="36413"/>
    <cellStyle name="Input 8 4 3 3" xfId="20383"/>
    <cellStyle name="Input 8 4 3 3 2" xfId="45905"/>
    <cellStyle name="Input 8 4 3 3 3" xfId="49811"/>
    <cellStyle name="Input 8 4 3 3 4" xfId="37823"/>
    <cellStyle name="Input 8 4 3 4" xfId="20527"/>
    <cellStyle name="Input 8 4 3 4 2" xfId="46049"/>
    <cellStyle name="Input 8 4 3 4 3" xfId="49955"/>
    <cellStyle name="Input 8 4 3 4 4" xfId="37940"/>
    <cellStyle name="Input 8 4 3 5" xfId="21203"/>
    <cellStyle name="Input 8 4 3 5 2" xfId="46725"/>
    <cellStyle name="Input 8 4 3 5 3" xfId="50631"/>
    <cellStyle name="Input 8 4 3 5 4" xfId="38595"/>
    <cellStyle name="Input 8 4 3 6" xfId="21856"/>
    <cellStyle name="Input 8 4 3 6 2" xfId="47378"/>
    <cellStyle name="Input 8 4 3 6 3" xfId="51284"/>
    <cellStyle name="Input 8 4 3 7" xfId="41181"/>
    <cellStyle name="Input 8 4 3 8" xfId="40447"/>
    <cellStyle name="Input 8 4 4" xfId="14963"/>
    <cellStyle name="Input 8 4 4 2" xfId="43061"/>
    <cellStyle name="Input 8 4 4 3" xfId="43150"/>
    <cellStyle name="Input 8 4 4 4" xfId="32584"/>
    <cellStyle name="Input 8 4 5" xfId="13184"/>
    <cellStyle name="Input 8 4 5 2" xfId="42386"/>
    <cellStyle name="Input 8 4 5 3" xfId="47458"/>
    <cellStyle name="Input 8 4 5 4" xfId="30819"/>
    <cellStyle name="Input 8 4 6" xfId="19152"/>
    <cellStyle name="Input 8 4 6 2" xfId="44674"/>
    <cellStyle name="Input 8 4 6 3" xfId="48580"/>
    <cellStyle name="Input 8 4 6 4" xfId="36730"/>
    <cellStyle name="Input 8 4 7" xfId="19225"/>
    <cellStyle name="Input 8 4 7 2" xfId="44747"/>
    <cellStyle name="Input 8 4 7 3" xfId="48653"/>
    <cellStyle name="Input 8 4 7 4" xfId="36791"/>
    <cellStyle name="Input 8 4 8" xfId="19781"/>
    <cellStyle name="Input 8 4 8 2" xfId="45303"/>
    <cellStyle name="Input 8 4 8 3" xfId="49209"/>
    <cellStyle name="Input 8 4 9" xfId="39921"/>
    <cellStyle name="Input 8 5" xfId="22477"/>
    <cellStyle name="Input 8 6" xfId="22893"/>
    <cellStyle name="Input 8 7" xfId="53187"/>
    <cellStyle name="Input 8_Sheet1" xfId="2036"/>
    <cellStyle name="Input 9" xfId="2037"/>
    <cellStyle name="Input 9 2" xfId="2038"/>
    <cellStyle name="Input 9 2 2" xfId="2039"/>
    <cellStyle name="Input 9 2 2 2" xfId="7187"/>
    <cellStyle name="Input 9 2 2 2 10" xfId="39484"/>
    <cellStyle name="Input 9 2 2 2 2" xfId="10714"/>
    <cellStyle name="Input 9 2 2 2 2 2" xfId="18501"/>
    <cellStyle name="Input 9 2 2 2 2 2 2" xfId="44033"/>
    <cellStyle name="Input 9 2 2 2 2 2 3" xfId="47942"/>
    <cellStyle name="Input 9 2 2 2 2 2 4" xfId="36124"/>
    <cellStyle name="Input 9 2 2 2 2 3" xfId="20007"/>
    <cellStyle name="Input 9 2 2 2 2 3 2" xfId="45529"/>
    <cellStyle name="Input 9 2 2 2 2 3 3" xfId="49435"/>
    <cellStyle name="Input 9 2 2 2 2 3 4" xfId="37491"/>
    <cellStyle name="Input 9 2 2 2 2 4" xfId="20045"/>
    <cellStyle name="Input 9 2 2 2 2 4 2" xfId="45567"/>
    <cellStyle name="Input 9 2 2 2 2 4 3" xfId="49473"/>
    <cellStyle name="Input 9 2 2 2 2 4 4" xfId="37526"/>
    <cellStyle name="Input 9 2 2 2 2 5" xfId="20914"/>
    <cellStyle name="Input 9 2 2 2 2 5 2" xfId="46436"/>
    <cellStyle name="Input 9 2 2 2 2 5 3" xfId="50342"/>
    <cellStyle name="Input 9 2 2 2 2 5 4" xfId="38306"/>
    <cellStyle name="Input 9 2 2 2 2 6" xfId="21567"/>
    <cellStyle name="Input 9 2 2 2 2 6 2" xfId="47089"/>
    <cellStyle name="Input 9 2 2 2 2 6 3" xfId="50995"/>
    <cellStyle name="Input 9 2 2 2 2 7" xfId="40892"/>
    <cellStyle name="Input 9 2 2 2 2 8" xfId="39571"/>
    <cellStyle name="Input 9 2 2 2 3" xfId="11009"/>
    <cellStyle name="Input 9 2 2 2 3 2" xfId="18796"/>
    <cellStyle name="Input 9 2 2 2 3 2 2" xfId="44328"/>
    <cellStyle name="Input 9 2 2 2 3 2 3" xfId="48237"/>
    <cellStyle name="Input 9 2 2 2 3 2 4" xfId="36419"/>
    <cellStyle name="Input 9 2 2 2 3 3" xfId="20389"/>
    <cellStyle name="Input 9 2 2 2 3 3 2" xfId="45911"/>
    <cellStyle name="Input 9 2 2 2 3 3 3" xfId="49817"/>
    <cellStyle name="Input 9 2 2 2 3 3 4" xfId="37829"/>
    <cellStyle name="Input 9 2 2 2 3 4" xfId="20533"/>
    <cellStyle name="Input 9 2 2 2 3 4 2" xfId="46055"/>
    <cellStyle name="Input 9 2 2 2 3 4 3" xfId="49961"/>
    <cellStyle name="Input 9 2 2 2 3 4 4" xfId="37946"/>
    <cellStyle name="Input 9 2 2 2 3 5" xfId="21209"/>
    <cellStyle name="Input 9 2 2 2 3 5 2" xfId="46731"/>
    <cellStyle name="Input 9 2 2 2 3 5 3" xfId="50637"/>
    <cellStyle name="Input 9 2 2 2 3 5 4" xfId="38601"/>
    <cellStyle name="Input 9 2 2 2 3 6" xfId="21862"/>
    <cellStyle name="Input 9 2 2 2 3 6 2" xfId="47384"/>
    <cellStyle name="Input 9 2 2 2 3 6 3" xfId="51290"/>
    <cellStyle name="Input 9 2 2 2 3 7" xfId="41187"/>
    <cellStyle name="Input 9 2 2 2 3 8" xfId="42021"/>
    <cellStyle name="Input 9 2 2 2 4" xfId="14969"/>
    <cellStyle name="Input 9 2 2 2 4 2" xfId="43067"/>
    <cellStyle name="Input 9 2 2 2 4 3" xfId="42640"/>
    <cellStyle name="Input 9 2 2 2 4 4" xfId="32590"/>
    <cellStyle name="Input 9 2 2 2 5" xfId="13187"/>
    <cellStyle name="Input 9 2 2 2 5 2" xfId="42389"/>
    <cellStyle name="Input 9 2 2 2 5 3" xfId="41276"/>
    <cellStyle name="Input 9 2 2 2 5 4" xfId="30822"/>
    <cellStyle name="Input 9 2 2 2 6" xfId="12039"/>
    <cellStyle name="Input 9 2 2 2 6 2" xfId="41775"/>
    <cellStyle name="Input 9 2 2 2 6 3" xfId="43565"/>
    <cellStyle name="Input 9 2 2 2 6 4" xfId="29704"/>
    <cellStyle name="Input 9 2 2 2 7" xfId="19237"/>
    <cellStyle name="Input 9 2 2 2 7 2" xfId="44759"/>
    <cellStyle name="Input 9 2 2 2 7 3" xfId="48665"/>
    <cellStyle name="Input 9 2 2 2 7 4" xfId="36801"/>
    <cellStyle name="Input 9 2 2 2 8" xfId="11815"/>
    <cellStyle name="Input 9 2 2 2 8 2" xfId="41733"/>
    <cellStyle name="Input 9 2 2 2 8 3" xfId="47479"/>
    <cellStyle name="Input 9 2 2 2 9" xfId="39927"/>
    <cellStyle name="Input 9 2 2 3" xfId="53194"/>
    <cellStyle name="Input 9 2 3" xfId="7186"/>
    <cellStyle name="Input 9 2 3 10" xfId="40372"/>
    <cellStyle name="Input 9 2 3 2" xfId="10713"/>
    <cellStyle name="Input 9 2 3 2 2" xfId="18500"/>
    <cellStyle name="Input 9 2 3 2 2 2" xfId="44032"/>
    <cellStyle name="Input 9 2 3 2 2 3" xfId="47941"/>
    <cellStyle name="Input 9 2 3 2 2 4" xfId="36123"/>
    <cellStyle name="Input 9 2 3 2 3" xfId="19400"/>
    <cellStyle name="Input 9 2 3 2 3 2" xfId="44922"/>
    <cellStyle name="Input 9 2 3 2 3 3" xfId="48828"/>
    <cellStyle name="Input 9 2 3 2 3 4" xfId="36951"/>
    <cellStyle name="Input 9 2 3 2 4" xfId="11632"/>
    <cellStyle name="Input 9 2 3 2 4 2" xfId="41623"/>
    <cellStyle name="Input 9 2 3 2 4 3" xfId="39137"/>
    <cellStyle name="Input 9 2 3 2 4 4" xfId="29319"/>
    <cellStyle name="Input 9 2 3 2 5" xfId="20913"/>
    <cellStyle name="Input 9 2 3 2 5 2" xfId="46435"/>
    <cellStyle name="Input 9 2 3 2 5 3" xfId="50341"/>
    <cellStyle name="Input 9 2 3 2 5 4" xfId="38305"/>
    <cellStyle name="Input 9 2 3 2 6" xfId="21566"/>
    <cellStyle name="Input 9 2 3 2 6 2" xfId="47088"/>
    <cellStyle name="Input 9 2 3 2 6 3" xfId="50994"/>
    <cellStyle name="Input 9 2 3 2 7" xfId="40891"/>
    <cellStyle name="Input 9 2 3 2 8" xfId="40461"/>
    <cellStyle name="Input 9 2 3 3" xfId="11008"/>
    <cellStyle name="Input 9 2 3 3 2" xfId="18795"/>
    <cellStyle name="Input 9 2 3 3 2 2" xfId="44327"/>
    <cellStyle name="Input 9 2 3 3 2 3" xfId="48236"/>
    <cellStyle name="Input 9 2 3 3 2 4" xfId="36418"/>
    <cellStyle name="Input 9 2 3 3 3" xfId="20388"/>
    <cellStyle name="Input 9 2 3 3 3 2" xfId="45910"/>
    <cellStyle name="Input 9 2 3 3 3 3" xfId="49816"/>
    <cellStyle name="Input 9 2 3 3 3 4" xfId="37828"/>
    <cellStyle name="Input 9 2 3 3 4" xfId="20532"/>
    <cellStyle name="Input 9 2 3 3 4 2" xfId="46054"/>
    <cellStyle name="Input 9 2 3 3 4 3" xfId="49960"/>
    <cellStyle name="Input 9 2 3 3 4 4" xfId="37945"/>
    <cellStyle name="Input 9 2 3 3 5" xfId="21208"/>
    <cellStyle name="Input 9 2 3 3 5 2" xfId="46730"/>
    <cellStyle name="Input 9 2 3 3 5 3" xfId="50636"/>
    <cellStyle name="Input 9 2 3 3 5 4" xfId="38600"/>
    <cellStyle name="Input 9 2 3 3 6" xfId="21861"/>
    <cellStyle name="Input 9 2 3 3 6 2" xfId="47383"/>
    <cellStyle name="Input 9 2 3 3 6 3" xfId="51289"/>
    <cellStyle name="Input 9 2 3 3 7" xfId="41186"/>
    <cellStyle name="Input 9 2 3 3 8" xfId="39453"/>
    <cellStyle name="Input 9 2 3 4" xfId="14968"/>
    <cellStyle name="Input 9 2 3 4 2" xfId="43066"/>
    <cellStyle name="Input 9 2 3 4 3" xfId="39604"/>
    <cellStyle name="Input 9 2 3 4 4" xfId="32589"/>
    <cellStyle name="Input 9 2 3 5" xfId="13186"/>
    <cellStyle name="Input 9 2 3 5 2" xfId="42388"/>
    <cellStyle name="Input 9 2 3 5 3" xfId="47456"/>
    <cellStyle name="Input 9 2 3 5 4" xfId="30821"/>
    <cellStyle name="Input 9 2 3 6" xfId="19920"/>
    <cellStyle name="Input 9 2 3 6 2" xfId="45442"/>
    <cellStyle name="Input 9 2 3 6 3" xfId="49348"/>
    <cellStyle name="Input 9 2 3 6 4" xfId="37417"/>
    <cellStyle name="Input 9 2 3 7" xfId="11717"/>
    <cellStyle name="Input 9 2 3 7 2" xfId="41686"/>
    <cellStyle name="Input 9 2 3 7 3" xfId="41990"/>
    <cellStyle name="Input 9 2 3 7 4" xfId="29390"/>
    <cellStyle name="Input 9 2 3 8" xfId="20084"/>
    <cellStyle name="Input 9 2 3 8 2" xfId="45606"/>
    <cellStyle name="Input 9 2 3 8 3" xfId="49512"/>
    <cellStyle name="Input 9 2 3 9" xfId="39926"/>
    <cellStyle name="Input 9 2 4" xfId="53193"/>
    <cellStyle name="Input 9 2_Sheet1" xfId="2040"/>
    <cellStyle name="Input 9 3" xfId="2041"/>
    <cellStyle name="Input 9 3 2" xfId="7188"/>
    <cellStyle name="Input 9 3 2 10" xfId="42165"/>
    <cellStyle name="Input 9 3 2 2" xfId="10715"/>
    <cellStyle name="Input 9 3 2 2 2" xfId="18502"/>
    <cellStyle name="Input 9 3 2 2 2 2" xfId="44034"/>
    <cellStyle name="Input 9 3 2 2 2 3" xfId="47943"/>
    <cellStyle name="Input 9 3 2 2 2 4" xfId="36125"/>
    <cellStyle name="Input 9 3 2 2 3" xfId="19273"/>
    <cellStyle name="Input 9 3 2 2 3 2" xfId="44795"/>
    <cellStyle name="Input 9 3 2 2 3 3" xfId="48701"/>
    <cellStyle name="Input 9 3 2 2 3 4" xfId="36837"/>
    <cellStyle name="Input 9 3 2 2 4" xfId="19690"/>
    <cellStyle name="Input 9 3 2 2 4 2" xfId="45212"/>
    <cellStyle name="Input 9 3 2 2 4 3" xfId="49118"/>
    <cellStyle name="Input 9 3 2 2 4 4" xfId="37204"/>
    <cellStyle name="Input 9 3 2 2 5" xfId="20915"/>
    <cellStyle name="Input 9 3 2 2 5 2" xfId="46437"/>
    <cellStyle name="Input 9 3 2 2 5 3" xfId="50343"/>
    <cellStyle name="Input 9 3 2 2 5 4" xfId="38307"/>
    <cellStyle name="Input 9 3 2 2 6" xfId="21568"/>
    <cellStyle name="Input 9 3 2 2 6 2" xfId="47090"/>
    <cellStyle name="Input 9 3 2 2 6 3" xfId="50996"/>
    <cellStyle name="Input 9 3 2 2 7" xfId="40893"/>
    <cellStyle name="Input 9 3 2 2 8" xfId="42579"/>
    <cellStyle name="Input 9 3 2 3" xfId="11010"/>
    <cellStyle name="Input 9 3 2 3 2" xfId="18797"/>
    <cellStyle name="Input 9 3 2 3 2 2" xfId="44329"/>
    <cellStyle name="Input 9 3 2 3 2 3" xfId="48238"/>
    <cellStyle name="Input 9 3 2 3 2 4" xfId="36420"/>
    <cellStyle name="Input 9 3 2 3 3" xfId="20390"/>
    <cellStyle name="Input 9 3 2 3 3 2" xfId="45912"/>
    <cellStyle name="Input 9 3 2 3 3 3" xfId="49818"/>
    <cellStyle name="Input 9 3 2 3 3 4" xfId="37830"/>
    <cellStyle name="Input 9 3 2 3 4" xfId="20534"/>
    <cellStyle name="Input 9 3 2 3 4 2" xfId="46056"/>
    <cellStyle name="Input 9 3 2 3 4 3" xfId="49962"/>
    <cellStyle name="Input 9 3 2 3 4 4" xfId="37947"/>
    <cellStyle name="Input 9 3 2 3 5" xfId="21210"/>
    <cellStyle name="Input 9 3 2 3 5 2" xfId="46732"/>
    <cellStyle name="Input 9 3 2 3 5 3" xfId="50638"/>
    <cellStyle name="Input 9 3 2 3 5 4" xfId="38602"/>
    <cellStyle name="Input 9 3 2 3 6" xfId="21863"/>
    <cellStyle name="Input 9 3 2 3 6 2" xfId="47385"/>
    <cellStyle name="Input 9 3 2 3 6 3" xfId="51291"/>
    <cellStyle name="Input 9 3 2 3 7" xfId="41188"/>
    <cellStyle name="Input 9 3 2 3 8" xfId="43340"/>
    <cellStyle name="Input 9 3 2 4" xfId="14970"/>
    <cellStyle name="Input 9 3 2 4 2" xfId="43068"/>
    <cellStyle name="Input 9 3 2 4 3" xfId="43528"/>
    <cellStyle name="Input 9 3 2 4 4" xfId="32591"/>
    <cellStyle name="Input 9 3 2 5" xfId="13188"/>
    <cellStyle name="Input 9 3 2 5 2" xfId="42390"/>
    <cellStyle name="Input 9 3 2 5 3" xfId="43165"/>
    <cellStyle name="Input 9 3 2 5 4" xfId="30823"/>
    <cellStyle name="Input 9 3 2 6" xfId="13307"/>
    <cellStyle name="Input 9 3 2 6 2" xfId="42458"/>
    <cellStyle name="Input 9 3 2 6 3" xfId="41935"/>
    <cellStyle name="Input 9 3 2 6 4" xfId="30933"/>
    <cellStyle name="Input 9 3 2 7" xfId="11468"/>
    <cellStyle name="Input 9 3 2 7 2" xfId="41459"/>
    <cellStyle name="Input 9 3 2 7 3" xfId="43190"/>
    <cellStyle name="Input 9 3 2 7 4" xfId="29170"/>
    <cellStyle name="Input 9 3 2 8" xfId="20105"/>
    <cellStyle name="Input 9 3 2 8 2" xfId="45627"/>
    <cellStyle name="Input 9 3 2 8 3" xfId="49533"/>
    <cellStyle name="Input 9 3 2 9" xfId="39928"/>
    <cellStyle name="Input 9 3 3" xfId="53195"/>
    <cellStyle name="Input 9 4" xfId="7185"/>
    <cellStyle name="Input 9 4 10" xfId="43509"/>
    <cellStyle name="Input 9 4 11" xfId="53196"/>
    <cellStyle name="Input 9 4 2" xfId="10712"/>
    <cellStyle name="Input 9 4 2 2" xfId="18499"/>
    <cellStyle name="Input 9 4 2 2 2" xfId="44031"/>
    <cellStyle name="Input 9 4 2 2 3" xfId="47940"/>
    <cellStyle name="Input 9 4 2 2 4" xfId="36122"/>
    <cellStyle name="Input 9 4 2 3" xfId="20141"/>
    <cellStyle name="Input 9 4 2 3 2" xfId="45663"/>
    <cellStyle name="Input 9 4 2 3 3" xfId="49569"/>
    <cellStyle name="Input 9 4 2 3 4" xfId="37613"/>
    <cellStyle name="Input 9 4 2 4" xfId="11534"/>
    <cellStyle name="Input 9 4 2 4 2" xfId="41525"/>
    <cellStyle name="Input 9 4 2 4 3" xfId="42685"/>
    <cellStyle name="Input 9 4 2 4 4" xfId="29234"/>
    <cellStyle name="Input 9 4 2 5" xfId="20912"/>
    <cellStyle name="Input 9 4 2 5 2" xfId="46434"/>
    <cellStyle name="Input 9 4 2 5 3" xfId="50340"/>
    <cellStyle name="Input 9 4 2 5 4" xfId="38304"/>
    <cellStyle name="Input 9 4 2 6" xfId="21565"/>
    <cellStyle name="Input 9 4 2 6 2" xfId="47087"/>
    <cellStyle name="Input 9 4 2 6 3" xfId="50993"/>
    <cellStyle name="Input 9 4 2 7" xfId="40890"/>
    <cellStyle name="Input 9 4 2 8" xfId="43603"/>
    <cellStyle name="Input 9 4 3" xfId="11007"/>
    <cellStyle name="Input 9 4 3 2" xfId="18794"/>
    <cellStyle name="Input 9 4 3 2 2" xfId="44326"/>
    <cellStyle name="Input 9 4 3 2 3" xfId="48235"/>
    <cellStyle name="Input 9 4 3 2 4" xfId="36417"/>
    <cellStyle name="Input 9 4 3 3" xfId="20387"/>
    <cellStyle name="Input 9 4 3 3 2" xfId="45909"/>
    <cellStyle name="Input 9 4 3 3 3" xfId="49815"/>
    <cellStyle name="Input 9 4 3 3 4" xfId="37827"/>
    <cellStyle name="Input 9 4 3 4" xfId="20531"/>
    <cellStyle name="Input 9 4 3 4 2" xfId="46053"/>
    <cellStyle name="Input 9 4 3 4 3" xfId="49959"/>
    <cellStyle name="Input 9 4 3 4 4" xfId="37944"/>
    <cellStyle name="Input 9 4 3 5" xfId="21207"/>
    <cellStyle name="Input 9 4 3 5 2" xfId="46729"/>
    <cellStyle name="Input 9 4 3 5 3" xfId="50635"/>
    <cellStyle name="Input 9 4 3 5 4" xfId="38599"/>
    <cellStyle name="Input 9 4 3 6" xfId="21860"/>
    <cellStyle name="Input 9 4 3 6 2" xfId="47382"/>
    <cellStyle name="Input 9 4 3 6 3" xfId="51288"/>
    <cellStyle name="Input 9 4 3 7" xfId="41185"/>
    <cellStyle name="Input 9 4 3 8" xfId="40341"/>
    <cellStyle name="Input 9 4 4" xfId="14967"/>
    <cellStyle name="Input 9 4 4 2" xfId="43065"/>
    <cellStyle name="Input 9 4 4 3" xfId="40496"/>
    <cellStyle name="Input 9 4 4 4" xfId="32588"/>
    <cellStyle name="Input 9 4 5" xfId="13185"/>
    <cellStyle name="Input 9 4 5 2" xfId="42387"/>
    <cellStyle name="Input 9 4 5 3" xfId="44388"/>
    <cellStyle name="Input 9 4 5 4" xfId="30820"/>
    <cellStyle name="Input 9 4 6" xfId="12856"/>
    <cellStyle name="Input 9 4 6 2" xfId="42220"/>
    <cellStyle name="Input 9 4 6 3" xfId="39522"/>
    <cellStyle name="Input 9 4 6 4" xfId="30494"/>
    <cellStyle name="Input 9 4 7" xfId="20252"/>
    <cellStyle name="Input 9 4 7 2" xfId="45774"/>
    <cellStyle name="Input 9 4 7 3" xfId="49680"/>
    <cellStyle name="Input 9 4 7 4" xfId="37708"/>
    <cellStyle name="Input 9 4 8" xfId="19014"/>
    <cellStyle name="Input 9 4 8 2" xfId="44536"/>
    <cellStyle name="Input 9 4 8 3" xfId="48442"/>
    <cellStyle name="Input 9 4 9" xfId="39925"/>
    <cellStyle name="Input 9 5" xfId="22478"/>
    <cellStyle name="Input 9 6" xfId="22892"/>
    <cellStyle name="Input 9 7" xfId="53192"/>
    <cellStyle name="Input 9_Sheet1" xfId="2042"/>
    <cellStyle name="Linked Cell" xfId="157" builtinId="24" customBuiltin="1"/>
    <cellStyle name="Linked Cell 2" xfId="109"/>
    <cellStyle name="Linked Cell 2 2" xfId="2043"/>
    <cellStyle name="Linked Cell 2 2 2" xfId="2044"/>
    <cellStyle name="Linked Cell 2 2_Sheet1" xfId="2045"/>
    <cellStyle name="Linked Cell 2 3" xfId="2046"/>
    <cellStyle name="Linked Cell 2 4" xfId="2047"/>
    <cellStyle name="Linked Cell 2 5" xfId="4245"/>
    <cellStyle name="Linked Cell 2_Sheet1" xfId="2048"/>
    <cellStyle name="Linked Cell 3" xfId="110"/>
    <cellStyle name="Linked Cell 3 2" xfId="2049"/>
    <cellStyle name="Linked Cell 3 3" xfId="2050"/>
    <cellStyle name="Linked Cell 3 4" xfId="4246"/>
    <cellStyle name="Linked Cell 4" xfId="111"/>
    <cellStyle name="Linked Cell 4 2" xfId="2051"/>
    <cellStyle name="Linked Cell 4 3" xfId="2052"/>
    <cellStyle name="Linked Cell 4 4" xfId="4247"/>
    <cellStyle name="Linked Cell 4 5" xfId="4248"/>
    <cellStyle name="Linked Cell 5" xfId="2053"/>
    <cellStyle name="Linked Cell 5 2" xfId="4249"/>
    <cellStyle name="Linked Cell 5 3" xfId="4250"/>
    <cellStyle name="Linked Cell 6" xfId="22480"/>
    <cellStyle name="Linked Cell 7" xfId="22481"/>
    <cellStyle name="Linked Cell 8" xfId="22482"/>
    <cellStyle name="Linked Cell 9" xfId="22479"/>
    <cellStyle name="Neutral" xfId="148" builtinId="28" customBuiltin="1"/>
    <cellStyle name="Neutral 2" xfId="112"/>
    <cellStyle name="Neutral 2 10" xfId="2055"/>
    <cellStyle name="Neutral 2 11" xfId="2056"/>
    <cellStyle name="Neutral 2 12" xfId="2057"/>
    <cellStyle name="Neutral 2 13" xfId="2058"/>
    <cellStyle name="Neutral 2 14" xfId="2059"/>
    <cellStyle name="Neutral 2 15" xfId="4251"/>
    <cellStyle name="Neutral 2 16" xfId="4252"/>
    <cellStyle name="Neutral 2 17" xfId="4253"/>
    <cellStyle name="Neutral 2 18" xfId="2054"/>
    <cellStyle name="Neutral 2 2" xfId="2060"/>
    <cellStyle name="Neutral 2 2 2" xfId="2061"/>
    <cellStyle name="Neutral 2 2 3" xfId="2062"/>
    <cellStyle name="Neutral 2 2 4" xfId="4254"/>
    <cellStyle name="Neutral 2 2 5" xfId="4255"/>
    <cellStyle name="Neutral 2 2_Sheet1" xfId="2063"/>
    <cellStyle name="Neutral 2 3" xfId="2064"/>
    <cellStyle name="Neutral 2 4" xfId="2065"/>
    <cellStyle name="Neutral 2 5" xfId="2066"/>
    <cellStyle name="Neutral 2 6" xfId="2067"/>
    <cellStyle name="Neutral 2 7" xfId="2068"/>
    <cellStyle name="Neutral 2 8" xfId="2069"/>
    <cellStyle name="Neutral 2 9" xfId="2070"/>
    <cellStyle name="Neutral 2_BallGrid" xfId="2071"/>
    <cellStyle name="Neutral 3" xfId="113"/>
    <cellStyle name="Neutral 3 2" xfId="2072"/>
    <cellStyle name="Neutral 3 2 2" xfId="22484"/>
    <cellStyle name="Neutral 3 3" xfId="2073"/>
    <cellStyle name="Neutral 3 4" xfId="4256"/>
    <cellStyle name="Neutral 4" xfId="114"/>
    <cellStyle name="Neutral 4 2" xfId="2074"/>
    <cellStyle name="Neutral 4 3" xfId="2075"/>
    <cellStyle name="Neutral 4 4" xfId="4257"/>
    <cellStyle name="Neutral 4 5" xfId="4258"/>
    <cellStyle name="Neutral 5" xfId="2076"/>
    <cellStyle name="Neutral 5 2" xfId="4259"/>
    <cellStyle name="Neutral 5 3" xfId="4260"/>
    <cellStyle name="Neutral 5 4" xfId="22485"/>
    <cellStyle name="Neutral 6" xfId="22486"/>
    <cellStyle name="Neutral 7" xfId="22487"/>
    <cellStyle name="Neutral 8" xfId="22483"/>
    <cellStyle name="Normal" xfId="0" builtinId="0"/>
    <cellStyle name="Normal - Style1" xfId="2077"/>
    <cellStyle name="Normal 10" xfId="192"/>
    <cellStyle name="Normal 10 2" xfId="209"/>
    <cellStyle name="Normal 10 2 2" xfId="22738"/>
    <cellStyle name="Normal 10 2 2 2" xfId="38931"/>
    <cellStyle name="Normal 10 3" xfId="202"/>
    <cellStyle name="Normal 10 4" xfId="22488"/>
    <cellStyle name="Normal 10 4 2" xfId="38811"/>
    <cellStyle name="Normal 10 5" xfId="51870"/>
    <cellStyle name="Normal 100" xfId="2078"/>
    <cellStyle name="Normal 100 2" xfId="4261"/>
    <cellStyle name="Normal 100 3" xfId="22489"/>
    <cellStyle name="Normal 100 3 2" xfId="38812"/>
    <cellStyle name="Normal 100 4" xfId="51871"/>
    <cellStyle name="Normal 101" xfId="2079"/>
    <cellStyle name="Normal 101 2" xfId="4262"/>
    <cellStyle name="Normal 101 3" xfId="22490"/>
    <cellStyle name="Normal 101 3 2" xfId="38813"/>
    <cellStyle name="Normal 101 4" xfId="51872"/>
    <cellStyle name="Normal 102" xfId="2080"/>
    <cellStyle name="Normal 102 10" xfId="51873"/>
    <cellStyle name="Normal 102 2" xfId="4263"/>
    <cellStyle name="Normal 102 2 2" xfId="8465"/>
    <cellStyle name="Normal 102 2 2 2" xfId="16255"/>
    <cellStyle name="Normal 102 2 2 2 2" xfId="33876"/>
    <cellStyle name="Normal 102 2 2 3" xfId="26852"/>
    <cellStyle name="Normal 102 2 3" xfId="12691"/>
    <cellStyle name="Normal 102 2 3 2" xfId="30337"/>
    <cellStyle name="Normal 102 2 4" xfId="23991"/>
    <cellStyle name="Normal 102 3" xfId="5784"/>
    <cellStyle name="Normal 102 3 2" xfId="9081"/>
    <cellStyle name="Normal 102 3 2 2" xfId="16870"/>
    <cellStyle name="Normal 102 3 2 2 2" xfId="34492"/>
    <cellStyle name="Normal 102 3 2 3" xfId="27455"/>
    <cellStyle name="Normal 102 3 3" xfId="13634"/>
    <cellStyle name="Normal 102 3 3 2" xfId="31260"/>
    <cellStyle name="Normal 102 3 4" xfId="24594"/>
    <cellStyle name="Normal 102 4" xfId="6414"/>
    <cellStyle name="Normal 102 4 2" xfId="9621"/>
    <cellStyle name="Normal 102 4 2 2" xfId="17409"/>
    <cellStyle name="Normal 102 4 2 2 2" xfId="35032"/>
    <cellStyle name="Normal 102 4 2 3" xfId="27991"/>
    <cellStyle name="Normal 102 4 3" xfId="14197"/>
    <cellStyle name="Normal 102 4 3 2" xfId="31818"/>
    <cellStyle name="Normal 102 4 4" xfId="25130"/>
    <cellStyle name="Normal 102 5" xfId="7189"/>
    <cellStyle name="Normal 102 5 2" xfId="10174"/>
    <cellStyle name="Normal 102 5 2 2" xfId="17961"/>
    <cellStyle name="Normal 102 5 2 2 2" xfId="35584"/>
    <cellStyle name="Normal 102 5 2 3" xfId="28527"/>
    <cellStyle name="Normal 102 5 3" xfId="14971"/>
    <cellStyle name="Normal 102 5 3 2" xfId="32592"/>
    <cellStyle name="Normal 102 5 4" xfId="25667"/>
    <cellStyle name="Normal 102 6" xfId="7787"/>
    <cellStyle name="Normal 102 6 2" xfId="15578"/>
    <cellStyle name="Normal 102 6 2 2" xfId="33199"/>
    <cellStyle name="Normal 102 6 3" xfId="26189"/>
    <cellStyle name="Normal 102 7" xfId="11678"/>
    <cellStyle name="Normal 102 7 2" xfId="29357"/>
    <cellStyle name="Normal 102 8" xfId="21946"/>
    <cellStyle name="Normal 102 8 2" xfId="38683"/>
    <cellStyle name="Normal 102 9" xfId="23328"/>
    <cellStyle name="Normal 103" xfId="2081"/>
    <cellStyle name="Normal 103 10" xfId="51874"/>
    <cellStyle name="Normal 103 2" xfId="4264"/>
    <cellStyle name="Normal 103 2 2" xfId="8466"/>
    <cellStyle name="Normal 103 2 2 2" xfId="16256"/>
    <cellStyle name="Normal 103 2 2 2 2" xfId="33877"/>
    <cellStyle name="Normal 103 2 2 3" xfId="26853"/>
    <cellStyle name="Normal 103 2 3" xfId="12692"/>
    <cellStyle name="Normal 103 2 3 2" xfId="30338"/>
    <cellStyle name="Normal 103 2 4" xfId="23992"/>
    <cellStyle name="Normal 103 3" xfId="5785"/>
    <cellStyle name="Normal 103 3 2" xfId="9082"/>
    <cellStyle name="Normal 103 3 2 2" xfId="16871"/>
    <cellStyle name="Normal 103 3 2 2 2" xfId="34493"/>
    <cellStyle name="Normal 103 3 2 3" xfId="27456"/>
    <cellStyle name="Normal 103 3 3" xfId="13635"/>
    <cellStyle name="Normal 103 3 3 2" xfId="31261"/>
    <cellStyle name="Normal 103 3 4" xfId="24595"/>
    <cellStyle name="Normal 103 4" xfId="6415"/>
    <cellStyle name="Normal 103 4 2" xfId="9622"/>
    <cellStyle name="Normal 103 4 2 2" xfId="17410"/>
    <cellStyle name="Normal 103 4 2 2 2" xfId="35033"/>
    <cellStyle name="Normal 103 4 2 3" xfId="27992"/>
    <cellStyle name="Normal 103 4 3" xfId="14198"/>
    <cellStyle name="Normal 103 4 3 2" xfId="31819"/>
    <cellStyle name="Normal 103 4 4" xfId="25131"/>
    <cellStyle name="Normal 103 5" xfId="7190"/>
    <cellStyle name="Normal 103 5 2" xfId="10175"/>
    <cellStyle name="Normal 103 5 2 2" xfId="17962"/>
    <cellStyle name="Normal 103 5 2 2 2" xfId="35585"/>
    <cellStyle name="Normal 103 5 2 3" xfId="28528"/>
    <cellStyle name="Normal 103 5 3" xfId="14972"/>
    <cellStyle name="Normal 103 5 3 2" xfId="32593"/>
    <cellStyle name="Normal 103 5 4" xfId="25668"/>
    <cellStyle name="Normal 103 6" xfId="7788"/>
    <cellStyle name="Normal 103 6 2" xfId="15579"/>
    <cellStyle name="Normal 103 6 2 2" xfId="33200"/>
    <cellStyle name="Normal 103 6 3" xfId="26190"/>
    <cellStyle name="Normal 103 7" xfId="11679"/>
    <cellStyle name="Normal 103 7 2" xfId="29358"/>
    <cellStyle name="Normal 103 8" xfId="21947"/>
    <cellStyle name="Normal 103 8 2" xfId="38684"/>
    <cellStyle name="Normal 103 9" xfId="23329"/>
    <cellStyle name="Normal 104" xfId="2082"/>
    <cellStyle name="Normal 104 10" xfId="51875"/>
    <cellStyle name="Normal 104 2" xfId="4265"/>
    <cellStyle name="Normal 104 2 2" xfId="8467"/>
    <cellStyle name="Normal 104 2 2 2" xfId="16257"/>
    <cellStyle name="Normal 104 2 2 2 2" xfId="33878"/>
    <cellStyle name="Normal 104 2 2 3" xfId="26854"/>
    <cellStyle name="Normal 104 2 3" xfId="12693"/>
    <cellStyle name="Normal 104 2 3 2" xfId="30339"/>
    <cellStyle name="Normal 104 2 4" xfId="23993"/>
    <cellStyle name="Normal 104 3" xfId="5786"/>
    <cellStyle name="Normal 104 3 2" xfId="9083"/>
    <cellStyle name="Normal 104 3 2 2" xfId="16872"/>
    <cellStyle name="Normal 104 3 2 2 2" xfId="34494"/>
    <cellStyle name="Normal 104 3 2 3" xfId="27457"/>
    <cellStyle name="Normal 104 3 3" xfId="13636"/>
    <cellStyle name="Normal 104 3 3 2" xfId="31262"/>
    <cellStyle name="Normal 104 3 4" xfId="24596"/>
    <cellStyle name="Normal 104 4" xfId="6416"/>
    <cellStyle name="Normal 104 4 2" xfId="9623"/>
    <cellStyle name="Normal 104 4 2 2" xfId="17411"/>
    <cellStyle name="Normal 104 4 2 2 2" xfId="35034"/>
    <cellStyle name="Normal 104 4 2 3" xfId="27993"/>
    <cellStyle name="Normal 104 4 3" xfId="14199"/>
    <cellStyle name="Normal 104 4 3 2" xfId="31820"/>
    <cellStyle name="Normal 104 4 4" xfId="25132"/>
    <cellStyle name="Normal 104 5" xfId="7191"/>
    <cellStyle name="Normal 104 5 2" xfId="10176"/>
    <cellStyle name="Normal 104 5 2 2" xfId="17963"/>
    <cellStyle name="Normal 104 5 2 2 2" xfId="35586"/>
    <cellStyle name="Normal 104 5 2 3" xfId="28529"/>
    <cellStyle name="Normal 104 5 3" xfId="14973"/>
    <cellStyle name="Normal 104 5 3 2" xfId="32594"/>
    <cellStyle name="Normal 104 5 4" xfId="25669"/>
    <cellStyle name="Normal 104 6" xfId="7789"/>
    <cellStyle name="Normal 104 6 2" xfId="15580"/>
    <cellStyle name="Normal 104 6 2 2" xfId="33201"/>
    <cellStyle name="Normal 104 6 3" xfId="26191"/>
    <cellStyle name="Normal 104 7" xfId="11680"/>
    <cellStyle name="Normal 104 7 2" xfId="29359"/>
    <cellStyle name="Normal 104 8" xfId="21948"/>
    <cellStyle name="Normal 104 8 2" xfId="38685"/>
    <cellStyle name="Normal 104 9" xfId="23330"/>
    <cellStyle name="Normal 105" xfId="2083"/>
    <cellStyle name="Normal 105 10" xfId="51876"/>
    <cellStyle name="Normal 105 2" xfId="4266"/>
    <cellStyle name="Normal 105 2 2" xfId="8468"/>
    <cellStyle name="Normal 105 2 2 2" xfId="16258"/>
    <cellStyle name="Normal 105 2 2 2 2" xfId="33879"/>
    <cellStyle name="Normal 105 2 2 3" xfId="26855"/>
    <cellStyle name="Normal 105 2 3" xfId="12694"/>
    <cellStyle name="Normal 105 2 3 2" xfId="30340"/>
    <cellStyle name="Normal 105 2 4" xfId="23994"/>
    <cellStyle name="Normal 105 3" xfId="5787"/>
    <cellStyle name="Normal 105 3 2" xfId="9084"/>
    <cellStyle name="Normal 105 3 2 2" xfId="16873"/>
    <cellStyle name="Normal 105 3 2 2 2" xfId="34495"/>
    <cellStyle name="Normal 105 3 2 3" xfId="27458"/>
    <cellStyle name="Normal 105 3 3" xfId="13637"/>
    <cellStyle name="Normal 105 3 3 2" xfId="31263"/>
    <cellStyle name="Normal 105 3 4" xfId="24597"/>
    <cellStyle name="Normal 105 4" xfId="6417"/>
    <cellStyle name="Normal 105 4 2" xfId="9624"/>
    <cellStyle name="Normal 105 4 2 2" xfId="17412"/>
    <cellStyle name="Normal 105 4 2 2 2" xfId="35035"/>
    <cellStyle name="Normal 105 4 2 3" xfId="27994"/>
    <cellStyle name="Normal 105 4 3" xfId="14200"/>
    <cellStyle name="Normal 105 4 3 2" xfId="31821"/>
    <cellStyle name="Normal 105 4 4" xfId="25133"/>
    <cellStyle name="Normal 105 5" xfId="7192"/>
    <cellStyle name="Normal 105 5 2" xfId="10177"/>
    <cellStyle name="Normal 105 5 2 2" xfId="17964"/>
    <cellStyle name="Normal 105 5 2 2 2" xfId="35587"/>
    <cellStyle name="Normal 105 5 2 3" xfId="28530"/>
    <cellStyle name="Normal 105 5 3" xfId="14974"/>
    <cellStyle name="Normal 105 5 3 2" xfId="32595"/>
    <cellStyle name="Normal 105 5 4" xfId="25670"/>
    <cellStyle name="Normal 105 6" xfId="7790"/>
    <cellStyle name="Normal 105 6 2" xfId="15581"/>
    <cellStyle name="Normal 105 6 2 2" xfId="33202"/>
    <cellStyle name="Normal 105 6 3" xfId="26192"/>
    <cellStyle name="Normal 105 7" xfId="11681"/>
    <cellStyle name="Normal 105 7 2" xfId="29360"/>
    <cellStyle name="Normal 105 8" xfId="21949"/>
    <cellStyle name="Normal 105 8 2" xfId="38686"/>
    <cellStyle name="Normal 105 9" xfId="23331"/>
    <cellStyle name="Normal 106" xfId="2084"/>
    <cellStyle name="Normal 106 2" xfId="4267"/>
    <cellStyle name="Normal 106 3" xfId="22491"/>
    <cellStyle name="Normal 106 3 2" xfId="38814"/>
    <cellStyle name="Normal 106 4" xfId="51877"/>
    <cellStyle name="Normal 107" xfId="115"/>
    <cellStyle name="Normal 107 10" xfId="2085"/>
    <cellStyle name="Normal 107 10 2" xfId="2086"/>
    <cellStyle name="Normal 107 10 3" xfId="51878"/>
    <cellStyle name="Normal 107 11" xfId="2087"/>
    <cellStyle name="Normal 107 11 2" xfId="2088"/>
    <cellStyle name="Normal 107 11 2 2" xfId="51880"/>
    <cellStyle name="Normal 107 11 3" xfId="2089"/>
    <cellStyle name="Normal 107 11 3 2" xfId="2090"/>
    <cellStyle name="Normal 107 11 3 3" xfId="2091"/>
    <cellStyle name="Normal 107 11 3 4" xfId="2092"/>
    <cellStyle name="Normal 107 11 4" xfId="51879"/>
    <cellStyle name="Normal 107 12" xfId="2093"/>
    <cellStyle name="Normal 107 12 2" xfId="2094"/>
    <cellStyle name="Normal 107 12 3" xfId="2095"/>
    <cellStyle name="Normal 107 13" xfId="2096"/>
    <cellStyle name="Normal 107 14" xfId="2097"/>
    <cellStyle name="Normal 107 15" xfId="2098"/>
    <cellStyle name="Normal 107 2" xfId="116"/>
    <cellStyle name="Normal 107 2 2" xfId="4268"/>
    <cellStyle name="Normal 107 2 3" xfId="51881"/>
    <cellStyle name="Normal 107 3" xfId="188"/>
    <cellStyle name="Normal 107 3 2" xfId="2099"/>
    <cellStyle name="Normal 107 3 2 2" xfId="4270"/>
    <cellStyle name="Normal 107 3 2 3" xfId="51883"/>
    <cellStyle name="Normal 107 3 3" xfId="4269"/>
    <cellStyle name="Normal 107 3 4" xfId="51882"/>
    <cellStyle name="Normal 107 4" xfId="2100"/>
    <cellStyle name="Normal 107 4 2" xfId="2101"/>
    <cellStyle name="Normal 107 4 2 2" xfId="4272"/>
    <cellStyle name="Normal 107 4 2 3" xfId="51885"/>
    <cellStyle name="Normal 107 4 3" xfId="2102"/>
    <cellStyle name="Normal 107 4 3 2" xfId="4273"/>
    <cellStyle name="Normal 107 4 3 3" xfId="51886"/>
    <cellStyle name="Normal 107 4 4" xfId="2103"/>
    <cellStyle name="Normal 107 4 4 2" xfId="2104"/>
    <cellStyle name="Normal 107 4 4 2 2" xfId="4275"/>
    <cellStyle name="Normal 107 4 4 2 3" xfId="51888"/>
    <cellStyle name="Normal 107 4 4 3" xfId="4274"/>
    <cellStyle name="Normal 107 4 4 4" xfId="51887"/>
    <cellStyle name="Normal 107 4 5" xfId="2105"/>
    <cellStyle name="Normal 107 4 5 2" xfId="2106"/>
    <cellStyle name="Normal 107 4 5 2 2" xfId="4277"/>
    <cellStyle name="Normal 107 4 5 2 3" xfId="51890"/>
    <cellStyle name="Normal 107 4 5 3" xfId="2107"/>
    <cellStyle name="Normal 107 4 5 3 2" xfId="2108"/>
    <cellStyle name="Normal 107 4 5 3 2 2" xfId="4279"/>
    <cellStyle name="Normal 107 4 5 3 2 3" xfId="51892"/>
    <cellStyle name="Normal 107 4 5 3 3" xfId="2109"/>
    <cellStyle name="Normal 107 4 5 3 3 2" xfId="2110"/>
    <cellStyle name="Normal 107 4 5 3 3 2 2" xfId="4281"/>
    <cellStyle name="Normal 107 4 5 3 3 2 3" xfId="51894"/>
    <cellStyle name="Normal 107 4 5 3 3 3" xfId="4280"/>
    <cellStyle name="Normal 107 4 5 3 3 4" xfId="51893"/>
    <cellStyle name="Normal 107 4 5 3 4" xfId="4282"/>
    <cellStyle name="Normal 107 4 5 3 5" xfId="4278"/>
    <cellStyle name="Normal 107 4 5 3 6" xfId="51891"/>
    <cellStyle name="Normal 107 4 5 4" xfId="4276"/>
    <cellStyle name="Normal 107 4 5 5" xfId="51889"/>
    <cellStyle name="Normal 107 4 6" xfId="4271"/>
    <cellStyle name="Normal 107 4 7" xfId="22492"/>
    <cellStyle name="Normal 107 4 7 2" xfId="38815"/>
    <cellStyle name="Normal 107 4 8" xfId="51884"/>
    <cellStyle name="Normal 107 5" xfId="2111"/>
    <cellStyle name="Normal 107 5 2" xfId="4283"/>
    <cellStyle name="Normal 107 5 3" xfId="51895"/>
    <cellStyle name="Normal 107 6" xfId="2112"/>
    <cellStyle name="Normal 107 6 2" xfId="2113"/>
    <cellStyle name="Normal 107 6 2 2" xfId="4285"/>
    <cellStyle name="Normal 107 6 2 3" xfId="51897"/>
    <cellStyle name="Normal 107 6 3" xfId="4284"/>
    <cellStyle name="Normal 107 6 4" xfId="51896"/>
    <cellStyle name="Normal 107 7" xfId="2114"/>
    <cellStyle name="Normal 107 7 2" xfId="2115"/>
    <cellStyle name="Normal 107 7 2 2" xfId="4287"/>
    <cellStyle name="Normal 107 7 2 3" xfId="51899"/>
    <cellStyle name="Normal 107 7 3" xfId="2116"/>
    <cellStyle name="Normal 107 7 3 2" xfId="2117"/>
    <cellStyle name="Normal 107 7 3 2 2" xfId="4289"/>
    <cellStyle name="Normal 107 7 3 2 3" xfId="51901"/>
    <cellStyle name="Normal 107 7 3 3" xfId="2118"/>
    <cellStyle name="Normal 107 7 3 3 2" xfId="2119"/>
    <cellStyle name="Normal 107 7 3 3 2 2" xfId="4291"/>
    <cellStyle name="Normal 107 7 3 3 2 3" xfId="51903"/>
    <cellStyle name="Normal 107 7 3 3 3" xfId="4290"/>
    <cellStyle name="Normal 107 7 3 3 4" xfId="51902"/>
    <cellStyle name="Normal 107 7 3 4" xfId="4292"/>
    <cellStyle name="Normal 107 7 3 5" xfId="4288"/>
    <cellStyle name="Normal 107 7 3 6" xfId="51900"/>
    <cellStyle name="Normal 107 7 4" xfId="4286"/>
    <cellStyle name="Normal 107 7 5" xfId="51898"/>
    <cellStyle name="Normal 107 8" xfId="2120"/>
    <cellStyle name="Normal 107 8 2" xfId="2121"/>
    <cellStyle name="Normal 107 8 2 2" xfId="4294"/>
    <cellStyle name="Normal 107 8 2 3" xfId="51905"/>
    <cellStyle name="Normal 107 8 3" xfId="2122"/>
    <cellStyle name="Normal 107 8 3 2" xfId="2123"/>
    <cellStyle name="Normal 107 8 3 2 2" xfId="4296"/>
    <cellStyle name="Normal 107 8 3 2 3" xfId="51907"/>
    <cellStyle name="Normal 107 8 3 3" xfId="4295"/>
    <cellStyle name="Normal 107 8 3 4" xfId="51906"/>
    <cellStyle name="Normal 107 8 4" xfId="4297"/>
    <cellStyle name="Normal 107 8 5" xfId="4293"/>
    <cellStyle name="Normal 107 8 6" xfId="51904"/>
    <cellStyle name="Normal 107 9" xfId="2124"/>
    <cellStyle name="Normal 107 9 2" xfId="2125"/>
    <cellStyle name="Normal 107 9 2 2" xfId="4298"/>
    <cellStyle name="Normal 107 9 2 3" xfId="51909"/>
    <cellStyle name="Normal 107 9 3" xfId="2126"/>
    <cellStyle name="Normal 107 9 3 2" xfId="4300"/>
    <cellStyle name="Normal 107 9 3 3" xfId="4299"/>
    <cellStyle name="Normal 107 9 3 4" xfId="51910"/>
    <cellStyle name="Normal 107 9 4" xfId="2127"/>
    <cellStyle name="Normal 107 9 5" xfId="51908"/>
    <cellStyle name="Normal 108" xfId="2128"/>
    <cellStyle name="Normal 108 2" xfId="4301"/>
    <cellStyle name="Normal 108 3" xfId="22493"/>
    <cellStyle name="Normal 108 3 2" xfId="38816"/>
    <cellStyle name="Normal 108 4" xfId="51911"/>
    <cellStyle name="Normal 109" xfId="2129"/>
    <cellStyle name="Normal 109 2" xfId="4302"/>
    <cellStyle name="Normal 109 3" xfId="22494"/>
    <cellStyle name="Normal 109 3 2" xfId="38817"/>
    <cellStyle name="Normal 109 4" xfId="51912"/>
    <cellStyle name="Normal 11" xfId="196"/>
    <cellStyle name="Normal 11 2" xfId="210"/>
    <cellStyle name="Normal 11 2 2" xfId="22739"/>
    <cellStyle name="Normal 11 2 2 2" xfId="38932"/>
    <cellStyle name="Normal 11 3" xfId="203"/>
    <cellStyle name="Normal 11 4" xfId="22495"/>
    <cellStyle name="Normal 11 4 2" xfId="38818"/>
    <cellStyle name="Normal 11 5" xfId="51913"/>
    <cellStyle name="Normal 110" xfId="2130"/>
    <cellStyle name="Normal 110 2" xfId="4303"/>
    <cellStyle name="Normal 110 3" xfId="22496"/>
    <cellStyle name="Normal 110 3 2" xfId="38819"/>
    <cellStyle name="Normal 110 4" xfId="51914"/>
    <cellStyle name="Normal 111" xfId="2131"/>
    <cellStyle name="Normal 111 2" xfId="4304"/>
    <cellStyle name="Normal 111 3" xfId="22497"/>
    <cellStyle name="Normal 111 3 2" xfId="38820"/>
    <cellStyle name="Normal 111 4" xfId="51915"/>
    <cellStyle name="Normal 112" xfId="2132"/>
    <cellStyle name="Normal 112 2" xfId="4305"/>
    <cellStyle name="Normal 112 3" xfId="51916"/>
    <cellStyle name="Normal 113" xfId="2133"/>
    <cellStyle name="Normal 113 2" xfId="4306"/>
    <cellStyle name="Normal 113 3" xfId="51917"/>
    <cellStyle name="Normal 114" xfId="2134"/>
    <cellStyle name="Normal 114 2" xfId="4307"/>
    <cellStyle name="Normal 114 3" xfId="51918"/>
    <cellStyle name="Normal 115" xfId="2135"/>
    <cellStyle name="Normal 115 2" xfId="4308"/>
    <cellStyle name="Normal 115 3" xfId="22498"/>
    <cellStyle name="Normal 115 3 2" xfId="38821"/>
    <cellStyle name="Normal 115 4" xfId="51919"/>
    <cellStyle name="Normal 116" xfId="2136"/>
    <cellStyle name="Normal 116 2" xfId="4309"/>
    <cellStyle name="Normal 116 3" xfId="22499"/>
    <cellStyle name="Normal 116 3 2" xfId="38822"/>
    <cellStyle name="Normal 116 4" xfId="51920"/>
    <cellStyle name="Normal 117" xfId="2137"/>
    <cellStyle name="Normal 117 2" xfId="4310"/>
    <cellStyle name="Normal 117 3" xfId="22500"/>
    <cellStyle name="Normal 117 3 2" xfId="38823"/>
    <cellStyle name="Normal 117 4" xfId="51921"/>
    <cellStyle name="Normal 118" xfId="2138"/>
    <cellStyle name="Normal 118 2" xfId="4311"/>
    <cellStyle name="Normal 118 3" xfId="22501"/>
    <cellStyle name="Normal 118 3 2" xfId="38824"/>
    <cellStyle name="Normal 118 4" xfId="51922"/>
    <cellStyle name="Normal 119" xfId="2139"/>
    <cellStyle name="Normal 119 2" xfId="4312"/>
    <cellStyle name="Normal 119 3" xfId="51923"/>
    <cellStyle name="Normal 12" xfId="199"/>
    <cellStyle name="Normal 12 2" xfId="213"/>
    <cellStyle name="Normal 12 2 2" xfId="2142"/>
    <cellStyle name="Normal 12 2 3" xfId="22915"/>
    <cellStyle name="Normal 12 2 4" xfId="22740"/>
    <cellStyle name="Normal 12 2 4 2" xfId="38933"/>
    <cellStyle name="Normal 12 2 5" xfId="2141"/>
    <cellStyle name="Normal 12 2_Sheet1" xfId="2143"/>
    <cellStyle name="Normal 12 3" xfId="206"/>
    <cellStyle name="Normal 12 3 2" xfId="2144"/>
    <cellStyle name="Normal 12 4" xfId="22914"/>
    <cellStyle name="Normal 12 5" xfId="22502"/>
    <cellStyle name="Normal 12 5 2" xfId="38825"/>
    <cellStyle name="Normal 12 6" xfId="2140"/>
    <cellStyle name="Normal 12_Sheet1" xfId="2145"/>
    <cellStyle name="Normal 120" xfId="2146"/>
    <cellStyle name="Normal 120 10" xfId="51924"/>
    <cellStyle name="Normal 120 2" xfId="4313"/>
    <cellStyle name="Normal 120 2 2" xfId="8469"/>
    <cellStyle name="Normal 120 2 2 2" xfId="16259"/>
    <cellStyle name="Normal 120 2 2 2 2" xfId="33880"/>
    <cellStyle name="Normal 120 2 2 3" xfId="26856"/>
    <cellStyle name="Normal 120 2 3" xfId="12700"/>
    <cellStyle name="Normal 120 2 3 2" xfId="30344"/>
    <cellStyle name="Normal 120 2 4" xfId="22504"/>
    <cellStyle name="Normal 120 2 5" xfId="23995"/>
    <cellStyle name="Normal 120 3" xfId="5788"/>
    <cellStyle name="Normal 120 3 2" xfId="9085"/>
    <cellStyle name="Normal 120 3 2 2" xfId="16874"/>
    <cellStyle name="Normal 120 3 2 2 2" xfId="34496"/>
    <cellStyle name="Normal 120 3 2 3" xfId="27459"/>
    <cellStyle name="Normal 120 3 3" xfId="13638"/>
    <cellStyle name="Normal 120 3 3 2" xfId="31264"/>
    <cellStyle name="Normal 120 3 4" xfId="22916"/>
    <cellStyle name="Normal 120 3 4 2" xfId="39008"/>
    <cellStyle name="Normal 120 3 5" xfId="24598"/>
    <cellStyle name="Normal 120 4" xfId="6418"/>
    <cellStyle name="Normal 120 4 2" xfId="9625"/>
    <cellStyle name="Normal 120 4 2 2" xfId="17413"/>
    <cellStyle name="Normal 120 4 2 2 2" xfId="35036"/>
    <cellStyle name="Normal 120 4 2 3" xfId="27995"/>
    <cellStyle name="Normal 120 4 3" xfId="14201"/>
    <cellStyle name="Normal 120 4 3 2" xfId="31822"/>
    <cellStyle name="Normal 120 4 4" xfId="22503"/>
    <cellStyle name="Normal 120 4 5" xfId="25134"/>
    <cellStyle name="Normal 120 5" xfId="7193"/>
    <cellStyle name="Normal 120 5 2" xfId="10178"/>
    <cellStyle name="Normal 120 5 2 2" xfId="17965"/>
    <cellStyle name="Normal 120 5 2 2 2" xfId="35588"/>
    <cellStyle name="Normal 120 5 2 3" xfId="28531"/>
    <cellStyle name="Normal 120 5 3" xfId="14975"/>
    <cellStyle name="Normal 120 5 3 2" xfId="32596"/>
    <cellStyle name="Normal 120 5 4" xfId="25671"/>
    <cellStyle name="Normal 120 6" xfId="7791"/>
    <cellStyle name="Normal 120 6 2" xfId="15582"/>
    <cellStyle name="Normal 120 6 2 2" xfId="33203"/>
    <cellStyle name="Normal 120 6 3" xfId="26193"/>
    <cellStyle name="Normal 120 7" xfId="11688"/>
    <cellStyle name="Normal 120 7 2" xfId="29367"/>
    <cellStyle name="Normal 120 8" xfId="21950"/>
    <cellStyle name="Normal 120 8 2" xfId="38687"/>
    <cellStyle name="Normal 120 9" xfId="23332"/>
    <cellStyle name="Normal 121" xfId="2147"/>
    <cellStyle name="Normal 121 10" xfId="51925"/>
    <cellStyle name="Normal 121 2" xfId="4314"/>
    <cellStyle name="Normal 121 2 2" xfId="8470"/>
    <cellStyle name="Normal 121 2 2 2" xfId="16260"/>
    <cellStyle name="Normal 121 2 2 2 2" xfId="33881"/>
    <cellStyle name="Normal 121 2 2 3" xfId="26857"/>
    <cellStyle name="Normal 121 2 3" xfId="12701"/>
    <cellStyle name="Normal 121 2 3 2" xfId="30345"/>
    <cellStyle name="Normal 121 2 4" xfId="22506"/>
    <cellStyle name="Normal 121 2 5" xfId="23996"/>
    <cellStyle name="Normal 121 3" xfId="5789"/>
    <cellStyle name="Normal 121 3 2" xfId="9086"/>
    <cellStyle name="Normal 121 3 2 2" xfId="16875"/>
    <cellStyle name="Normal 121 3 2 2 2" xfId="34497"/>
    <cellStyle name="Normal 121 3 2 3" xfId="27460"/>
    <cellStyle name="Normal 121 3 3" xfId="13639"/>
    <cellStyle name="Normal 121 3 3 2" xfId="31265"/>
    <cellStyle name="Normal 121 3 4" xfId="22917"/>
    <cellStyle name="Normal 121 3 4 2" xfId="39009"/>
    <cellStyle name="Normal 121 3 5" xfId="24599"/>
    <cellStyle name="Normal 121 4" xfId="6419"/>
    <cellStyle name="Normal 121 4 2" xfId="9626"/>
    <cellStyle name="Normal 121 4 2 2" xfId="17414"/>
    <cellStyle name="Normal 121 4 2 2 2" xfId="35037"/>
    <cellStyle name="Normal 121 4 2 3" xfId="27996"/>
    <cellStyle name="Normal 121 4 3" xfId="14202"/>
    <cellStyle name="Normal 121 4 3 2" xfId="31823"/>
    <cellStyle name="Normal 121 4 4" xfId="22505"/>
    <cellStyle name="Normal 121 4 5" xfId="25135"/>
    <cellStyle name="Normal 121 5" xfId="7194"/>
    <cellStyle name="Normal 121 5 2" xfId="10179"/>
    <cellStyle name="Normal 121 5 2 2" xfId="17966"/>
    <cellStyle name="Normal 121 5 2 2 2" xfId="35589"/>
    <cellStyle name="Normal 121 5 2 3" xfId="28532"/>
    <cellStyle name="Normal 121 5 3" xfId="14976"/>
    <cellStyle name="Normal 121 5 3 2" xfId="32597"/>
    <cellStyle name="Normal 121 5 4" xfId="25672"/>
    <cellStyle name="Normal 121 6" xfId="7792"/>
    <cellStyle name="Normal 121 6 2" xfId="15583"/>
    <cellStyle name="Normal 121 6 2 2" xfId="33204"/>
    <cellStyle name="Normal 121 6 3" xfId="26194"/>
    <cellStyle name="Normal 121 7" xfId="11689"/>
    <cellStyle name="Normal 121 7 2" xfId="29368"/>
    <cellStyle name="Normal 121 8" xfId="21951"/>
    <cellStyle name="Normal 121 8 2" xfId="38688"/>
    <cellStyle name="Normal 121 9" xfId="23333"/>
    <cellStyle name="Normal 122" xfId="2148"/>
    <cellStyle name="Normal 122 10" xfId="51926"/>
    <cellStyle name="Normal 122 2" xfId="4315"/>
    <cellStyle name="Normal 122 2 2" xfId="8471"/>
    <cellStyle name="Normal 122 2 2 2" xfId="16261"/>
    <cellStyle name="Normal 122 2 2 2 2" xfId="33882"/>
    <cellStyle name="Normal 122 2 2 3" xfId="26858"/>
    <cellStyle name="Normal 122 2 3" xfId="12702"/>
    <cellStyle name="Normal 122 2 3 2" xfId="30346"/>
    <cellStyle name="Normal 122 2 4" xfId="22918"/>
    <cellStyle name="Normal 122 2 4 2" xfId="39010"/>
    <cellStyle name="Normal 122 2 5" xfId="23997"/>
    <cellStyle name="Normal 122 3" xfId="5790"/>
    <cellStyle name="Normal 122 3 2" xfId="9087"/>
    <cellStyle name="Normal 122 3 2 2" xfId="16876"/>
    <cellStyle name="Normal 122 3 2 2 2" xfId="34498"/>
    <cellStyle name="Normal 122 3 2 3" xfId="27461"/>
    <cellStyle name="Normal 122 3 3" xfId="13640"/>
    <cellStyle name="Normal 122 3 3 2" xfId="31266"/>
    <cellStyle name="Normal 122 3 4" xfId="22507"/>
    <cellStyle name="Normal 122 3 5" xfId="24600"/>
    <cellStyle name="Normal 122 4" xfId="6420"/>
    <cellStyle name="Normal 122 4 2" xfId="9627"/>
    <cellStyle name="Normal 122 4 2 2" xfId="17415"/>
    <cellStyle name="Normal 122 4 2 2 2" xfId="35038"/>
    <cellStyle name="Normal 122 4 2 3" xfId="27997"/>
    <cellStyle name="Normal 122 4 3" xfId="14203"/>
    <cellStyle name="Normal 122 4 3 2" xfId="31824"/>
    <cellStyle name="Normal 122 4 4" xfId="25136"/>
    <cellStyle name="Normal 122 5" xfId="7195"/>
    <cellStyle name="Normal 122 5 2" xfId="10180"/>
    <cellStyle name="Normal 122 5 2 2" xfId="17967"/>
    <cellStyle name="Normal 122 5 2 2 2" xfId="35590"/>
    <cellStyle name="Normal 122 5 2 3" xfId="28533"/>
    <cellStyle name="Normal 122 5 3" xfId="14977"/>
    <cellStyle name="Normal 122 5 3 2" xfId="32598"/>
    <cellStyle name="Normal 122 5 4" xfId="25673"/>
    <cellStyle name="Normal 122 6" xfId="7793"/>
    <cellStyle name="Normal 122 6 2" xfId="15584"/>
    <cellStyle name="Normal 122 6 2 2" xfId="33205"/>
    <cellStyle name="Normal 122 6 3" xfId="26195"/>
    <cellStyle name="Normal 122 7" xfId="11690"/>
    <cellStyle name="Normal 122 7 2" xfId="29369"/>
    <cellStyle name="Normal 122 8" xfId="21952"/>
    <cellStyle name="Normal 122 8 2" xfId="38689"/>
    <cellStyle name="Normal 122 9" xfId="23334"/>
    <cellStyle name="Normal 123" xfId="2149"/>
    <cellStyle name="Normal 123 10" xfId="51927"/>
    <cellStyle name="Normal 123 2" xfId="4316"/>
    <cellStyle name="Normal 123 2 2" xfId="8472"/>
    <cellStyle name="Normal 123 2 2 2" xfId="16262"/>
    <cellStyle name="Normal 123 2 2 2 2" xfId="33883"/>
    <cellStyle name="Normal 123 2 2 3" xfId="26859"/>
    <cellStyle name="Normal 123 2 3" xfId="12703"/>
    <cellStyle name="Normal 123 2 3 2" xfId="30347"/>
    <cellStyle name="Normal 123 2 4" xfId="22919"/>
    <cellStyle name="Normal 123 2 4 2" xfId="39011"/>
    <cellStyle name="Normal 123 2 5" xfId="23998"/>
    <cellStyle name="Normal 123 3" xfId="5791"/>
    <cellStyle name="Normal 123 3 2" xfId="9088"/>
    <cellStyle name="Normal 123 3 2 2" xfId="16877"/>
    <cellStyle name="Normal 123 3 2 2 2" xfId="34499"/>
    <cellStyle name="Normal 123 3 2 3" xfId="27462"/>
    <cellStyle name="Normal 123 3 3" xfId="13641"/>
    <cellStyle name="Normal 123 3 3 2" xfId="31267"/>
    <cellStyle name="Normal 123 3 4" xfId="22508"/>
    <cellStyle name="Normal 123 3 5" xfId="24601"/>
    <cellStyle name="Normal 123 4" xfId="6421"/>
    <cellStyle name="Normal 123 4 2" xfId="9628"/>
    <cellStyle name="Normal 123 4 2 2" xfId="17416"/>
    <cellStyle name="Normal 123 4 2 2 2" xfId="35039"/>
    <cellStyle name="Normal 123 4 2 3" xfId="27998"/>
    <cellStyle name="Normal 123 4 3" xfId="14204"/>
    <cellStyle name="Normal 123 4 3 2" xfId="31825"/>
    <cellStyle name="Normal 123 4 4" xfId="25137"/>
    <cellStyle name="Normal 123 5" xfId="7196"/>
    <cellStyle name="Normal 123 5 2" xfId="10181"/>
    <cellStyle name="Normal 123 5 2 2" xfId="17968"/>
    <cellStyle name="Normal 123 5 2 2 2" xfId="35591"/>
    <cellStyle name="Normal 123 5 2 3" xfId="28534"/>
    <cellStyle name="Normal 123 5 3" xfId="14978"/>
    <cellStyle name="Normal 123 5 3 2" xfId="32599"/>
    <cellStyle name="Normal 123 5 4" xfId="25674"/>
    <cellStyle name="Normal 123 6" xfId="7794"/>
    <cellStyle name="Normal 123 6 2" xfId="15585"/>
    <cellStyle name="Normal 123 6 2 2" xfId="33206"/>
    <cellStyle name="Normal 123 6 3" xfId="26196"/>
    <cellStyle name="Normal 123 7" xfId="11691"/>
    <cellStyle name="Normal 123 7 2" xfId="29370"/>
    <cellStyle name="Normal 123 8" xfId="21953"/>
    <cellStyle name="Normal 123 8 2" xfId="38690"/>
    <cellStyle name="Normal 123 9" xfId="23335"/>
    <cellStyle name="Normal 124" xfId="2150"/>
    <cellStyle name="Normal 124 10" xfId="51928"/>
    <cellStyle name="Normal 124 2" xfId="4317"/>
    <cellStyle name="Normal 124 2 2" xfId="8473"/>
    <cellStyle name="Normal 124 2 2 2" xfId="16263"/>
    <cellStyle name="Normal 124 2 2 2 2" xfId="33884"/>
    <cellStyle name="Normal 124 2 2 3" xfId="26860"/>
    <cellStyle name="Normal 124 2 3" xfId="12704"/>
    <cellStyle name="Normal 124 2 3 2" xfId="30348"/>
    <cellStyle name="Normal 124 2 4" xfId="22920"/>
    <cellStyle name="Normal 124 2 4 2" xfId="39012"/>
    <cellStyle name="Normal 124 2 5" xfId="23999"/>
    <cellStyle name="Normal 124 3" xfId="5792"/>
    <cellStyle name="Normal 124 3 2" xfId="9089"/>
    <cellStyle name="Normal 124 3 2 2" xfId="16878"/>
    <cellStyle name="Normal 124 3 2 2 2" xfId="34500"/>
    <cellStyle name="Normal 124 3 2 3" xfId="27463"/>
    <cellStyle name="Normal 124 3 3" xfId="13642"/>
    <cellStyle name="Normal 124 3 3 2" xfId="31268"/>
    <cellStyle name="Normal 124 3 4" xfId="22509"/>
    <cellStyle name="Normal 124 3 5" xfId="24602"/>
    <cellStyle name="Normal 124 4" xfId="6422"/>
    <cellStyle name="Normal 124 4 2" xfId="9629"/>
    <cellStyle name="Normal 124 4 2 2" xfId="17417"/>
    <cellStyle name="Normal 124 4 2 2 2" xfId="35040"/>
    <cellStyle name="Normal 124 4 2 3" xfId="27999"/>
    <cellStyle name="Normal 124 4 3" xfId="14205"/>
    <cellStyle name="Normal 124 4 3 2" xfId="31826"/>
    <cellStyle name="Normal 124 4 4" xfId="25138"/>
    <cellStyle name="Normal 124 5" xfId="7197"/>
    <cellStyle name="Normal 124 5 2" xfId="10182"/>
    <cellStyle name="Normal 124 5 2 2" xfId="17969"/>
    <cellStyle name="Normal 124 5 2 2 2" xfId="35592"/>
    <cellStyle name="Normal 124 5 2 3" xfId="28535"/>
    <cellStyle name="Normal 124 5 3" xfId="14979"/>
    <cellStyle name="Normal 124 5 3 2" xfId="32600"/>
    <cellStyle name="Normal 124 5 4" xfId="25675"/>
    <cellStyle name="Normal 124 6" xfId="7795"/>
    <cellStyle name="Normal 124 6 2" xfId="15586"/>
    <cellStyle name="Normal 124 6 2 2" xfId="33207"/>
    <cellStyle name="Normal 124 6 3" xfId="26197"/>
    <cellStyle name="Normal 124 7" xfId="11692"/>
    <cellStyle name="Normal 124 7 2" xfId="29371"/>
    <cellStyle name="Normal 124 8" xfId="21954"/>
    <cellStyle name="Normal 124 8 2" xfId="38691"/>
    <cellStyle name="Normal 124 9" xfId="23336"/>
    <cellStyle name="Normal 125" xfId="2151"/>
    <cellStyle name="Normal 125 10" xfId="51929"/>
    <cellStyle name="Normal 125 2" xfId="4318"/>
    <cellStyle name="Normal 125 2 2" xfId="8474"/>
    <cellStyle name="Normal 125 2 2 2" xfId="16264"/>
    <cellStyle name="Normal 125 2 2 2 2" xfId="33885"/>
    <cellStyle name="Normal 125 2 2 3" xfId="26861"/>
    <cellStyle name="Normal 125 2 3" xfId="12705"/>
    <cellStyle name="Normal 125 2 3 2" xfId="30349"/>
    <cellStyle name="Normal 125 2 4" xfId="22921"/>
    <cellStyle name="Normal 125 2 4 2" xfId="39013"/>
    <cellStyle name="Normal 125 2 5" xfId="24000"/>
    <cellStyle name="Normal 125 3" xfId="5793"/>
    <cellStyle name="Normal 125 3 2" xfId="9090"/>
    <cellStyle name="Normal 125 3 2 2" xfId="16879"/>
    <cellStyle name="Normal 125 3 2 2 2" xfId="34501"/>
    <cellStyle name="Normal 125 3 2 3" xfId="27464"/>
    <cellStyle name="Normal 125 3 3" xfId="13643"/>
    <cellStyle name="Normal 125 3 3 2" xfId="31269"/>
    <cellStyle name="Normal 125 3 4" xfId="22510"/>
    <cellStyle name="Normal 125 3 5" xfId="24603"/>
    <cellStyle name="Normal 125 4" xfId="6423"/>
    <cellStyle name="Normal 125 4 2" xfId="9630"/>
    <cellStyle name="Normal 125 4 2 2" xfId="17418"/>
    <cellStyle name="Normal 125 4 2 2 2" xfId="35041"/>
    <cellStyle name="Normal 125 4 2 3" xfId="28000"/>
    <cellStyle name="Normal 125 4 3" xfId="14206"/>
    <cellStyle name="Normal 125 4 3 2" xfId="31827"/>
    <cellStyle name="Normal 125 4 4" xfId="25139"/>
    <cellStyle name="Normal 125 5" xfId="7198"/>
    <cellStyle name="Normal 125 5 2" xfId="10183"/>
    <cellStyle name="Normal 125 5 2 2" xfId="17970"/>
    <cellStyle name="Normal 125 5 2 2 2" xfId="35593"/>
    <cellStyle name="Normal 125 5 2 3" xfId="28536"/>
    <cellStyle name="Normal 125 5 3" xfId="14980"/>
    <cellStyle name="Normal 125 5 3 2" xfId="32601"/>
    <cellStyle name="Normal 125 5 4" xfId="25676"/>
    <cellStyle name="Normal 125 6" xfId="7796"/>
    <cellStyle name="Normal 125 6 2" xfId="15587"/>
    <cellStyle name="Normal 125 6 2 2" xfId="33208"/>
    <cellStyle name="Normal 125 6 3" xfId="26198"/>
    <cellStyle name="Normal 125 7" xfId="11693"/>
    <cellStyle name="Normal 125 7 2" xfId="29372"/>
    <cellStyle name="Normal 125 8" xfId="21955"/>
    <cellStyle name="Normal 125 8 2" xfId="38692"/>
    <cellStyle name="Normal 125 9" xfId="23337"/>
    <cellStyle name="Normal 126" xfId="2152"/>
    <cellStyle name="Normal 126 10" xfId="51930"/>
    <cellStyle name="Normal 126 2" xfId="4319"/>
    <cellStyle name="Normal 126 2 2" xfId="8475"/>
    <cellStyle name="Normal 126 2 2 2" xfId="16265"/>
    <cellStyle name="Normal 126 2 2 2 2" xfId="33886"/>
    <cellStyle name="Normal 126 2 2 3" xfId="26862"/>
    <cellStyle name="Normal 126 2 3" xfId="12706"/>
    <cellStyle name="Normal 126 2 3 2" xfId="30350"/>
    <cellStyle name="Normal 126 2 4" xfId="22922"/>
    <cellStyle name="Normal 126 2 4 2" xfId="39014"/>
    <cellStyle name="Normal 126 2 5" xfId="24001"/>
    <cellStyle name="Normal 126 3" xfId="5794"/>
    <cellStyle name="Normal 126 3 2" xfId="9091"/>
    <cellStyle name="Normal 126 3 2 2" xfId="16880"/>
    <cellStyle name="Normal 126 3 2 2 2" xfId="34502"/>
    <cellStyle name="Normal 126 3 2 3" xfId="27465"/>
    <cellStyle name="Normal 126 3 3" xfId="13644"/>
    <cellStyle name="Normal 126 3 3 2" xfId="31270"/>
    <cellStyle name="Normal 126 3 4" xfId="22511"/>
    <cellStyle name="Normal 126 3 5" xfId="24604"/>
    <cellStyle name="Normal 126 4" xfId="6424"/>
    <cellStyle name="Normal 126 4 2" xfId="9631"/>
    <cellStyle name="Normal 126 4 2 2" xfId="17419"/>
    <cellStyle name="Normal 126 4 2 2 2" xfId="35042"/>
    <cellStyle name="Normal 126 4 2 3" xfId="28001"/>
    <cellStyle name="Normal 126 4 3" xfId="14207"/>
    <cellStyle name="Normal 126 4 3 2" xfId="31828"/>
    <cellStyle name="Normal 126 4 4" xfId="25140"/>
    <cellStyle name="Normal 126 5" xfId="7199"/>
    <cellStyle name="Normal 126 5 2" xfId="10184"/>
    <cellStyle name="Normal 126 5 2 2" xfId="17971"/>
    <cellStyle name="Normal 126 5 2 2 2" xfId="35594"/>
    <cellStyle name="Normal 126 5 2 3" xfId="28537"/>
    <cellStyle name="Normal 126 5 3" xfId="14981"/>
    <cellStyle name="Normal 126 5 3 2" xfId="32602"/>
    <cellStyle name="Normal 126 5 4" xfId="25677"/>
    <cellStyle name="Normal 126 6" xfId="7797"/>
    <cellStyle name="Normal 126 6 2" xfId="15588"/>
    <cellStyle name="Normal 126 6 2 2" xfId="33209"/>
    <cellStyle name="Normal 126 6 3" xfId="26199"/>
    <cellStyle name="Normal 126 7" xfId="11694"/>
    <cellStyle name="Normal 126 7 2" xfId="29373"/>
    <cellStyle name="Normal 126 8" xfId="21956"/>
    <cellStyle name="Normal 126 8 2" xfId="38693"/>
    <cellStyle name="Normal 126 9" xfId="23338"/>
    <cellStyle name="Normal 127" xfId="2153"/>
    <cellStyle name="Normal 127 10" xfId="51931"/>
    <cellStyle name="Normal 127 2" xfId="4320"/>
    <cellStyle name="Normal 127 2 2" xfId="8476"/>
    <cellStyle name="Normal 127 2 2 2" xfId="16266"/>
    <cellStyle name="Normal 127 2 2 2 2" xfId="33887"/>
    <cellStyle name="Normal 127 2 2 3" xfId="26863"/>
    <cellStyle name="Normal 127 2 3" xfId="12707"/>
    <cellStyle name="Normal 127 2 3 2" xfId="30351"/>
    <cellStyle name="Normal 127 2 4" xfId="22923"/>
    <cellStyle name="Normal 127 2 4 2" xfId="39015"/>
    <cellStyle name="Normal 127 2 5" xfId="24002"/>
    <cellStyle name="Normal 127 3" xfId="5795"/>
    <cellStyle name="Normal 127 3 2" xfId="9092"/>
    <cellStyle name="Normal 127 3 2 2" xfId="16881"/>
    <cellStyle name="Normal 127 3 2 2 2" xfId="34503"/>
    <cellStyle name="Normal 127 3 2 3" xfId="27466"/>
    <cellStyle name="Normal 127 3 3" xfId="13645"/>
    <cellStyle name="Normal 127 3 3 2" xfId="31271"/>
    <cellStyle name="Normal 127 3 4" xfId="22512"/>
    <cellStyle name="Normal 127 3 5" xfId="24605"/>
    <cellStyle name="Normal 127 4" xfId="6425"/>
    <cellStyle name="Normal 127 4 2" xfId="9632"/>
    <cellStyle name="Normal 127 4 2 2" xfId="17420"/>
    <cellStyle name="Normal 127 4 2 2 2" xfId="35043"/>
    <cellStyle name="Normal 127 4 2 3" xfId="28002"/>
    <cellStyle name="Normal 127 4 3" xfId="14208"/>
    <cellStyle name="Normal 127 4 3 2" xfId="31829"/>
    <cellStyle name="Normal 127 4 4" xfId="25141"/>
    <cellStyle name="Normal 127 5" xfId="7200"/>
    <cellStyle name="Normal 127 5 2" xfId="10185"/>
    <cellStyle name="Normal 127 5 2 2" xfId="17972"/>
    <cellStyle name="Normal 127 5 2 2 2" xfId="35595"/>
    <cellStyle name="Normal 127 5 2 3" xfId="28538"/>
    <cellStyle name="Normal 127 5 3" xfId="14982"/>
    <cellStyle name="Normal 127 5 3 2" xfId="32603"/>
    <cellStyle name="Normal 127 5 4" xfId="25678"/>
    <cellStyle name="Normal 127 6" xfId="7798"/>
    <cellStyle name="Normal 127 6 2" xfId="15589"/>
    <cellStyle name="Normal 127 6 2 2" xfId="33210"/>
    <cellStyle name="Normal 127 6 3" xfId="26200"/>
    <cellStyle name="Normal 127 7" xfId="11695"/>
    <cellStyle name="Normal 127 7 2" xfId="29374"/>
    <cellStyle name="Normal 127 8" xfId="21957"/>
    <cellStyle name="Normal 127 8 2" xfId="38694"/>
    <cellStyle name="Normal 127 9" xfId="23339"/>
    <cellStyle name="Normal 128" xfId="2154"/>
    <cellStyle name="Normal 128 10" xfId="51932"/>
    <cellStyle name="Normal 128 2" xfId="4321"/>
    <cellStyle name="Normal 128 2 2" xfId="8477"/>
    <cellStyle name="Normal 128 2 2 2" xfId="16267"/>
    <cellStyle name="Normal 128 2 2 2 2" xfId="33888"/>
    <cellStyle name="Normal 128 2 2 3" xfId="26864"/>
    <cellStyle name="Normal 128 2 3" xfId="12708"/>
    <cellStyle name="Normal 128 2 3 2" xfId="30352"/>
    <cellStyle name="Normal 128 2 4" xfId="22924"/>
    <cellStyle name="Normal 128 2 4 2" xfId="39016"/>
    <cellStyle name="Normal 128 2 5" xfId="24003"/>
    <cellStyle name="Normal 128 3" xfId="5796"/>
    <cellStyle name="Normal 128 3 2" xfId="9093"/>
    <cellStyle name="Normal 128 3 2 2" xfId="16882"/>
    <cellStyle name="Normal 128 3 2 2 2" xfId="34504"/>
    <cellStyle name="Normal 128 3 2 3" xfId="27467"/>
    <cellStyle name="Normal 128 3 3" xfId="13646"/>
    <cellStyle name="Normal 128 3 3 2" xfId="31272"/>
    <cellStyle name="Normal 128 3 4" xfId="22513"/>
    <cellStyle name="Normal 128 3 5" xfId="24606"/>
    <cellStyle name="Normal 128 4" xfId="6426"/>
    <cellStyle name="Normal 128 4 2" xfId="9633"/>
    <cellStyle name="Normal 128 4 2 2" xfId="17421"/>
    <cellStyle name="Normal 128 4 2 2 2" xfId="35044"/>
    <cellStyle name="Normal 128 4 2 3" xfId="28003"/>
    <cellStyle name="Normal 128 4 3" xfId="14209"/>
    <cellStyle name="Normal 128 4 3 2" xfId="31830"/>
    <cellStyle name="Normal 128 4 4" xfId="25142"/>
    <cellStyle name="Normal 128 5" xfId="7201"/>
    <cellStyle name="Normal 128 5 2" xfId="10186"/>
    <cellStyle name="Normal 128 5 2 2" xfId="17973"/>
    <cellStyle name="Normal 128 5 2 2 2" xfId="35596"/>
    <cellStyle name="Normal 128 5 2 3" xfId="28539"/>
    <cellStyle name="Normal 128 5 3" xfId="14983"/>
    <cellStyle name="Normal 128 5 3 2" xfId="32604"/>
    <cellStyle name="Normal 128 5 4" xfId="25679"/>
    <cellStyle name="Normal 128 6" xfId="7799"/>
    <cellStyle name="Normal 128 6 2" xfId="15590"/>
    <cellStyle name="Normal 128 6 2 2" xfId="33211"/>
    <cellStyle name="Normal 128 6 3" xfId="26201"/>
    <cellStyle name="Normal 128 7" xfId="11696"/>
    <cellStyle name="Normal 128 7 2" xfId="29375"/>
    <cellStyle name="Normal 128 8" xfId="21958"/>
    <cellStyle name="Normal 128 8 2" xfId="38695"/>
    <cellStyle name="Normal 128 9" xfId="23340"/>
    <cellStyle name="Normal 129" xfId="2155"/>
    <cellStyle name="Normal 129 10" xfId="51933"/>
    <cellStyle name="Normal 129 2" xfId="4322"/>
    <cellStyle name="Normal 129 2 2" xfId="8478"/>
    <cellStyle name="Normal 129 2 2 2" xfId="16268"/>
    <cellStyle name="Normal 129 2 2 2 2" xfId="33889"/>
    <cellStyle name="Normal 129 2 2 3" xfId="26865"/>
    <cellStyle name="Normal 129 2 3" xfId="12709"/>
    <cellStyle name="Normal 129 2 3 2" xfId="30353"/>
    <cellStyle name="Normal 129 2 4" xfId="22925"/>
    <cellStyle name="Normal 129 2 4 2" xfId="39017"/>
    <cellStyle name="Normal 129 2 5" xfId="24004"/>
    <cellStyle name="Normal 129 3" xfId="5797"/>
    <cellStyle name="Normal 129 3 2" xfId="9094"/>
    <cellStyle name="Normal 129 3 2 2" xfId="16883"/>
    <cellStyle name="Normal 129 3 2 2 2" xfId="34505"/>
    <cellStyle name="Normal 129 3 2 3" xfId="27468"/>
    <cellStyle name="Normal 129 3 3" xfId="13647"/>
    <cellStyle name="Normal 129 3 3 2" xfId="31273"/>
    <cellStyle name="Normal 129 3 4" xfId="22514"/>
    <cellStyle name="Normal 129 3 5" xfId="24607"/>
    <cellStyle name="Normal 129 4" xfId="6427"/>
    <cellStyle name="Normal 129 4 2" xfId="9634"/>
    <cellStyle name="Normal 129 4 2 2" xfId="17422"/>
    <cellStyle name="Normal 129 4 2 2 2" xfId="35045"/>
    <cellStyle name="Normal 129 4 2 3" xfId="28004"/>
    <cellStyle name="Normal 129 4 3" xfId="14210"/>
    <cellStyle name="Normal 129 4 3 2" xfId="31831"/>
    <cellStyle name="Normal 129 4 4" xfId="25143"/>
    <cellStyle name="Normal 129 5" xfId="7202"/>
    <cellStyle name="Normal 129 5 2" xfId="10187"/>
    <cellStyle name="Normal 129 5 2 2" xfId="17974"/>
    <cellStyle name="Normal 129 5 2 2 2" xfId="35597"/>
    <cellStyle name="Normal 129 5 2 3" xfId="28540"/>
    <cellStyle name="Normal 129 5 3" xfId="14984"/>
    <cellStyle name="Normal 129 5 3 2" xfId="32605"/>
    <cellStyle name="Normal 129 5 4" xfId="25680"/>
    <cellStyle name="Normal 129 6" xfId="7800"/>
    <cellStyle name="Normal 129 6 2" xfId="15591"/>
    <cellStyle name="Normal 129 6 2 2" xfId="33212"/>
    <cellStyle name="Normal 129 6 3" xfId="26202"/>
    <cellStyle name="Normal 129 7" xfId="11697"/>
    <cellStyle name="Normal 129 7 2" xfId="29376"/>
    <cellStyle name="Normal 129 8" xfId="21959"/>
    <cellStyle name="Normal 129 8 2" xfId="38696"/>
    <cellStyle name="Normal 129 9" xfId="23341"/>
    <cellStyle name="Normal 13" xfId="2156"/>
    <cellStyle name="Normal 13 2" xfId="2157"/>
    <cellStyle name="Normal 13 2 2" xfId="2158"/>
    <cellStyle name="Normal 13 2_Sheet1" xfId="2159"/>
    <cellStyle name="Normal 13 3" xfId="2160"/>
    <cellStyle name="Normal 13 4" xfId="22926"/>
    <cellStyle name="Normal 13 5" xfId="22515"/>
    <cellStyle name="Normal 13 6" xfId="22890"/>
    <cellStyle name="Normal 13 7" xfId="53198"/>
    <cellStyle name="Normal 13 8" xfId="53199"/>
    <cellStyle name="Normal 13 9" xfId="53197"/>
    <cellStyle name="Normal 13_Sheet1" xfId="2161"/>
    <cellStyle name="Normal 130" xfId="2162"/>
    <cellStyle name="Normal 130 10" xfId="51934"/>
    <cellStyle name="Normal 130 2" xfId="4323"/>
    <cellStyle name="Normal 130 2 2" xfId="8479"/>
    <cellStyle name="Normal 130 2 2 2" xfId="16269"/>
    <cellStyle name="Normal 130 2 2 2 2" xfId="33890"/>
    <cellStyle name="Normal 130 2 2 3" xfId="26866"/>
    <cellStyle name="Normal 130 2 3" xfId="12710"/>
    <cellStyle name="Normal 130 2 3 2" xfId="30354"/>
    <cellStyle name="Normal 130 2 4" xfId="22927"/>
    <cellStyle name="Normal 130 2 4 2" xfId="39018"/>
    <cellStyle name="Normal 130 2 5" xfId="24005"/>
    <cellStyle name="Normal 130 3" xfId="5798"/>
    <cellStyle name="Normal 130 3 2" xfId="9095"/>
    <cellStyle name="Normal 130 3 2 2" xfId="16884"/>
    <cellStyle name="Normal 130 3 2 2 2" xfId="34506"/>
    <cellStyle name="Normal 130 3 2 3" xfId="27469"/>
    <cellStyle name="Normal 130 3 3" xfId="13648"/>
    <cellStyle name="Normal 130 3 3 2" xfId="31274"/>
    <cellStyle name="Normal 130 3 4" xfId="22516"/>
    <cellStyle name="Normal 130 3 5" xfId="24608"/>
    <cellStyle name="Normal 130 4" xfId="6428"/>
    <cellStyle name="Normal 130 4 2" xfId="9635"/>
    <cellStyle name="Normal 130 4 2 2" xfId="17423"/>
    <cellStyle name="Normal 130 4 2 2 2" xfId="35046"/>
    <cellStyle name="Normal 130 4 2 3" xfId="28005"/>
    <cellStyle name="Normal 130 4 3" xfId="14211"/>
    <cellStyle name="Normal 130 4 3 2" xfId="31832"/>
    <cellStyle name="Normal 130 4 4" xfId="25144"/>
    <cellStyle name="Normal 130 5" xfId="7203"/>
    <cellStyle name="Normal 130 5 2" xfId="10188"/>
    <cellStyle name="Normal 130 5 2 2" xfId="17975"/>
    <cellStyle name="Normal 130 5 2 2 2" xfId="35598"/>
    <cellStyle name="Normal 130 5 2 3" xfId="28541"/>
    <cellStyle name="Normal 130 5 3" xfId="14985"/>
    <cellStyle name="Normal 130 5 3 2" xfId="32606"/>
    <cellStyle name="Normal 130 5 4" xfId="25681"/>
    <cellStyle name="Normal 130 6" xfId="7801"/>
    <cellStyle name="Normal 130 6 2" xfId="15592"/>
    <cellStyle name="Normal 130 6 2 2" xfId="33213"/>
    <cellStyle name="Normal 130 6 3" xfId="26203"/>
    <cellStyle name="Normal 130 7" xfId="11700"/>
    <cellStyle name="Normal 130 7 2" xfId="29377"/>
    <cellStyle name="Normal 130 8" xfId="21960"/>
    <cellStyle name="Normal 130 8 2" xfId="38697"/>
    <cellStyle name="Normal 130 9" xfId="23342"/>
    <cellStyle name="Normal 131" xfId="2163"/>
    <cellStyle name="Normal 131 10" xfId="51935"/>
    <cellStyle name="Normal 131 2" xfId="4324"/>
    <cellStyle name="Normal 131 2 2" xfId="8480"/>
    <cellStyle name="Normal 131 2 2 2" xfId="16270"/>
    <cellStyle name="Normal 131 2 2 2 2" xfId="33891"/>
    <cellStyle name="Normal 131 2 2 3" xfId="26867"/>
    <cellStyle name="Normal 131 2 3" xfId="12711"/>
    <cellStyle name="Normal 131 2 3 2" xfId="30355"/>
    <cellStyle name="Normal 131 2 4" xfId="22928"/>
    <cellStyle name="Normal 131 2 4 2" xfId="39019"/>
    <cellStyle name="Normal 131 2 5" xfId="24006"/>
    <cellStyle name="Normal 131 3" xfId="5799"/>
    <cellStyle name="Normal 131 3 2" xfId="9096"/>
    <cellStyle name="Normal 131 3 2 2" xfId="16885"/>
    <cellStyle name="Normal 131 3 2 2 2" xfId="34507"/>
    <cellStyle name="Normal 131 3 2 3" xfId="27470"/>
    <cellStyle name="Normal 131 3 3" xfId="13649"/>
    <cellStyle name="Normal 131 3 3 2" xfId="31275"/>
    <cellStyle name="Normal 131 3 4" xfId="22517"/>
    <cellStyle name="Normal 131 3 5" xfId="24609"/>
    <cellStyle name="Normal 131 4" xfId="6429"/>
    <cellStyle name="Normal 131 4 2" xfId="9636"/>
    <cellStyle name="Normal 131 4 2 2" xfId="17424"/>
    <cellStyle name="Normal 131 4 2 2 2" xfId="35047"/>
    <cellStyle name="Normal 131 4 2 3" xfId="28006"/>
    <cellStyle name="Normal 131 4 3" xfId="14212"/>
    <cellStyle name="Normal 131 4 3 2" xfId="31833"/>
    <cellStyle name="Normal 131 4 4" xfId="25145"/>
    <cellStyle name="Normal 131 5" xfId="7204"/>
    <cellStyle name="Normal 131 5 2" xfId="10189"/>
    <cellStyle name="Normal 131 5 2 2" xfId="17976"/>
    <cellStyle name="Normal 131 5 2 2 2" xfId="35599"/>
    <cellStyle name="Normal 131 5 2 3" xfId="28542"/>
    <cellStyle name="Normal 131 5 3" xfId="14986"/>
    <cellStyle name="Normal 131 5 3 2" xfId="32607"/>
    <cellStyle name="Normal 131 5 4" xfId="25682"/>
    <cellStyle name="Normal 131 6" xfId="7802"/>
    <cellStyle name="Normal 131 6 2" xfId="15593"/>
    <cellStyle name="Normal 131 6 2 2" xfId="33214"/>
    <cellStyle name="Normal 131 6 3" xfId="26204"/>
    <cellStyle name="Normal 131 7" xfId="11701"/>
    <cellStyle name="Normal 131 7 2" xfId="29378"/>
    <cellStyle name="Normal 131 8" xfId="21961"/>
    <cellStyle name="Normal 131 8 2" xfId="38698"/>
    <cellStyle name="Normal 131 9" xfId="23343"/>
    <cellStyle name="Normal 132" xfId="2164"/>
    <cellStyle name="Normal 132 10" xfId="51936"/>
    <cellStyle name="Normal 132 2" xfId="4325"/>
    <cellStyle name="Normal 132 2 2" xfId="8481"/>
    <cellStyle name="Normal 132 2 2 2" xfId="16271"/>
    <cellStyle name="Normal 132 2 2 2 2" xfId="33892"/>
    <cellStyle name="Normal 132 2 2 3" xfId="26868"/>
    <cellStyle name="Normal 132 2 3" xfId="12712"/>
    <cellStyle name="Normal 132 2 3 2" xfId="30356"/>
    <cellStyle name="Normal 132 2 4" xfId="22929"/>
    <cellStyle name="Normal 132 2 4 2" xfId="39020"/>
    <cellStyle name="Normal 132 2 5" xfId="24007"/>
    <cellStyle name="Normal 132 3" xfId="5800"/>
    <cellStyle name="Normal 132 3 2" xfId="9097"/>
    <cellStyle name="Normal 132 3 2 2" xfId="16886"/>
    <cellStyle name="Normal 132 3 2 2 2" xfId="34508"/>
    <cellStyle name="Normal 132 3 2 3" xfId="27471"/>
    <cellStyle name="Normal 132 3 3" xfId="13650"/>
    <cellStyle name="Normal 132 3 3 2" xfId="31276"/>
    <cellStyle name="Normal 132 3 4" xfId="22518"/>
    <cellStyle name="Normal 132 3 5" xfId="24610"/>
    <cellStyle name="Normal 132 4" xfId="6430"/>
    <cellStyle name="Normal 132 4 2" xfId="9637"/>
    <cellStyle name="Normal 132 4 2 2" xfId="17425"/>
    <cellStyle name="Normal 132 4 2 2 2" xfId="35048"/>
    <cellStyle name="Normal 132 4 2 3" xfId="28007"/>
    <cellStyle name="Normal 132 4 3" xfId="14213"/>
    <cellStyle name="Normal 132 4 3 2" xfId="31834"/>
    <cellStyle name="Normal 132 4 4" xfId="25146"/>
    <cellStyle name="Normal 132 5" xfId="7205"/>
    <cellStyle name="Normal 132 5 2" xfId="10190"/>
    <cellStyle name="Normal 132 5 2 2" xfId="17977"/>
    <cellStyle name="Normal 132 5 2 2 2" xfId="35600"/>
    <cellStyle name="Normal 132 5 2 3" xfId="28543"/>
    <cellStyle name="Normal 132 5 3" xfId="14987"/>
    <cellStyle name="Normal 132 5 3 2" xfId="32608"/>
    <cellStyle name="Normal 132 5 4" xfId="25683"/>
    <cellStyle name="Normal 132 6" xfId="7803"/>
    <cellStyle name="Normal 132 6 2" xfId="15594"/>
    <cellStyle name="Normal 132 6 2 2" xfId="33215"/>
    <cellStyle name="Normal 132 6 3" xfId="26205"/>
    <cellStyle name="Normal 132 7" xfId="11702"/>
    <cellStyle name="Normal 132 7 2" xfId="29379"/>
    <cellStyle name="Normal 132 8" xfId="21962"/>
    <cellStyle name="Normal 132 8 2" xfId="38699"/>
    <cellStyle name="Normal 132 9" xfId="23344"/>
    <cellStyle name="Normal 133" xfId="2165"/>
    <cellStyle name="Normal 133 10" xfId="51937"/>
    <cellStyle name="Normal 133 2" xfId="4326"/>
    <cellStyle name="Normal 133 2 2" xfId="8482"/>
    <cellStyle name="Normal 133 2 2 2" xfId="16272"/>
    <cellStyle name="Normal 133 2 2 2 2" xfId="33893"/>
    <cellStyle name="Normal 133 2 2 3" xfId="26869"/>
    <cellStyle name="Normal 133 2 3" xfId="12713"/>
    <cellStyle name="Normal 133 2 3 2" xfId="30357"/>
    <cellStyle name="Normal 133 2 4" xfId="24008"/>
    <cellStyle name="Normal 133 3" xfId="5801"/>
    <cellStyle name="Normal 133 3 2" xfId="9098"/>
    <cellStyle name="Normal 133 3 2 2" xfId="16887"/>
    <cellStyle name="Normal 133 3 2 2 2" xfId="34509"/>
    <cellStyle name="Normal 133 3 2 3" xfId="27472"/>
    <cellStyle name="Normal 133 3 3" xfId="13651"/>
    <cellStyle name="Normal 133 3 3 2" xfId="31277"/>
    <cellStyle name="Normal 133 3 4" xfId="24611"/>
    <cellStyle name="Normal 133 4" xfId="6431"/>
    <cellStyle name="Normal 133 4 2" xfId="9638"/>
    <cellStyle name="Normal 133 4 2 2" xfId="17426"/>
    <cellStyle name="Normal 133 4 2 2 2" xfId="35049"/>
    <cellStyle name="Normal 133 4 2 3" xfId="28008"/>
    <cellStyle name="Normal 133 4 3" xfId="14214"/>
    <cellStyle name="Normal 133 4 3 2" xfId="31835"/>
    <cellStyle name="Normal 133 4 4" xfId="25147"/>
    <cellStyle name="Normal 133 5" xfId="7206"/>
    <cellStyle name="Normal 133 5 2" xfId="10191"/>
    <cellStyle name="Normal 133 5 2 2" xfId="17978"/>
    <cellStyle name="Normal 133 5 2 2 2" xfId="35601"/>
    <cellStyle name="Normal 133 5 2 3" xfId="28544"/>
    <cellStyle name="Normal 133 5 3" xfId="14988"/>
    <cellStyle name="Normal 133 5 3 2" xfId="32609"/>
    <cellStyle name="Normal 133 5 4" xfId="25684"/>
    <cellStyle name="Normal 133 6" xfId="7804"/>
    <cellStyle name="Normal 133 6 2" xfId="15595"/>
    <cellStyle name="Normal 133 6 2 2" xfId="33216"/>
    <cellStyle name="Normal 133 6 3" xfId="26206"/>
    <cellStyle name="Normal 133 7" xfId="11703"/>
    <cellStyle name="Normal 133 7 2" xfId="29380"/>
    <cellStyle name="Normal 133 8" xfId="21963"/>
    <cellStyle name="Normal 133 8 2" xfId="38700"/>
    <cellStyle name="Normal 133 9" xfId="23345"/>
    <cellStyle name="Normal 134" xfId="2166"/>
    <cellStyle name="Normal 134 2" xfId="4327"/>
    <cellStyle name="Normal 134 3" xfId="22519"/>
    <cellStyle name="Normal 134 3 2" xfId="38826"/>
    <cellStyle name="Normal 134 4" xfId="51938"/>
    <cellStyle name="Normal 135" xfId="2167"/>
    <cellStyle name="Normal 135 2" xfId="4328"/>
    <cellStyle name="Normal 135 3" xfId="22520"/>
    <cellStyle name="Normal 135 3 2" xfId="38827"/>
    <cellStyle name="Normal 135 4" xfId="51939"/>
    <cellStyle name="Normal 136" xfId="2168"/>
    <cellStyle name="Normal 136 2" xfId="4329"/>
    <cellStyle name="Normal 136 3" xfId="51940"/>
    <cellStyle name="Normal 137" xfId="2169"/>
    <cellStyle name="Normal 137 10" xfId="51941"/>
    <cellStyle name="Normal 137 2" xfId="4330"/>
    <cellStyle name="Normal 137 2 2" xfId="8483"/>
    <cellStyle name="Normal 137 2 2 2" xfId="16273"/>
    <cellStyle name="Normal 137 2 2 2 2" xfId="33894"/>
    <cellStyle name="Normal 137 2 2 3" xfId="26870"/>
    <cellStyle name="Normal 137 2 3" xfId="12714"/>
    <cellStyle name="Normal 137 2 3 2" xfId="30358"/>
    <cellStyle name="Normal 137 2 4" xfId="22930"/>
    <cellStyle name="Normal 137 2 4 2" xfId="39021"/>
    <cellStyle name="Normal 137 2 5" xfId="24009"/>
    <cellStyle name="Normal 137 3" xfId="5802"/>
    <cellStyle name="Normal 137 3 2" xfId="9099"/>
    <cellStyle name="Normal 137 3 2 2" xfId="16888"/>
    <cellStyle name="Normal 137 3 2 2 2" xfId="34510"/>
    <cellStyle name="Normal 137 3 2 3" xfId="27473"/>
    <cellStyle name="Normal 137 3 3" xfId="13652"/>
    <cellStyle name="Normal 137 3 3 2" xfId="31278"/>
    <cellStyle name="Normal 137 3 4" xfId="22521"/>
    <cellStyle name="Normal 137 3 5" xfId="24612"/>
    <cellStyle name="Normal 137 4" xfId="6432"/>
    <cellStyle name="Normal 137 4 2" xfId="9639"/>
    <cellStyle name="Normal 137 4 2 2" xfId="17427"/>
    <cellStyle name="Normal 137 4 2 2 2" xfId="35050"/>
    <cellStyle name="Normal 137 4 2 3" xfId="28009"/>
    <cellStyle name="Normal 137 4 3" xfId="14215"/>
    <cellStyle name="Normal 137 4 3 2" xfId="31836"/>
    <cellStyle name="Normal 137 4 4" xfId="25148"/>
    <cellStyle name="Normal 137 5" xfId="7207"/>
    <cellStyle name="Normal 137 5 2" xfId="10192"/>
    <cellStyle name="Normal 137 5 2 2" xfId="17979"/>
    <cellStyle name="Normal 137 5 2 2 2" xfId="35602"/>
    <cellStyle name="Normal 137 5 2 3" xfId="28545"/>
    <cellStyle name="Normal 137 5 3" xfId="14989"/>
    <cellStyle name="Normal 137 5 3 2" xfId="32610"/>
    <cellStyle name="Normal 137 5 4" xfId="25685"/>
    <cellStyle name="Normal 137 6" xfId="7805"/>
    <cellStyle name="Normal 137 6 2" xfId="15596"/>
    <cellStyle name="Normal 137 6 2 2" xfId="33217"/>
    <cellStyle name="Normal 137 6 3" xfId="26207"/>
    <cellStyle name="Normal 137 7" xfId="11704"/>
    <cellStyle name="Normal 137 7 2" xfId="29381"/>
    <cellStyle name="Normal 137 8" xfId="21964"/>
    <cellStyle name="Normal 137 8 2" xfId="38701"/>
    <cellStyle name="Normal 137 9" xfId="23346"/>
    <cellStyle name="Normal 138" xfId="2170"/>
    <cellStyle name="Normal 138 10" xfId="51942"/>
    <cellStyle name="Normal 138 2" xfId="4331"/>
    <cellStyle name="Normal 138 2 2" xfId="8484"/>
    <cellStyle name="Normal 138 2 2 2" xfId="16274"/>
    <cellStyle name="Normal 138 2 2 2 2" xfId="33895"/>
    <cellStyle name="Normal 138 2 2 3" xfId="26871"/>
    <cellStyle name="Normal 138 2 3" xfId="12715"/>
    <cellStyle name="Normal 138 2 3 2" xfId="30359"/>
    <cellStyle name="Normal 138 2 4" xfId="22931"/>
    <cellStyle name="Normal 138 2 4 2" xfId="39022"/>
    <cellStyle name="Normal 138 2 5" xfId="24010"/>
    <cellStyle name="Normal 138 3" xfId="5803"/>
    <cellStyle name="Normal 138 3 2" xfId="9100"/>
    <cellStyle name="Normal 138 3 2 2" xfId="16889"/>
    <cellStyle name="Normal 138 3 2 2 2" xfId="34511"/>
    <cellStyle name="Normal 138 3 2 3" xfId="27474"/>
    <cellStyle name="Normal 138 3 3" xfId="13653"/>
    <cellStyle name="Normal 138 3 3 2" xfId="31279"/>
    <cellStyle name="Normal 138 3 4" xfId="22522"/>
    <cellStyle name="Normal 138 3 5" xfId="24613"/>
    <cellStyle name="Normal 138 4" xfId="6433"/>
    <cellStyle name="Normal 138 4 2" xfId="9640"/>
    <cellStyle name="Normal 138 4 2 2" xfId="17428"/>
    <cellStyle name="Normal 138 4 2 2 2" xfId="35051"/>
    <cellStyle name="Normal 138 4 2 3" xfId="28010"/>
    <cellStyle name="Normal 138 4 3" xfId="14216"/>
    <cellStyle name="Normal 138 4 3 2" xfId="31837"/>
    <cellStyle name="Normal 138 4 4" xfId="25149"/>
    <cellStyle name="Normal 138 5" xfId="7208"/>
    <cellStyle name="Normal 138 5 2" xfId="10193"/>
    <cellStyle name="Normal 138 5 2 2" xfId="17980"/>
    <cellStyle name="Normal 138 5 2 2 2" xfId="35603"/>
    <cellStyle name="Normal 138 5 2 3" xfId="28546"/>
    <cellStyle name="Normal 138 5 3" xfId="14990"/>
    <cellStyle name="Normal 138 5 3 2" xfId="32611"/>
    <cellStyle name="Normal 138 5 4" xfId="25686"/>
    <cellStyle name="Normal 138 6" xfId="7806"/>
    <cellStyle name="Normal 138 6 2" xfId="15597"/>
    <cellStyle name="Normal 138 6 2 2" xfId="33218"/>
    <cellStyle name="Normal 138 6 3" xfId="26208"/>
    <cellStyle name="Normal 138 7" xfId="11705"/>
    <cellStyle name="Normal 138 7 2" xfId="29382"/>
    <cellStyle name="Normal 138 8" xfId="21965"/>
    <cellStyle name="Normal 138 8 2" xfId="38702"/>
    <cellStyle name="Normal 138 9" xfId="23347"/>
    <cellStyle name="Normal 139" xfId="2171"/>
    <cellStyle name="Normal 139 10" xfId="51943"/>
    <cellStyle name="Normal 139 2" xfId="4332"/>
    <cellStyle name="Normal 139 2 2" xfId="8485"/>
    <cellStyle name="Normal 139 2 2 2" xfId="16275"/>
    <cellStyle name="Normal 139 2 2 2 2" xfId="33896"/>
    <cellStyle name="Normal 139 2 2 3" xfId="26872"/>
    <cellStyle name="Normal 139 2 3" xfId="12716"/>
    <cellStyle name="Normal 139 2 3 2" xfId="30360"/>
    <cellStyle name="Normal 139 2 4" xfId="22932"/>
    <cellStyle name="Normal 139 2 4 2" xfId="39023"/>
    <cellStyle name="Normal 139 2 5" xfId="24011"/>
    <cellStyle name="Normal 139 3" xfId="5804"/>
    <cellStyle name="Normal 139 3 2" xfId="9101"/>
    <cellStyle name="Normal 139 3 2 2" xfId="16890"/>
    <cellStyle name="Normal 139 3 2 2 2" xfId="34512"/>
    <cellStyle name="Normal 139 3 2 3" xfId="27475"/>
    <cellStyle name="Normal 139 3 3" xfId="13654"/>
    <cellStyle name="Normal 139 3 3 2" xfId="31280"/>
    <cellStyle name="Normal 139 3 4" xfId="22523"/>
    <cellStyle name="Normal 139 3 5" xfId="24614"/>
    <cellStyle name="Normal 139 4" xfId="6434"/>
    <cellStyle name="Normal 139 4 2" xfId="9641"/>
    <cellStyle name="Normal 139 4 2 2" xfId="17429"/>
    <cellStyle name="Normal 139 4 2 2 2" xfId="35052"/>
    <cellStyle name="Normal 139 4 2 3" xfId="28011"/>
    <cellStyle name="Normal 139 4 3" xfId="14217"/>
    <cellStyle name="Normal 139 4 3 2" xfId="31838"/>
    <cellStyle name="Normal 139 4 4" xfId="25150"/>
    <cellStyle name="Normal 139 5" xfId="7209"/>
    <cellStyle name="Normal 139 5 2" xfId="10194"/>
    <cellStyle name="Normal 139 5 2 2" xfId="17981"/>
    <cellStyle name="Normal 139 5 2 2 2" xfId="35604"/>
    <cellStyle name="Normal 139 5 2 3" xfId="28547"/>
    <cellStyle name="Normal 139 5 3" xfId="14991"/>
    <cellStyle name="Normal 139 5 3 2" xfId="32612"/>
    <cellStyle name="Normal 139 5 4" xfId="25687"/>
    <cellStyle name="Normal 139 6" xfId="7807"/>
    <cellStyle name="Normal 139 6 2" xfId="15598"/>
    <cellStyle name="Normal 139 6 2 2" xfId="33219"/>
    <cellStyle name="Normal 139 6 3" xfId="26209"/>
    <cellStyle name="Normal 139 7" xfId="11706"/>
    <cellStyle name="Normal 139 7 2" xfId="29383"/>
    <cellStyle name="Normal 139 8" xfId="21966"/>
    <cellStyle name="Normal 139 8 2" xfId="38703"/>
    <cellStyle name="Normal 139 9" xfId="23348"/>
    <cellStyle name="Normal 14" xfId="2172"/>
    <cellStyle name="Normal 14 2" xfId="2173"/>
    <cellStyle name="Normal 14 2 2" xfId="2174"/>
    <cellStyle name="Normal 14 2_Sheet1" xfId="2175"/>
    <cellStyle name="Normal 14 3" xfId="2176"/>
    <cellStyle name="Normal 14 4" xfId="22933"/>
    <cellStyle name="Normal 14 5" xfId="22524"/>
    <cellStyle name="Normal 14 6" xfId="22404"/>
    <cellStyle name="Normal 14 7" xfId="53201"/>
    <cellStyle name="Normal 14 8" xfId="53202"/>
    <cellStyle name="Normal 14 9" xfId="53200"/>
    <cellStyle name="Normal 14_Sheet1" xfId="2177"/>
    <cellStyle name="Normal 140" xfId="2178"/>
    <cellStyle name="Normal 140 10" xfId="51944"/>
    <cellStyle name="Normal 140 2" xfId="4333"/>
    <cellStyle name="Normal 140 2 2" xfId="8486"/>
    <cellStyle name="Normal 140 2 2 2" xfId="16276"/>
    <cellStyle name="Normal 140 2 2 2 2" xfId="33897"/>
    <cellStyle name="Normal 140 2 2 3" xfId="26873"/>
    <cellStyle name="Normal 140 2 3" xfId="12717"/>
    <cellStyle name="Normal 140 2 3 2" xfId="30361"/>
    <cellStyle name="Normal 140 2 4" xfId="22934"/>
    <cellStyle name="Normal 140 2 5" xfId="24012"/>
    <cellStyle name="Normal 140 3" xfId="5805"/>
    <cellStyle name="Normal 140 3 2" xfId="9102"/>
    <cellStyle name="Normal 140 3 2 2" xfId="16891"/>
    <cellStyle name="Normal 140 3 2 2 2" xfId="34513"/>
    <cellStyle name="Normal 140 3 2 3" xfId="27476"/>
    <cellStyle name="Normal 140 3 3" xfId="13655"/>
    <cellStyle name="Normal 140 3 3 2" xfId="31281"/>
    <cellStyle name="Normal 140 3 4" xfId="22525"/>
    <cellStyle name="Normal 140 3 5" xfId="24615"/>
    <cellStyle name="Normal 140 4" xfId="6435"/>
    <cellStyle name="Normal 140 4 2" xfId="9642"/>
    <cellStyle name="Normal 140 4 2 2" xfId="17430"/>
    <cellStyle name="Normal 140 4 2 2 2" xfId="35053"/>
    <cellStyle name="Normal 140 4 2 3" xfId="28012"/>
    <cellStyle name="Normal 140 4 3" xfId="14218"/>
    <cellStyle name="Normal 140 4 3 2" xfId="31839"/>
    <cellStyle name="Normal 140 4 4" xfId="25151"/>
    <cellStyle name="Normal 140 5" xfId="7210"/>
    <cellStyle name="Normal 140 5 2" xfId="10195"/>
    <cellStyle name="Normal 140 5 2 2" xfId="17982"/>
    <cellStyle name="Normal 140 5 2 2 2" xfId="35605"/>
    <cellStyle name="Normal 140 5 2 3" xfId="28548"/>
    <cellStyle name="Normal 140 5 3" xfId="14992"/>
    <cellStyle name="Normal 140 5 3 2" xfId="32613"/>
    <cellStyle name="Normal 140 5 4" xfId="25688"/>
    <cellStyle name="Normal 140 6" xfId="7808"/>
    <cellStyle name="Normal 140 6 2" xfId="15599"/>
    <cellStyle name="Normal 140 6 2 2" xfId="33220"/>
    <cellStyle name="Normal 140 6 3" xfId="26210"/>
    <cellStyle name="Normal 140 7" xfId="11709"/>
    <cellStyle name="Normal 140 7 2" xfId="29384"/>
    <cellStyle name="Normal 140 8" xfId="21967"/>
    <cellStyle name="Normal 140 9" xfId="23349"/>
    <cellStyle name="Normal 141" xfId="2179"/>
    <cellStyle name="Normal 141 10" xfId="51945"/>
    <cellStyle name="Normal 141 2" xfId="4334"/>
    <cellStyle name="Normal 141 2 2" xfId="8487"/>
    <cellStyle name="Normal 141 2 2 2" xfId="16277"/>
    <cellStyle name="Normal 141 2 2 2 2" xfId="33898"/>
    <cellStyle name="Normal 141 2 2 3" xfId="23014"/>
    <cellStyle name="Normal 141 2 2 4" xfId="26874"/>
    <cellStyle name="Normal 141 2 3" xfId="12718"/>
    <cellStyle name="Normal 141 2 3 2" xfId="22016"/>
    <cellStyle name="Normal 141 2 3 3" xfId="30362"/>
    <cellStyle name="Normal 141 2 4" xfId="21996"/>
    <cellStyle name="Normal 141 2 5" xfId="24013"/>
    <cellStyle name="Normal 141 3" xfId="5806"/>
    <cellStyle name="Normal 141 3 2" xfId="9103"/>
    <cellStyle name="Normal 141 3 2 2" xfId="16892"/>
    <cellStyle name="Normal 141 3 2 2 2" xfId="34514"/>
    <cellStyle name="Normal 141 3 2 3" xfId="27477"/>
    <cellStyle name="Normal 141 3 3" xfId="13656"/>
    <cellStyle name="Normal 141 3 3 2" xfId="31282"/>
    <cellStyle name="Normal 141 3 4" xfId="22935"/>
    <cellStyle name="Normal 141 3 5" xfId="24616"/>
    <cellStyle name="Normal 141 4" xfId="6436"/>
    <cellStyle name="Normal 141 4 2" xfId="9643"/>
    <cellStyle name="Normal 141 4 2 2" xfId="17431"/>
    <cellStyle name="Normal 141 4 2 2 2" xfId="35054"/>
    <cellStyle name="Normal 141 4 2 3" xfId="28013"/>
    <cellStyle name="Normal 141 4 3" xfId="14219"/>
    <cellStyle name="Normal 141 4 3 2" xfId="31840"/>
    <cellStyle name="Normal 141 4 4" xfId="22526"/>
    <cellStyle name="Normal 141 4 4 2" xfId="38828"/>
    <cellStyle name="Normal 141 4 5" xfId="25152"/>
    <cellStyle name="Normal 141 5" xfId="7211"/>
    <cellStyle name="Normal 141 5 2" xfId="10196"/>
    <cellStyle name="Normal 141 5 2 2" xfId="17983"/>
    <cellStyle name="Normal 141 5 2 2 2" xfId="35606"/>
    <cellStyle name="Normal 141 5 2 3" xfId="28549"/>
    <cellStyle name="Normal 141 5 3" xfId="14993"/>
    <cellStyle name="Normal 141 5 3 2" xfId="32614"/>
    <cellStyle name="Normal 141 5 4" xfId="25689"/>
    <cellStyle name="Normal 141 6" xfId="7809"/>
    <cellStyle name="Normal 141 6 2" xfId="15600"/>
    <cellStyle name="Normal 141 6 2 2" xfId="33221"/>
    <cellStyle name="Normal 141 6 3" xfId="26211"/>
    <cellStyle name="Normal 141 7" xfId="11710"/>
    <cellStyle name="Normal 141 7 2" xfId="29385"/>
    <cellStyle name="Normal 141 8" xfId="21968"/>
    <cellStyle name="Normal 141 9" xfId="23350"/>
    <cellStyle name="Normal 142" xfId="2180"/>
    <cellStyle name="Normal 142 10" xfId="51946"/>
    <cellStyle name="Normal 142 2" xfId="4335"/>
    <cellStyle name="Normal 142 2 2" xfId="8488"/>
    <cellStyle name="Normal 142 2 2 2" xfId="16278"/>
    <cellStyle name="Normal 142 2 2 2 2" xfId="33899"/>
    <cellStyle name="Normal 142 2 2 3" xfId="26875"/>
    <cellStyle name="Normal 142 2 3" xfId="12719"/>
    <cellStyle name="Normal 142 2 3 2" xfId="30363"/>
    <cellStyle name="Normal 142 2 4" xfId="22936"/>
    <cellStyle name="Normal 142 2 5" xfId="24014"/>
    <cellStyle name="Normal 142 3" xfId="5807"/>
    <cellStyle name="Normal 142 3 2" xfId="9104"/>
    <cellStyle name="Normal 142 3 2 2" xfId="16893"/>
    <cellStyle name="Normal 142 3 2 2 2" xfId="34515"/>
    <cellStyle name="Normal 142 3 2 3" xfId="27478"/>
    <cellStyle name="Normal 142 3 3" xfId="13657"/>
    <cellStyle name="Normal 142 3 3 2" xfId="31283"/>
    <cellStyle name="Normal 142 3 4" xfId="22527"/>
    <cellStyle name="Normal 142 3 4 2" xfId="38829"/>
    <cellStyle name="Normal 142 3 5" xfId="24617"/>
    <cellStyle name="Normal 142 4" xfId="6437"/>
    <cellStyle name="Normal 142 4 2" xfId="9644"/>
    <cellStyle name="Normal 142 4 2 2" xfId="17432"/>
    <cellStyle name="Normal 142 4 2 2 2" xfId="35055"/>
    <cellStyle name="Normal 142 4 2 3" xfId="28014"/>
    <cellStyle name="Normal 142 4 3" xfId="14220"/>
    <cellStyle name="Normal 142 4 3 2" xfId="31841"/>
    <cellStyle name="Normal 142 4 4" xfId="22012"/>
    <cellStyle name="Normal 142 4 5" xfId="25153"/>
    <cellStyle name="Normal 142 5" xfId="7212"/>
    <cellStyle name="Normal 142 5 2" xfId="10197"/>
    <cellStyle name="Normal 142 5 2 2" xfId="17984"/>
    <cellStyle name="Normal 142 5 2 2 2" xfId="35607"/>
    <cellStyle name="Normal 142 5 2 3" xfId="28550"/>
    <cellStyle name="Normal 142 5 3" xfId="14994"/>
    <cellStyle name="Normal 142 5 3 2" xfId="32615"/>
    <cellStyle name="Normal 142 5 4" xfId="25690"/>
    <cellStyle name="Normal 142 6" xfId="7810"/>
    <cellStyle name="Normal 142 6 2" xfId="15601"/>
    <cellStyle name="Normal 142 6 2 2" xfId="33222"/>
    <cellStyle name="Normal 142 6 3" xfId="26212"/>
    <cellStyle name="Normal 142 7" xfId="11711"/>
    <cellStyle name="Normal 142 7 2" xfId="29386"/>
    <cellStyle name="Normal 142 8" xfId="21969"/>
    <cellStyle name="Normal 142 9" xfId="23351"/>
    <cellStyle name="Normal 143" xfId="2181"/>
    <cellStyle name="Normal 143 10" xfId="23352"/>
    <cellStyle name="Normal 143 11" xfId="51947"/>
    <cellStyle name="Normal 143 2" xfId="2182"/>
    <cellStyle name="Normal 143 2 2" xfId="4337"/>
    <cellStyle name="Normal 143 2 3" xfId="22937"/>
    <cellStyle name="Normal 143 2 4" xfId="51948"/>
    <cellStyle name="Normal 143 3" xfId="4336"/>
    <cellStyle name="Normal 143 3 2" xfId="8489"/>
    <cellStyle name="Normal 143 3 2 2" xfId="16279"/>
    <cellStyle name="Normal 143 3 2 2 2" xfId="33900"/>
    <cellStyle name="Normal 143 3 2 3" xfId="26876"/>
    <cellStyle name="Normal 143 3 3" xfId="12720"/>
    <cellStyle name="Normal 143 3 3 2" xfId="30364"/>
    <cellStyle name="Normal 143 3 4" xfId="22653"/>
    <cellStyle name="Normal 143 3 4 2" xfId="38872"/>
    <cellStyle name="Normal 143 3 5" xfId="24015"/>
    <cellStyle name="Normal 143 4" xfId="5808"/>
    <cellStyle name="Normal 143 4 2" xfId="9105"/>
    <cellStyle name="Normal 143 4 2 2" xfId="16894"/>
    <cellStyle name="Normal 143 4 2 2 2" xfId="34516"/>
    <cellStyle name="Normal 143 4 2 3" xfId="27479"/>
    <cellStyle name="Normal 143 4 3" xfId="13658"/>
    <cellStyle name="Normal 143 4 3 2" xfId="31284"/>
    <cellStyle name="Normal 143 4 4" xfId="22013"/>
    <cellStyle name="Normal 143 4 5" xfId="24618"/>
    <cellStyle name="Normal 143 5" xfId="6438"/>
    <cellStyle name="Normal 143 5 2" xfId="9645"/>
    <cellStyle name="Normal 143 5 2 2" xfId="17433"/>
    <cellStyle name="Normal 143 5 2 2 2" xfId="35056"/>
    <cellStyle name="Normal 143 5 2 3" xfId="28015"/>
    <cellStyle name="Normal 143 5 3" xfId="14221"/>
    <cellStyle name="Normal 143 5 3 2" xfId="31842"/>
    <cellStyle name="Normal 143 5 4" xfId="25154"/>
    <cellStyle name="Normal 143 6" xfId="7213"/>
    <cellStyle name="Normal 143 6 2" xfId="10198"/>
    <cellStyle name="Normal 143 6 2 2" xfId="17985"/>
    <cellStyle name="Normal 143 6 2 2 2" xfId="35608"/>
    <cellStyle name="Normal 143 6 2 3" xfId="28551"/>
    <cellStyle name="Normal 143 6 3" xfId="14995"/>
    <cellStyle name="Normal 143 6 3 2" xfId="32616"/>
    <cellStyle name="Normal 143 6 4" xfId="25691"/>
    <cellStyle name="Normal 143 7" xfId="7811"/>
    <cellStyle name="Normal 143 7 2" xfId="15602"/>
    <cellStyle name="Normal 143 7 2 2" xfId="33223"/>
    <cellStyle name="Normal 143 7 3" xfId="26213"/>
    <cellStyle name="Normal 143 8" xfId="11712"/>
    <cellStyle name="Normal 143 8 2" xfId="29387"/>
    <cellStyle name="Normal 143 9" xfId="21970"/>
    <cellStyle name="Normal 144" xfId="2183"/>
    <cellStyle name="Normal 144 10" xfId="51949"/>
    <cellStyle name="Normal 144 2" xfId="4338"/>
    <cellStyle name="Normal 144 2 2" xfId="8490"/>
    <cellStyle name="Normal 144 2 2 2" xfId="16280"/>
    <cellStyle name="Normal 144 2 2 2 2" xfId="33901"/>
    <cellStyle name="Normal 144 2 2 3" xfId="26877"/>
    <cellStyle name="Normal 144 2 3" xfId="12721"/>
    <cellStyle name="Normal 144 2 3 2" xfId="30365"/>
    <cellStyle name="Normal 144 2 4" xfId="22938"/>
    <cellStyle name="Normal 144 2 5" xfId="24016"/>
    <cellStyle name="Normal 144 3" xfId="5809"/>
    <cellStyle name="Normal 144 3 2" xfId="9106"/>
    <cellStyle name="Normal 144 3 2 2" xfId="16895"/>
    <cellStyle name="Normal 144 3 2 2 2" xfId="34517"/>
    <cellStyle name="Normal 144 3 2 3" xfId="27480"/>
    <cellStyle name="Normal 144 3 3" xfId="13659"/>
    <cellStyle name="Normal 144 3 3 2" xfId="31285"/>
    <cellStyle name="Normal 144 3 4" xfId="22682"/>
    <cellStyle name="Normal 144 3 4 2" xfId="38886"/>
    <cellStyle name="Normal 144 3 5" xfId="24619"/>
    <cellStyle name="Normal 144 4" xfId="6439"/>
    <cellStyle name="Normal 144 4 2" xfId="9646"/>
    <cellStyle name="Normal 144 4 2 2" xfId="17434"/>
    <cellStyle name="Normal 144 4 2 2 2" xfId="35057"/>
    <cellStyle name="Normal 144 4 2 3" xfId="28016"/>
    <cellStyle name="Normal 144 4 3" xfId="14222"/>
    <cellStyle name="Normal 144 4 3 2" xfId="31843"/>
    <cellStyle name="Normal 144 4 4" xfId="22014"/>
    <cellStyle name="Normal 144 4 5" xfId="25155"/>
    <cellStyle name="Normal 144 5" xfId="7214"/>
    <cellStyle name="Normal 144 5 2" xfId="10199"/>
    <cellStyle name="Normal 144 5 2 2" xfId="17986"/>
    <cellStyle name="Normal 144 5 2 2 2" xfId="35609"/>
    <cellStyle name="Normal 144 5 2 3" xfId="28552"/>
    <cellStyle name="Normal 144 5 3" xfId="14996"/>
    <cellStyle name="Normal 144 5 3 2" xfId="32617"/>
    <cellStyle name="Normal 144 5 4" xfId="25692"/>
    <cellStyle name="Normal 144 6" xfId="7812"/>
    <cellStyle name="Normal 144 6 2" xfId="15603"/>
    <cellStyle name="Normal 144 6 2 2" xfId="33224"/>
    <cellStyle name="Normal 144 6 3" xfId="26214"/>
    <cellStyle name="Normal 144 7" xfId="11713"/>
    <cellStyle name="Normal 144 7 2" xfId="29388"/>
    <cellStyle name="Normal 144 8" xfId="21971"/>
    <cellStyle name="Normal 144 9" xfId="23353"/>
    <cellStyle name="Normal 145" xfId="2184"/>
    <cellStyle name="Normal 145 2" xfId="4339"/>
    <cellStyle name="Normal 145 2 2" xfId="22939"/>
    <cellStyle name="Normal 145 3" xfId="22684"/>
    <cellStyle name="Normal 145 3 2" xfId="38887"/>
    <cellStyle name="Normal 145 4" xfId="22015"/>
    <cellStyle name="Normal 145 5" xfId="21972"/>
    <cellStyle name="Normal 145 6" xfId="51950"/>
    <cellStyle name="Normal 146" xfId="2185"/>
    <cellStyle name="Normal 146 2" xfId="4340"/>
    <cellStyle name="Normal 146 3" xfId="22686"/>
    <cellStyle name="Normal 146 3 2" xfId="38888"/>
    <cellStyle name="Normal 146 4" xfId="51951"/>
    <cellStyle name="Normal 147" xfId="2186"/>
    <cellStyle name="Normal 147 2" xfId="4341"/>
    <cellStyle name="Normal 147 3" xfId="22689"/>
    <cellStyle name="Normal 147 3 2" xfId="38889"/>
    <cellStyle name="Normal 147 4" xfId="51952"/>
    <cellStyle name="Normal 148" xfId="2187"/>
    <cellStyle name="Normal 148 2" xfId="4342"/>
    <cellStyle name="Normal 148 3" xfId="22695"/>
    <cellStyle name="Normal 148 3 2" xfId="38891"/>
    <cellStyle name="Normal 148 4" xfId="51953"/>
    <cellStyle name="Normal 149" xfId="2188"/>
    <cellStyle name="Normal 149 2" xfId="4343"/>
    <cellStyle name="Normal 149 2 2" xfId="22005"/>
    <cellStyle name="Normal 149 3" xfId="22779"/>
    <cellStyle name="Normal 149 4" xfId="21997"/>
    <cellStyle name="Normal 149 5" xfId="51954"/>
    <cellStyle name="Normal 15" xfId="2189"/>
    <cellStyle name="Normal 15 2" xfId="2190"/>
    <cellStyle name="Normal 15 2 2" xfId="2191"/>
    <cellStyle name="Normal 15 2 3" xfId="22941"/>
    <cellStyle name="Normal 15 2 4" xfId="22741"/>
    <cellStyle name="Normal 15 2 4 2" xfId="38934"/>
    <cellStyle name="Normal 15 2_Sheet1" xfId="2192"/>
    <cellStyle name="Normal 15 3" xfId="2193"/>
    <cellStyle name="Normal 15 4" xfId="22940"/>
    <cellStyle name="Normal 15 5" xfId="22528"/>
    <cellStyle name="Normal 15 5 2" xfId="38830"/>
    <cellStyle name="Normal 15 6" xfId="53203"/>
    <cellStyle name="Normal 15_Sheet1" xfId="2194"/>
    <cellStyle name="Normal 150" xfId="2195"/>
    <cellStyle name="Normal 150 10" xfId="51955"/>
    <cellStyle name="Normal 150 2" xfId="4344"/>
    <cellStyle name="Normal 150 2 2" xfId="8491"/>
    <cellStyle name="Normal 150 2 2 2" xfId="16281"/>
    <cellStyle name="Normal 150 2 2 2 2" xfId="33902"/>
    <cellStyle name="Normal 150 2 2 3" xfId="26878"/>
    <cellStyle name="Normal 150 2 3" xfId="12722"/>
    <cellStyle name="Normal 150 2 3 2" xfId="30366"/>
    <cellStyle name="Normal 150 2 4" xfId="22006"/>
    <cellStyle name="Normal 150 2 5" xfId="24017"/>
    <cellStyle name="Normal 150 3" xfId="5810"/>
    <cellStyle name="Normal 150 3 2" xfId="9107"/>
    <cellStyle name="Normal 150 3 2 2" xfId="16896"/>
    <cellStyle name="Normal 150 3 2 2 2" xfId="34518"/>
    <cellStyle name="Normal 150 3 2 3" xfId="27481"/>
    <cellStyle name="Normal 150 3 3" xfId="13660"/>
    <cellStyle name="Normal 150 3 3 2" xfId="31286"/>
    <cellStyle name="Normal 150 3 4" xfId="22782"/>
    <cellStyle name="Normal 150 3 5" xfId="24620"/>
    <cellStyle name="Normal 150 4" xfId="6440"/>
    <cellStyle name="Normal 150 4 2" xfId="9647"/>
    <cellStyle name="Normal 150 4 2 2" xfId="17435"/>
    <cellStyle name="Normal 150 4 2 2 2" xfId="35058"/>
    <cellStyle name="Normal 150 4 2 3" xfId="28017"/>
    <cellStyle name="Normal 150 4 3" xfId="14223"/>
    <cellStyle name="Normal 150 4 3 2" xfId="31844"/>
    <cellStyle name="Normal 150 4 4" xfId="25156"/>
    <cellStyle name="Normal 150 5" xfId="7215"/>
    <cellStyle name="Normal 150 5 2" xfId="10200"/>
    <cellStyle name="Normal 150 5 2 2" xfId="17987"/>
    <cellStyle name="Normal 150 5 2 2 2" xfId="35610"/>
    <cellStyle name="Normal 150 5 2 3" xfId="28553"/>
    <cellStyle name="Normal 150 5 3" xfId="14997"/>
    <cellStyle name="Normal 150 5 3 2" xfId="32618"/>
    <cellStyle name="Normal 150 5 4" xfId="25693"/>
    <cellStyle name="Normal 150 6" xfId="7813"/>
    <cellStyle name="Normal 150 6 2" xfId="15604"/>
    <cellStyle name="Normal 150 6 2 2" xfId="33225"/>
    <cellStyle name="Normal 150 6 3" xfId="26215"/>
    <cellStyle name="Normal 150 7" xfId="11718"/>
    <cellStyle name="Normal 150 7 2" xfId="29391"/>
    <cellStyle name="Normal 150 8" xfId="21998"/>
    <cellStyle name="Normal 150 9" xfId="23354"/>
    <cellStyle name="Normal 151" xfId="2196"/>
    <cellStyle name="Normal 151 2" xfId="2197"/>
    <cellStyle name="Normal 151 2 2" xfId="4346"/>
    <cellStyle name="Normal 151 2 3" xfId="22007"/>
    <cellStyle name="Normal 151 2 4" xfId="51957"/>
    <cellStyle name="Normal 151 3" xfId="2198"/>
    <cellStyle name="Normal 151 3 2" xfId="8492"/>
    <cellStyle name="Normal 151 3 2 2" xfId="16282"/>
    <cellStyle name="Normal 151 3 2 2 2" xfId="33903"/>
    <cellStyle name="Normal 151 3 2 3" xfId="26879"/>
    <cellStyle name="Normal 151 3 3" xfId="12724"/>
    <cellStyle name="Normal 151 3 3 2" xfId="30368"/>
    <cellStyle name="Normal 151 3 4" xfId="22783"/>
    <cellStyle name="Normal 151 3 5" xfId="24018"/>
    <cellStyle name="Normal 151 3 6" xfId="51958"/>
    <cellStyle name="Normal 151 4" xfId="4345"/>
    <cellStyle name="Normal 151 5" xfId="7814"/>
    <cellStyle name="Normal 151 5 2" xfId="15605"/>
    <cellStyle name="Normal 151 5 2 2" xfId="33226"/>
    <cellStyle name="Normal 151 5 3" xfId="26216"/>
    <cellStyle name="Normal 151 6" xfId="11719"/>
    <cellStyle name="Normal 151 6 2" xfId="29392"/>
    <cellStyle name="Normal 151 7" xfId="21999"/>
    <cellStyle name="Normal 151 8" xfId="23355"/>
    <cellStyle name="Normal 151 9" xfId="51956"/>
    <cellStyle name="Normal 152" xfId="2199"/>
    <cellStyle name="Normal 152 2" xfId="2200"/>
    <cellStyle name="Normal 152 2 2" xfId="4348"/>
    <cellStyle name="Normal 152 2 3" xfId="22010"/>
    <cellStyle name="Normal 152 2 4" xfId="22008"/>
    <cellStyle name="Normal 152 2 5" xfId="51960"/>
    <cellStyle name="Normal 152 3" xfId="2201"/>
    <cellStyle name="Normal 152 3 2" xfId="8493"/>
    <cellStyle name="Normal 152 3 2 2" xfId="16283"/>
    <cellStyle name="Normal 152 3 2 2 2" xfId="33904"/>
    <cellStyle name="Normal 152 3 2 3" xfId="26880"/>
    <cellStyle name="Normal 152 3 3" xfId="12727"/>
    <cellStyle name="Normal 152 3 3 2" xfId="30371"/>
    <cellStyle name="Normal 152 3 4" xfId="22784"/>
    <cellStyle name="Normal 152 3 5" xfId="24019"/>
    <cellStyle name="Normal 152 3 6" xfId="51961"/>
    <cellStyle name="Normal 152 4" xfId="4347"/>
    <cellStyle name="Normal 152 5" xfId="7815"/>
    <cellStyle name="Normal 152 5 2" xfId="15606"/>
    <cellStyle name="Normal 152 5 2 2" xfId="33227"/>
    <cellStyle name="Normal 152 5 3" xfId="26217"/>
    <cellStyle name="Normal 152 6" xfId="11721"/>
    <cellStyle name="Normal 152 6 2" xfId="29394"/>
    <cellStyle name="Normal 152 7" xfId="22000"/>
    <cellStyle name="Normal 152 8" xfId="23356"/>
    <cellStyle name="Normal 152 9" xfId="51959"/>
    <cellStyle name="Normal 153" xfId="2202"/>
    <cellStyle name="Normal 153 2" xfId="4349"/>
    <cellStyle name="Normal 153 3" xfId="22002"/>
    <cellStyle name="Normal 153 3 2" xfId="38722"/>
    <cellStyle name="Normal 153 4" xfId="51962"/>
    <cellStyle name="Normal 154" xfId="2203"/>
    <cellStyle name="Normal 154 2" xfId="4350"/>
    <cellStyle name="Normal 154 3" xfId="22001"/>
    <cellStyle name="Normal 154 4" xfId="51963"/>
    <cellStyle name="Normal 155" xfId="2204"/>
    <cellStyle name="Normal 155 2" xfId="4351"/>
    <cellStyle name="Normal 155 3" xfId="22003"/>
    <cellStyle name="Normal 155 4" xfId="51964"/>
    <cellStyle name="Normal 156" xfId="2205"/>
    <cellStyle name="Normal 156 2" xfId="4352"/>
    <cellStyle name="Normal 156 3" xfId="22009"/>
    <cellStyle name="Normal 156 4" xfId="51965"/>
    <cellStyle name="Normal 157" xfId="2206"/>
    <cellStyle name="Normal 157 2" xfId="4353"/>
    <cellStyle name="Normal 157 3" xfId="22004"/>
    <cellStyle name="Normal 157 4" xfId="51966"/>
    <cellStyle name="Normal 158" xfId="2207"/>
    <cellStyle name="Normal 158 2" xfId="4354"/>
    <cellStyle name="Normal 158 3" xfId="51967"/>
    <cellStyle name="Normal 159" xfId="2208"/>
    <cellStyle name="Normal 159 2" xfId="4355"/>
    <cellStyle name="Normal 159 3" xfId="51968"/>
    <cellStyle name="Normal 16" xfId="2209"/>
    <cellStyle name="Normal 16 2" xfId="2210"/>
    <cellStyle name="Normal 16 2 2" xfId="2211"/>
    <cellStyle name="Normal 16 2 3" xfId="22943"/>
    <cellStyle name="Normal 16 2 4" xfId="22742"/>
    <cellStyle name="Normal 16 2 4 2" xfId="38935"/>
    <cellStyle name="Normal 16 2_Sheet1" xfId="2212"/>
    <cellStyle name="Normal 16 3" xfId="2213"/>
    <cellStyle name="Normal 16 4" xfId="22942"/>
    <cellStyle name="Normal 16 5" xfId="22529"/>
    <cellStyle name="Normal 16 5 2" xfId="38831"/>
    <cellStyle name="Normal 16 6" xfId="53204"/>
    <cellStyle name="Normal 16_Sheet1" xfId="2214"/>
    <cellStyle name="Normal 160" xfId="2215"/>
    <cellStyle name="Normal 160 2" xfId="4356"/>
    <cellStyle name="Normal 160 3" xfId="51969"/>
    <cellStyle name="Normal 161" xfId="2216"/>
    <cellStyle name="Normal 161 2" xfId="4357"/>
    <cellStyle name="Normal 161 3" xfId="51970"/>
    <cellStyle name="Normal 162" xfId="2217"/>
    <cellStyle name="Normal 162 2" xfId="4358"/>
    <cellStyle name="Normal 162 3" xfId="51971"/>
    <cellStyle name="Normal 163" xfId="2218"/>
    <cellStyle name="Normal 163 2" xfId="4359"/>
    <cellStyle name="Normal 163 3" xfId="51972"/>
    <cellStyle name="Normal 164" xfId="2219"/>
    <cellStyle name="Normal 164 2" xfId="4360"/>
    <cellStyle name="Normal 164 3" xfId="51973"/>
    <cellStyle name="Normal 165" xfId="2220"/>
    <cellStyle name="Normal 165 10" xfId="51974"/>
    <cellStyle name="Normal 165 2" xfId="4361"/>
    <cellStyle name="Normal 165 2 2" xfId="8494"/>
    <cellStyle name="Normal 165 2 2 2" xfId="16284"/>
    <cellStyle name="Normal 165 2 2 2 2" xfId="33905"/>
    <cellStyle name="Normal 165 2 2 3" xfId="26881"/>
    <cellStyle name="Normal 165 2 3" xfId="12731"/>
    <cellStyle name="Normal 165 2 3 2" xfId="30375"/>
    <cellStyle name="Normal 165 2 4" xfId="24020"/>
    <cellStyle name="Normal 165 3" xfId="5811"/>
    <cellStyle name="Normal 165 3 2" xfId="9108"/>
    <cellStyle name="Normal 165 3 2 2" xfId="16897"/>
    <cellStyle name="Normal 165 3 2 2 2" xfId="34519"/>
    <cellStyle name="Normal 165 3 2 3" xfId="27482"/>
    <cellStyle name="Normal 165 3 3" xfId="13661"/>
    <cellStyle name="Normal 165 3 3 2" xfId="31287"/>
    <cellStyle name="Normal 165 3 4" xfId="24621"/>
    <cellStyle name="Normal 165 4" xfId="6441"/>
    <cellStyle name="Normal 165 4 2" xfId="9648"/>
    <cellStyle name="Normal 165 4 2 2" xfId="17436"/>
    <cellStyle name="Normal 165 4 2 2 2" xfId="35059"/>
    <cellStyle name="Normal 165 4 2 3" xfId="28018"/>
    <cellStyle name="Normal 165 4 3" xfId="14224"/>
    <cellStyle name="Normal 165 4 3 2" xfId="31845"/>
    <cellStyle name="Normal 165 4 4" xfId="25157"/>
    <cellStyle name="Normal 165 5" xfId="7216"/>
    <cellStyle name="Normal 165 5 2" xfId="10201"/>
    <cellStyle name="Normal 165 5 2 2" xfId="17988"/>
    <cellStyle name="Normal 165 5 2 2 2" xfId="35611"/>
    <cellStyle name="Normal 165 5 2 3" xfId="28554"/>
    <cellStyle name="Normal 165 5 3" xfId="14998"/>
    <cellStyle name="Normal 165 5 3 2" xfId="32619"/>
    <cellStyle name="Normal 165 5 4" xfId="25694"/>
    <cellStyle name="Normal 165 6" xfId="7816"/>
    <cellStyle name="Normal 165 6 2" xfId="15607"/>
    <cellStyle name="Normal 165 6 2 2" xfId="33228"/>
    <cellStyle name="Normal 165 6 3" xfId="26218"/>
    <cellStyle name="Normal 165 7" xfId="11726"/>
    <cellStyle name="Normal 165 7 2" xfId="29399"/>
    <cellStyle name="Normal 165 8" xfId="22789"/>
    <cellStyle name="Normal 165 9" xfId="23357"/>
    <cellStyle name="Normal 166" xfId="2221"/>
    <cellStyle name="Normal 166 10" xfId="51975"/>
    <cellStyle name="Normal 166 2" xfId="4362"/>
    <cellStyle name="Normal 166 2 2" xfId="8495"/>
    <cellStyle name="Normal 166 2 2 2" xfId="16285"/>
    <cellStyle name="Normal 166 2 2 2 2" xfId="33906"/>
    <cellStyle name="Normal 166 2 2 3" xfId="26882"/>
    <cellStyle name="Normal 166 2 3" xfId="12732"/>
    <cellStyle name="Normal 166 2 3 2" xfId="30376"/>
    <cellStyle name="Normal 166 2 4" xfId="24021"/>
    <cellStyle name="Normal 166 3" xfId="5812"/>
    <cellStyle name="Normal 166 3 2" xfId="9109"/>
    <cellStyle name="Normal 166 3 2 2" xfId="16898"/>
    <cellStyle name="Normal 166 3 2 2 2" xfId="34520"/>
    <cellStyle name="Normal 166 3 2 3" xfId="27483"/>
    <cellStyle name="Normal 166 3 3" xfId="13662"/>
    <cellStyle name="Normal 166 3 3 2" xfId="31288"/>
    <cellStyle name="Normal 166 3 4" xfId="24622"/>
    <cellStyle name="Normal 166 4" xfId="6442"/>
    <cellStyle name="Normal 166 4 2" xfId="9649"/>
    <cellStyle name="Normal 166 4 2 2" xfId="17437"/>
    <cellStyle name="Normal 166 4 2 2 2" xfId="35060"/>
    <cellStyle name="Normal 166 4 2 3" xfId="28019"/>
    <cellStyle name="Normal 166 4 3" xfId="14225"/>
    <cellStyle name="Normal 166 4 3 2" xfId="31846"/>
    <cellStyle name="Normal 166 4 4" xfId="25158"/>
    <cellStyle name="Normal 166 5" xfId="7217"/>
    <cellStyle name="Normal 166 5 2" xfId="10202"/>
    <cellStyle name="Normal 166 5 2 2" xfId="17989"/>
    <cellStyle name="Normal 166 5 2 2 2" xfId="35612"/>
    <cellStyle name="Normal 166 5 2 3" xfId="28555"/>
    <cellStyle name="Normal 166 5 3" xfId="14999"/>
    <cellStyle name="Normal 166 5 3 2" xfId="32620"/>
    <cellStyle name="Normal 166 5 4" xfId="25695"/>
    <cellStyle name="Normal 166 6" xfId="7817"/>
    <cellStyle name="Normal 166 6 2" xfId="15608"/>
    <cellStyle name="Normal 166 6 2 2" xfId="33229"/>
    <cellStyle name="Normal 166 6 3" xfId="26219"/>
    <cellStyle name="Normal 166 7" xfId="11727"/>
    <cellStyle name="Normal 166 7 2" xfId="29400"/>
    <cellStyle name="Normal 166 8" xfId="22788"/>
    <cellStyle name="Normal 166 9" xfId="23358"/>
    <cellStyle name="Normal 167" xfId="2222"/>
    <cellStyle name="Normal 167 10" xfId="51976"/>
    <cellStyle name="Normal 167 2" xfId="4363"/>
    <cellStyle name="Normal 167 2 2" xfId="8496"/>
    <cellStyle name="Normal 167 2 2 2" xfId="16286"/>
    <cellStyle name="Normal 167 2 2 2 2" xfId="33907"/>
    <cellStyle name="Normal 167 2 2 3" xfId="26883"/>
    <cellStyle name="Normal 167 2 3" xfId="12733"/>
    <cellStyle name="Normal 167 2 3 2" xfId="30377"/>
    <cellStyle name="Normal 167 2 4" xfId="24022"/>
    <cellStyle name="Normal 167 3" xfId="5813"/>
    <cellStyle name="Normal 167 3 2" xfId="9110"/>
    <cellStyle name="Normal 167 3 2 2" xfId="16899"/>
    <cellStyle name="Normal 167 3 2 2 2" xfId="34521"/>
    <cellStyle name="Normal 167 3 2 3" xfId="27484"/>
    <cellStyle name="Normal 167 3 3" xfId="13663"/>
    <cellStyle name="Normal 167 3 3 2" xfId="31289"/>
    <cellStyle name="Normal 167 3 4" xfId="24623"/>
    <cellStyle name="Normal 167 4" xfId="6443"/>
    <cellStyle name="Normal 167 4 2" xfId="9650"/>
    <cellStyle name="Normal 167 4 2 2" xfId="17438"/>
    <cellStyle name="Normal 167 4 2 2 2" xfId="35061"/>
    <cellStyle name="Normal 167 4 2 3" xfId="28020"/>
    <cellStyle name="Normal 167 4 3" xfId="14226"/>
    <cellStyle name="Normal 167 4 3 2" xfId="31847"/>
    <cellStyle name="Normal 167 4 4" xfId="25159"/>
    <cellStyle name="Normal 167 5" xfId="7218"/>
    <cellStyle name="Normal 167 5 2" xfId="10203"/>
    <cellStyle name="Normal 167 5 2 2" xfId="17990"/>
    <cellStyle name="Normal 167 5 2 2 2" xfId="35613"/>
    <cellStyle name="Normal 167 5 2 3" xfId="28556"/>
    <cellStyle name="Normal 167 5 3" xfId="15000"/>
    <cellStyle name="Normal 167 5 3 2" xfId="32621"/>
    <cellStyle name="Normal 167 5 4" xfId="25696"/>
    <cellStyle name="Normal 167 6" xfId="7818"/>
    <cellStyle name="Normal 167 6 2" xfId="15609"/>
    <cellStyle name="Normal 167 6 2 2" xfId="33230"/>
    <cellStyle name="Normal 167 6 3" xfId="26220"/>
    <cellStyle name="Normal 167 7" xfId="11728"/>
    <cellStyle name="Normal 167 7 2" xfId="29401"/>
    <cellStyle name="Normal 167 8" xfId="22792"/>
    <cellStyle name="Normal 167 9" xfId="23359"/>
    <cellStyle name="Normal 168" xfId="2223"/>
    <cellStyle name="Normal 168 2" xfId="4364"/>
    <cellStyle name="Normal 168 3" xfId="51977"/>
    <cellStyle name="Normal 169" xfId="2224"/>
    <cellStyle name="Normal 169 10" xfId="51978"/>
    <cellStyle name="Normal 169 2" xfId="4365"/>
    <cellStyle name="Normal 169 2 2" xfId="8497"/>
    <cellStyle name="Normal 169 2 2 2" xfId="16287"/>
    <cellStyle name="Normal 169 2 2 2 2" xfId="33908"/>
    <cellStyle name="Normal 169 2 2 3" xfId="26884"/>
    <cellStyle name="Normal 169 2 3" xfId="12734"/>
    <cellStyle name="Normal 169 2 3 2" xfId="30378"/>
    <cellStyle name="Normal 169 2 4" xfId="24023"/>
    <cellStyle name="Normal 169 3" xfId="5814"/>
    <cellStyle name="Normal 169 3 2" xfId="9111"/>
    <cellStyle name="Normal 169 3 2 2" xfId="16900"/>
    <cellStyle name="Normal 169 3 2 2 2" xfId="34522"/>
    <cellStyle name="Normal 169 3 2 3" xfId="27485"/>
    <cellStyle name="Normal 169 3 3" xfId="13664"/>
    <cellStyle name="Normal 169 3 3 2" xfId="31290"/>
    <cellStyle name="Normal 169 3 4" xfId="24624"/>
    <cellStyle name="Normal 169 4" xfId="6444"/>
    <cellStyle name="Normal 169 4 2" xfId="9651"/>
    <cellStyle name="Normal 169 4 2 2" xfId="17439"/>
    <cellStyle name="Normal 169 4 2 2 2" xfId="35062"/>
    <cellStyle name="Normal 169 4 2 3" xfId="28021"/>
    <cellStyle name="Normal 169 4 3" xfId="14227"/>
    <cellStyle name="Normal 169 4 3 2" xfId="31848"/>
    <cellStyle name="Normal 169 4 4" xfId="25160"/>
    <cellStyle name="Normal 169 5" xfId="7219"/>
    <cellStyle name="Normal 169 5 2" xfId="10204"/>
    <cellStyle name="Normal 169 5 2 2" xfId="17991"/>
    <cellStyle name="Normal 169 5 2 2 2" xfId="35614"/>
    <cellStyle name="Normal 169 5 2 3" xfId="28557"/>
    <cellStyle name="Normal 169 5 3" xfId="15001"/>
    <cellStyle name="Normal 169 5 3 2" xfId="32622"/>
    <cellStyle name="Normal 169 5 4" xfId="25697"/>
    <cellStyle name="Normal 169 6" xfId="7819"/>
    <cellStyle name="Normal 169 6 2" xfId="15610"/>
    <cellStyle name="Normal 169 6 2 2" xfId="33231"/>
    <cellStyle name="Normal 169 6 3" xfId="26221"/>
    <cellStyle name="Normal 169 7" xfId="11730"/>
    <cellStyle name="Normal 169 7 2" xfId="29403"/>
    <cellStyle name="Normal 169 8" xfId="22793"/>
    <cellStyle name="Normal 169 9" xfId="23360"/>
    <cellStyle name="Normal 17" xfId="2225"/>
    <cellStyle name="Normal 17 2" xfId="2226"/>
    <cellStyle name="Normal 17 2 2" xfId="2227"/>
    <cellStyle name="Normal 17 2_Sheet1" xfId="2228"/>
    <cellStyle name="Normal 17 3" xfId="2229"/>
    <cellStyle name="Normal 17 4" xfId="22944"/>
    <cellStyle name="Normal 17 5" xfId="22530"/>
    <cellStyle name="Normal 17 6" xfId="22402"/>
    <cellStyle name="Normal 17 7" xfId="53206"/>
    <cellStyle name="Normal 17 8" xfId="53207"/>
    <cellStyle name="Normal 17 9" xfId="53205"/>
    <cellStyle name="Normal 17_Sheet1" xfId="2230"/>
    <cellStyle name="Normal 170" xfId="2231"/>
    <cellStyle name="Normal 170 10" xfId="51979"/>
    <cellStyle name="Normal 170 2" xfId="4366"/>
    <cellStyle name="Normal 170 2 2" xfId="8498"/>
    <cellStyle name="Normal 170 2 2 2" xfId="16288"/>
    <cellStyle name="Normal 170 2 2 2 2" xfId="33909"/>
    <cellStyle name="Normal 170 2 2 3" xfId="26885"/>
    <cellStyle name="Normal 170 2 3" xfId="12735"/>
    <cellStyle name="Normal 170 2 3 2" xfId="30379"/>
    <cellStyle name="Normal 170 2 4" xfId="24024"/>
    <cellStyle name="Normal 170 3" xfId="5815"/>
    <cellStyle name="Normal 170 3 2" xfId="9112"/>
    <cellStyle name="Normal 170 3 2 2" xfId="16901"/>
    <cellStyle name="Normal 170 3 2 2 2" xfId="34523"/>
    <cellStyle name="Normal 170 3 2 3" xfId="27486"/>
    <cellStyle name="Normal 170 3 3" xfId="13665"/>
    <cellStyle name="Normal 170 3 3 2" xfId="31291"/>
    <cellStyle name="Normal 170 3 4" xfId="24625"/>
    <cellStyle name="Normal 170 4" xfId="6445"/>
    <cellStyle name="Normal 170 4 2" xfId="9652"/>
    <cellStyle name="Normal 170 4 2 2" xfId="17440"/>
    <cellStyle name="Normal 170 4 2 2 2" xfId="35063"/>
    <cellStyle name="Normal 170 4 2 3" xfId="28022"/>
    <cellStyle name="Normal 170 4 3" xfId="14228"/>
    <cellStyle name="Normal 170 4 3 2" xfId="31849"/>
    <cellStyle name="Normal 170 4 4" xfId="25161"/>
    <cellStyle name="Normal 170 5" xfId="7220"/>
    <cellStyle name="Normal 170 5 2" xfId="10205"/>
    <cellStyle name="Normal 170 5 2 2" xfId="17992"/>
    <cellStyle name="Normal 170 5 2 2 2" xfId="35615"/>
    <cellStyle name="Normal 170 5 2 3" xfId="28558"/>
    <cellStyle name="Normal 170 5 3" xfId="15002"/>
    <cellStyle name="Normal 170 5 3 2" xfId="32623"/>
    <cellStyle name="Normal 170 5 4" xfId="25698"/>
    <cellStyle name="Normal 170 6" xfId="7820"/>
    <cellStyle name="Normal 170 6 2" xfId="15611"/>
    <cellStyle name="Normal 170 6 2 2" xfId="33232"/>
    <cellStyle name="Normal 170 6 3" xfId="26222"/>
    <cellStyle name="Normal 170 7" xfId="11732"/>
    <cellStyle name="Normal 170 7 2" xfId="29405"/>
    <cellStyle name="Normal 170 8" xfId="22794"/>
    <cellStyle name="Normal 170 9" xfId="23361"/>
    <cellStyle name="Normal 171" xfId="2232"/>
    <cellStyle name="Normal 171 10" xfId="51980"/>
    <cellStyle name="Normal 171 2" xfId="4367"/>
    <cellStyle name="Normal 171 2 2" xfId="8499"/>
    <cellStyle name="Normal 171 2 2 2" xfId="16289"/>
    <cellStyle name="Normal 171 2 2 2 2" xfId="33910"/>
    <cellStyle name="Normal 171 2 2 3" xfId="26886"/>
    <cellStyle name="Normal 171 2 3" xfId="12736"/>
    <cellStyle name="Normal 171 2 3 2" xfId="30380"/>
    <cellStyle name="Normal 171 2 4" xfId="24025"/>
    <cellStyle name="Normal 171 3" xfId="5816"/>
    <cellStyle name="Normal 171 3 2" xfId="9113"/>
    <cellStyle name="Normal 171 3 2 2" xfId="16902"/>
    <cellStyle name="Normal 171 3 2 2 2" xfId="34524"/>
    <cellStyle name="Normal 171 3 2 3" xfId="27487"/>
    <cellStyle name="Normal 171 3 3" xfId="13666"/>
    <cellStyle name="Normal 171 3 3 2" xfId="31292"/>
    <cellStyle name="Normal 171 3 4" xfId="24626"/>
    <cellStyle name="Normal 171 4" xfId="6446"/>
    <cellStyle name="Normal 171 4 2" xfId="9653"/>
    <cellStyle name="Normal 171 4 2 2" xfId="17441"/>
    <cellStyle name="Normal 171 4 2 2 2" xfId="35064"/>
    <cellStyle name="Normal 171 4 2 3" xfId="28023"/>
    <cellStyle name="Normal 171 4 3" xfId="14229"/>
    <cellStyle name="Normal 171 4 3 2" xfId="31850"/>
    <cellStyle name="Normal 171 4 4" xfId="25162"/>
    <cellStyle name="Normal 171 5" xfId="7221"/>
    <cellStyle name="Normal 171 5 2" xfId="10206"/>
    <cellStyle name="Normal 171 5 2 2" xfId="17993"/>
    <cellStyle name="Normal 171 5 2 2 2" xfId="35616"/>
    <cellStyle name="Normal 171 5 2 3" xfId="28559"/>
    <cellStyle name="Normal 171 5 3" xfId="15003"/>
    <cellStyle name="Normal 171 5 3 2" xfId="32624"/>
    <cellStyle name="Normal 171 5 4" xfId="25699"/>
    <cellStyle name="Normal 171 6" xfId="7821"/>
    <cellStyle name="Normal 171 6 2" xfId="15612"/>
    <cellStyle name="Normal 171 6 2 2" xfId="33233"/>
    <cellStyle name="Normal 171 6 3" xfId="26223"/>
    <cellStyle name="Normal 171 7" xfId="11733"/>
    <cellStyle name="Normal 171 7 2" xfId="29406"/>
    <cellStyle name="Normal 171 8" xfId="22795"/>
    <cellStyle name="Normal 171 9" xfId="23362"/>
    <cellStyle name="Normal 172" xfId="2233"/>
    <cellStyle name="Normal 172 10" xfId="51981"/>
    <cellStyle name="Normal 172 2" xfId="4368"/>
    <cellStyle name="Normal 172 2 2" xfId="8500"/>
    <cellStyle name="Normal 172 2 2 2" xfId="16290"/>
    <cellStyle name="Normal 172 2 2 2 2" xfId="33911"/>
    <cellStyle name="Normal 172 2 2 3" xfId="26887"/>
    <cellStyle name="Normal 172 2 3" xfId="12737"/>
    <cellStyle name="Normal 172 2 3 2" xfId="30381"/>
    <cellStyle name="Normal 172 2 4" xfId="24026"/>
    <cellStyle name="Normal 172 3" xfId="5817"/>
    <cellStyle name="Normal 172 3 2" xfId="9114"/>
    <cellStyle name="Normal 172 3 2 2" xfId="16903"/>
    <cellStyle name="Normal 172 3 2 2 2" xfId="34525"/>
    <cellStyle name="Normal 172 3 2 3" xfId="27488"/>
    <cellStyle name="Normal 172 3 3" xfId="13667"/>
    <cellStyle name="Normal 172 3 3 2" xfId="31293"/>
    <cellStyle name="Normal 172 3 4" xfId="24627"/>
    <cellStyle name="Normal 172 4" xfId="6447"/>
    <cellStyle name="Normal 172 4 2" xfId="9654"/>
    <cellStyle name="Normal 172 4 2 2" xfId="17442"/>
    <cellStyle name="Normal 172 4 2 2 2" xfId="35065"/>
    <cellStyle name="Normal 172 4 2 3" xfId="28024"/>
    <cellStyle name="Normal 172 4 3" xfId="14230"/>
    <cellStyle name="Normal 172 4 3 2" xfId="31851"/>
    <cellStyle name="Normal 172 4 4" xfId="25163"/>
    <cellStyle name="Normal 172 5" xfId="7222"/>
    <cellStyle name="Normal 172 5 2" xfId="10207"/>
    <cellStyle name="Normal 172 5 2 2" xfId="17994"/>
    <cellStyle name="Normal 172 5 2 2 2" xfId="35617"/>
    <cellStyle name="Normal 172 5 2 3" xfId="28560"/>
    <cellStyle name="Normal 172 5 3" xfId="15004"/>
    <cellStyle name="Normal 172 5 3 2" xfId="32625"/>
    <cellStyle name="Normal 172 5 4" xfId="25700"/>
    <cellStyle name="Normal 172 6" xfId="7822"/>
    <cellStyle name="Normal 172 6 2" xfId="15613"/>
    <cellStyle name="Normal 172 6 2 2" xfId="33234"/>
    <cellStyle name="Normal 172 6 3" xfId="26224"/>
    <cellStyle name="Normal 172 7" xfId="11734"/>
    <cellStyle name="Normal 172 7 2" xfId="29407"/>
    <cellStyle name="Normal 172 8" xfId="22796"/>
    <cellStyle name="Normal 172 9" xfId="23363"/>
    <cellStyle name="Normal 173" xfId="2234"/>
    <cellStyle name="Normal 173 10" xfId="51982"/>
    <cellStyle name="Normal 173 2" xfId="4369"/>
    <cellStyle name="Normal 173 2 2" xfId="8501"/>
    <cellStyle name="Normal 173 2 2 2" xfId="16291"/>
    <cellStyle name="Normal 173 2 2 2 2" xfId="33912"/>
    <cellStyle name="Normal 173 2 2 3" xfId="26888"/>
    <cellStyle name="Normal 173 2 3" xfId="12738"/>
    <cellStyle name="Normal 173 2 3 2" xfId="30382"/>
    <cellStyle name="Normal 173 2 4" xfId="24027"/>
    <cellStyle name="Normal 173 3" xfId="5818"/>
    <cellStyle name="Normal 173 3 2" xfId="9115"/>
    <cellStyle name="Normal 173 3 2 2" xfId="16904"/>
    <cellStyle name="Normal 173 3 2 2 2" xfId="34526"/>
    <cellStyle name="Normal 173 3 2 3" xfId="27489"/>
    <cellStyle name="Normal 173 3 3" xfId="13668"/>
    <cellStyle name="Normal 173 3 3 2" xfId="31294"/>
    <cellStyle name="Normal 173 3 4" xfId="24628"/>
    <cellStyle name="Normal 173 4" xfId="6448"/>
    <cellStyle name="Normal 173 4 2" xfId="9655"/>
    <cellStyle name="Normal 173 4 2 2" xfId="17443"/>
    <cellStyle name="Normal 173 4 2 2 2" xfId="35066"/>
    <cellStyle name="Normal 173 4 2 3" xfId="28025"/>
    <cellStyle name="Normal 173 4 3" xfId="14231"/>
    <cellStyle name="Normal 173 4 3 2" xfId="31852"/>
    <cellStyle name="Normal 173 4 4" xfId="25164"/>
    <cellStyle name="Normal 173 5" xfId="7223"/>
    <cellStyle name="Normal 173 5 2" xfId="10208"/>
    <cellStyle name="Normal 173 5 2 2" xfId="17995"/>
    <cellStyle name="Normal 173 5 2 2 2" xfId="35618"/>
    <cellStyle name="Normal 173 5 2 3" xfId="28561"/>
    <cellStyle name="Normal 173 5 3" xfId="15005"/>
    <cellStyle name="Normal 173 5 3 2" xfId="32626"/>
    <cellStyle name="Normal 173 5 4" xfId="25701"/>
    <cellStyle name="Normal 173 6" xfId="7823"/>
    <cellStyle name="Normal 173 6 2" xfId="15614"/>
    <cellStyle name="Normal 173 6 2 2" xfId="33235"/>
    <cellStyle name="Normal 173 6 3" xfId="26225"/>
    <cellStyle name="Normal 173 7" xfId="11735"/>
    <cellStyle name="Normal 173 7 2" xfId="29408"/>
    <cellStyle name="Normal 173 8" xfId="22785"/>
    <cellStyle name="Normal 173 9" xfId="23364"/>
    <cellStyle name="Normal 174" xfId="2235"/>
    <cellStyle name="Normal 174 10" xfId="51983"/>
    <cellStyle name="Normal 174 2" xfId="4370"/>
    <cellStyle name="Normal 174 2 2" xfId="8502"/>
    <cellStyle name="Normal 174 2 2 2" xfId="16292"/>
    <cellStyle name="Normal 174 2 2 2 2" xfId="33913"/>
    <cellStyle name="Normal 174 2 2 3" xfId="26889"/>
    <cellStyle name="Normal 174 2 3" xfId="12739"/>
    <cellStyle name="Normal 174 2 3 2" xfId="30383"/>
    <cellStyle name="Normal 174 2 4" xfId="24028"/>
    <cellStyle name="Normal 174 3" xfId="5819"/>
    <cellStyle name="Normal 174 3 2" xfId="9116"/>
    <cellStyle name="Normal 174 3 2 2" xfId="16905"/>
    <cellStyle name="Normal 174 3 2 2 2" xfId="34527"/>
    <cellStyle name="Normal 174 3 2 3" xfId="27490"/>
    <cellStyle name="Normal 174 3 3" xfId="13669"/>
    <cellStyle name="Normal 174 3 3 2" xfId="31295"/>
    <cellStyle name="Normal 174 3 4" xfId="24629"/>
    <cellStyle name="Normal 174 4" xfId="6449"/>
    <cellStyle name="Normal 174 4 2" xfId="9656"/>
    <cellStyle name="Normal 174 4 2 2" xfId="17444"/>
    <cellStyle name="Normal 174 4 2 2 2" xfId="35067"/>
    <cellStyle name="Normal 174 4 2 3" xfId="28026"/>
    <cellStyle name="Normal 174 4 3" xfId="14232"/>
    <cellStyle name="Normal 174 4 3 2" xfId="31853"/>
    <cellStyle name="Normal 174 4 4" xfId="25165"/>
    <cellStyle name="Normal 174 5" xfId="7224"/>
    <cellStyle name="Normal 174 5 2" xfId="10209"/>
    <cellStyle name="Normal 174 5 2 2" xfId="17996"/>
    <cellStyle name="Normal 174 5 2 2 2" xfId="35619"/>
    <cellStyle name="Normal 174 5 2 3" xfId="28562"/>
    <cellStyle name="Normal 174 5 3" xfId="15006"/>
    <cellStyle name="Normal 174 5 3 2" xfId="32627"/>
    <cellStyle name="Normal 174 5 4" xfId="25702"/>
    <cellStyle name="Normal 174 6" xfId="7824"/>
    <cellStyle name="Normal 174 6 2" xfId="15615"/>
    <cellStyle name="Normal 174 6 2 2" xfId="33236"/>
    <cellStyle name="Normal 174 6 3" xfId="26226"/>
    <cellStyle name="Normal 174 7" xfId="11736"/>
    <cellStyle name="Normal 174 7 2" xfId="29409"/>
    <cellStyle name="Normal 174 8" xfId="22797"/>
    <cellStyle name="Normal 174 9" xfId="23365"/>
    <cellStyle name="Normal 175" xfId="2236"/>
    <cellStyle name="Normal 175 10" xfId="51984"/>
    <cellStyle name="Normal 175 2" xfId="4371"/>
    <cellStyle name="Normal 175 2 2" xfId="8503"/>
    <cellStyle name="Normal 175 2 2 2" xfId="16293"/>
    <cellStyle name="Normal 175 2 2 2 2" xfId="33914"/>
    <cellStyle name="Normal 175 2 2 3" xfId="26890"/>
    <cellStyle name="Normal 175 2 3" xfId="12740"/>
    <cellStyle name="Normal 175 2 3 2" xfId="30384"/>
    <cellStyle name="Normal 175 2 4" xfId="24029"/>
    <cellStyle name="Normal 175 3" xfId="5820"/>
    <cellStyle name="Normal 175 3 2" xfId="9117"/>
    <cellStyle name="Normal 175 3 2 2" xfId="16906"/>
    <cellStyle name="Normal 175 3 2 2 2" xfId="34528"/>
    <cellStyle name="Normal 175 3 2 3" xfId="27491"/>
    <cellStyle name="Normal 175 3 3" xfId="13670"/>
    <cellStyle name="Normal 175 3 3 2" xfId="31296"/>
    <cellStyle name="Normal 175 3 4" xfId="24630"/>
    <cellStyle name="Normal 175 4" xfId="6450"/>
    <cellStyle name="Normal 175 4 2" xfId="9657"/>
    <cellStyle name="Normal 175 4 2 2" xfId="17445"/>
    <cellStyle name="Normal 175 4 2 2 2" xfId="35068"/>
    <cellStyle name="Normal 175 4 2 3" xfId="28027"/>
    <cellStyle name="Normal 175 4 3" xfId="14233"/>
    <cellStyle name="Normal 175 4 3 2" xfId="31854"/>
    <cellStyle name="Normal 175 4 4" xfId="25166"/>
    <cellStyle name="Normal 175 5" xfId="7225"/>
    <cellStyle name="Normal 175 5 2" xfId="10210"/>
    <cellStyle name="Normal 175 5 2 2" xfId="17997"/>
    <cellStyle name="Normal 175 5 2 2 2" xfId="35620"/>
    <cellStyle name="Normal 175 5 2 3" xfId="28563"/>
    <cellStyle name="Normal 175 5 3" xfId="15007"/>
    <cellStyle name="Normal 175 5 3 2" xfId="32628"/>
    <cellStyle name="Normal 175 5 4" xfId="25703"/>
    <cellStyle name="Normal 175 6" xfId="7825"/>
    <cellStyle name="Normal 175 6 2" xfId="15616"/>
    <cellStyle name="Normal 175 6 2 2" xfId="33237"/>
    <cellStyle name="Normal 175 6 3" xfId="26227"/>
    <cellStyle name="Normal 175 7" xfId="11737"/>
    <cellStyle name="Normal 175 7 2" xfId="29410"/>
    <cellStyle name="Normal 175 8" xfId="22786"/>
    <cellStyle name="Normal 175 9" xfId="23366"/>
    <cellStyle name="Normal 176" xfId="2237"/>
    <cellStyle name="Normal 176 2" xfId="4372"/>
    <cellStyle name="Normal 176 3" xfId="51985"/>
    <cellStyle name="Normal 177" xfId="2238"/>
    <cellStyle name="Normal 177 2" xfId="4373"/>
    <cellStyle name="Normal 177 3" xfId="51986"/>
    <cellStyle name="Normal 178" xfId="2239"/>
    <cellStyle name="Normal 178 10" xfId="51987"/>
    <cellStyle name="Normal 178 2" xfId="4374"/>
    <cellStyle name="Normal 178 2 2" xfId="8504"/>
    <cellStyle name="Normal 178 2 2 2" xfId="16294"/>
    <cellStyle name="Normal 178 2 2 2 2" xfId="33915"/>
    <cellStyle name="Normal 178 2 2 3" xfId="26891"/>
    <cellStyle name="Normal 178 2 3" xfId="12741"/>
    <cellStyle name="Normal 178 2 3 2" xfId="30385"/>
    <cellStyle name="Normal 178 2 4" xfId="24030"/>
    <cellStyle name="Normal 178 3" xfId="5821"/>
    <cellStyle name="Normal 178 3 2" xfId="9118"/>
    <cellStyle name="Normal 178 3 2 2" xfId="16907"/>
    <cellStyle name="Normal 178 3 2 2 2" xfId="34529"/>
    <cellStyle name="Normal 178 3 2 3" xfId="27492"/>
    <cellStyle name="Normal 178 3 3" xfId="13671"/>
    <cellStyle name="Normal 178 3 3 2" xfId="31297"/>
    <cellStyle name="Normal 178 3 4" xfId="24631"/>
    <cellStyle name="Normal 178 4" xfId="6451"/>
    <cellStyle name="Normal 178 4 2" xfId="9658"/>
    <cellStyle name="Normal 178 4 2 2" xfId="17446"/>
    <cellStyle name="Normal 178 4 2 2 2" xfId="35069"/>
    <cellStyle name="Normal 178 4 2 3" xfId="28028"/>
    <cellStyle name="Normal 178 4 3" xfId="14234"/>
    <cellStyle name="Normal 178 4 3 2" xfId="31855"/>
    <cellStyle name="Normal 178 4 4" xfId="25167"/>
    <cellStyle name="Normal 178 5" xfId="7226"/>
    <cellStyle name="Normal 178 5 2" xfId="10211"/>
    <cellStyle name="Normal 178 5 2 2" xfId="17998"/>
    <cellStyle name="Normal 178 5 2 2 2" xfId="35621"/>
    <cellStyle name="Normal 178 5 2 3" xfId="28564"/>
    <cellStyle name="Normal 178 5 3" xfId="15008"/>
    <cellStyle name="Normal 178 5 3 2" xfId="32629"/>
    <cellStyle name="Normal 178 5 4" xfId="25704"/>
    <cellStyle name="Normal 178 6" xfId="7826"/>
    <cellStyle name="Normal 178 6 2" xfId="15617"/>
    <cellStyle name="Normal 178 6 2 2" xfId="33238"/>
    <cellStyle name="Normal 178 6 3" xfId="26228"/>
    <cellStyle name="Normal 178 7" xfId="11738"/>
    <cellStyle name="Normal 178 7 2" xfId="29411"/>
    <cellStyle name="Normal 178 8" xfId="22799"/>
    <cellStyle name="Normal 178 9" xfId="23367"/>
    <cellStyle name="Normal 179" xfId="2240"/>
    <cellStyle name="Normal 179 10" xfId="51988"/>
    <cellStyle name="Normal 179 2" xfId="4375"/>
    <cellStyle name="Normal 179 2 2" xfId="8505"/>
    <cellStyle name="Normal 179 2 2 2" xfId="16295"/>
    <cellStyle name="Normal 179 2 2 2 2" xfId="33916"/>
    <cellStyle name="Normal 179 2 2 3" xfId="26892"/>
    <cellStyle name="Normal 179 2 3" xfId="12742"/>
    <cellStyle name="Normal 179 2 3 2" xfId="30386"/>
    <cellStyle name="Normal 179 2 4" xfId="24031"/>
    <cellStyle name="Normal 179 3" xfId="5822"/>
    <cellStyle name="Normal 179 3 2" xfId="9119"/>
    <cellStyle name="Normal 179 3 2 2" xfId="16908"/>
    <cellStyle name="Normal 179 3 2 2 2" xfId="34530"/>
    <cellStyle name="Normal 179 3 2 3" xfId="27493"/>
    <cellStyle name="Normal 179 3 3" xfId="13672"/>
    <cellStyle name="Normal 179 3 3 2" xfId="31298"/>
    <cellStyle name="Normal 179 3 4" xfId="24632"/>
    <cellStyle name="Normal 179 4" xfId="6452"/>
    <cellStyle name="Normal 179 4 2" xfId="9659"/>
    <cellStyle name="Normal 179 4 2 2" xfId="17447"/>
    <cellStyle name="Normal 179 4 2 2 2" xfId="35070"/>
    <cellStyle name="Normal 179 4 2 3" xfId="28029"/>
    <cellStyle name="Normal 179 4 3" xfId="14235"/>
    <cellStyle name="Normal 179 4 3 2" xfId="31856"/>
    <cellStyle name="Normal 179 4 4" xfId="25168"/>
    <cellStyle name="Normal 179 5" xfId="7227"/>
    <cellStyle name="Normal 179 5 2" xfId="10212"/>
    <cellStyle name="Normal 179 5 2 2" xfId="17999"/>
    <cellStyle name="Normal 179 5 2 2 2" xfId="35622"/>
    <cellStyle name="Normal 179 5 2 3" xfId="28565"/>
    <cellStyle name="Normal 179 5 3" xfId="15009"/>
    <cellStyle name="Normal 179 5 3 2" xfId="32630"/>
    <cellStyle name="Normal 179 5 4" xfId="25705"/>
    <cellStyle name="Normal 179 6" xfId="7827"/>
    <cellStyle name="Normal 179 6 2" xfId="15618"/>
    <cellStyle name="Normal 179 6 2 2" xfId="33239"/>
    <cellStyle name="Normal 179 6 3" xfId="26229"/>
    <cellStyle name="Normal 179 7" xfId="11739"/>
    <cellStyle name="Normal 179 7 2" xfId="29412"/>
    <cellStyle name="Normal 179 8" xfId="22787"/>
    <cellStyle name="Normal 179 9" xfId="23368"/>
    <cellStyle name="Normal 18" xfId="2241"/>
    <cellStyle name="Normal 18 2" xfId="2242"/>
    <cellStyle name="Normal 18 2 2" xfId="2243"/>
    <cellStyle name="Normal 18 2_Sheet1" xfId="2244"/>
    <cellStyle name="Normal 18 3" xfId="2245"/>
    <cellStyle name="Normal 18 4" xfId="22945"/>
    <cellStyle name="Normal 18 5" xfId="22531"/>
    <cellStyle name="Normal 18 6" xfId="22381"/>
    <cellStyle name="Normal 18 7" xfId="53209"/>
    <cellStyle name="Normal 18 8" xfId="53210"/>
    <cellStyle name="Normal 18 9" xfId="53208"/>
    <cellStyle name="Normal 18_Sheet1" xfId="2246"/>
    <cellStyle name="Normal 180" xfId="2247"/>
    <cellStyle name="Normal 180 10" xfId="51989"/>
    <cellStyle name="Normal 180 2" xfId="4376"/>
    <cellStyle name="Normal 180 2 2" xfId="8506"/>
    <cellStyle name="Normal 180 2 2 2" xfId="16296"/>
    <cellStyle name="Normal 180 2 2 2 2" xfId="33917"/>
    <cellStyle name="Normal 180 2 2 3" xfId="26893"/>
    <cellStyle name="Normal 180 2 3" xfId="12743"/>
    <cellStyle name="Normal 180 2 3 2" xfId="30387"/>
    <cellStyle name="Normal 180 2 4" xfId="24032"/>
    <cellStyle name="Normal 180 3" xfId="5823"/>
    <cellStyle name="Normal 180 3 2" xfId="9120"/>
    <cellStyle name="Normal 180 3 2 2" xfId="16909"/>
    <cellStyle name="Normal 180 3 2 2 2" xfId="34531"/>
    <cellStyle name="Normal 180 3 2 3" xfId="27494"/>
    <cellStyle name="Normal 180 3 3" xfId="13673"/>
    <cellStyle name="Normal 180 3 3 2" xfId="31299"/>
    <cellStyle name="Normal 180 3 4" xfId="24633"/>
    <cellStyle name="Normal 180 4" xfId="6453"/>
    <cellStyle name="Normal 180 4 2" xfId="9660"/>
    <cellStyle name="Normal 180 4 2 2" xfId="17448"/>
    <cellStyle name="Normal 180 4 2 2 2" xfId="35071"/>
    <cellStyle name="Normal 180 4 2 3" xfId="28030"/>
    <cellStyle name="Normal 180 4 3" xfId="14236"/>
    <cellStyle name="Normal 180 4 3 2" xfId="31857"/>
    <cellStyle name="Normal 180 4 4" xfId="25169"/>
    <cellStyle name="Normal 180 5" xfId="7228"/>
    <cellStyle name="Normal 180 5 2" xfId="10213"/>
    <cellStyle name="Normal 180 5 2 2" xfId="18000"/>
    <cellStyle name="Normal 180 5 2 2 2" xfId="35623"/>
    <cellStyle name="Normal 180 5 2 3" xfId="28566"/>
    <cellStyle name="Normal 180 5 3" xfId="15010"/>
    <cellStyle name="Normal 180 5 3 2" xfId="32631"/>
    <cellStyle name="Normal 180 5 4" xfId="25706"/>
    <cellStyle name="Normal 180 6" xfId="7828"/>
    <cellStyle name="Normal 180 6 2" xfId="15619"/>
    <cellStyle name="Normal 180 6 2 2" xfId="33240"/>
    <cellStyle name="Normal 180 6 3" xfId="26230"/>
    <cellStyle name="Normal 180 7" xfId="11740"/>
    <cellStyle name="Normal 180 7 2" xfId="29413"/>
    <cellStyle name="Normal 180 8" xfId="22800"/>
    <cellStyle name="Normal 180 9" xfId="23369"/>
    <cellStyle name="Normal 181" xfId="2248"/>
    <cellStyle name="Normal 181 10" xfId="51990"/>
    <cellStyle name="Normal 181 2" xfId="4377"/>
    <cellStyle name="Normal 181 2 2" xfId="8507"/>
    <cellStyle name="Normal 181 2 2 2" xfId="16297"/>
    <cellStyle name="Normal 181 2 2 2 2" xfId="33918"/>
    <cellStyle name="Normal 181 2 2 3" xfId="26894"/>
    <cellStyle name="Normal 181 2 3" xfId="12744"/>
    <cellStyle name="Normal 181 2 3 2" xfId="30388"/>
    <cellStyle name="Normal 181 2 4" xfId="24033"/>
    <cellStyle name="Normal 181 3" xfId="5824"/>
    <cellStyle name="Normal 181 3 2" xfId="9121"/>
    <cellStyle name="Normal 181 3 2 2" xfId="16910"/>
    <cellStyle name="Normal 181 3 2 2 2" xfId="34532"/>
    <cellStyle name="Normal 181 3 2 3" xfId="27495"/>
    <cellStyle name="Normal 181 3 3" xfId="13674"/>
    <cellStyle name="Normal 181 3 3 2" xfId="31300"/>
    <cellStyle name="Normal 181 3 4" xfId="24634"/>
    <cellStyle name="Normal 181 4" xfId="6454"/>
    <cellStyle name="Normal 181 4 2" xfId="9661"/>
    <cellStyle name="Normal 181 4 2 2" xfId="17449"/>
    <cellStyle name="Normal 181 4 2 2 2" xfId="35072"/>
    <cellStyle name="Normal 181 4 2 3" xfId="28031"/>
    <cellStyle name="Normal 181 4 3" xfId="14237"/>
    <cellStyle name="Normal 181 4 3 2" xfId="31858"/>
    <cellStyle name="Normal 181 4 4" xfId="25170"/>
    <cellStyle name="Normal 181 5" xfId="7229"/>
    <cellStyle name="Normal 181 5 2" xfId="10214"/>
    <cellStyle name="Normal 181 5 2 2" xfId="18001"/>
    <cellStyle name="Normal 181 5 2 2 2" xfId="35624"/>
    <cellStyle name="Normal 181 5 2 3" xfId="28567"/>
    <cellStyle name="Normal 181 5 3" xfId="15011"/>
    <cellStyle name="Normal 181 5 3 2" xfId="32632"/>
    <cellStyle name="Normal 181 5 4" xfId="25707"/>
    <cellStyle name="Normal 181 6" xfId="7829"/>
    <cellStyle name="Normal 181 6 2" xfId="15620"/>
    <cellStyle name="Normal 181 6 2 2" xfId="33241"/>
    <cellStyle name="Normal 181 6 3" xfId="26231"/>
    <cellStyle name="Normal 181 7" xfId="11741"/>
    <cellStyle name="Normal 181 7 2" xfId="29414"/>
    <cellStyle name="Normal 181 8" xfId="22801"/>
    <cellStyle name="Normal 181 9" xfId="23370"/>
    <cellStyle name="Normal 182" xfId="2249"/>
    <cellStyle name="Normal 182 10" xfId="51991"/>
    <cellStyle name="Normal 182 2" xfId="4378"/>
    <cellStyle name="Normal 182 2 2" xfId="8508"/>
    <cellStyle name="Normal 182 2 2 2" xfId="16298"/>
    <cellStyle name="Normal 182 2 2 2 2" xfId="33919"/>
    <cellStyle name="Normal 182 2 2 3" xfId="26895"/>
    <cellStyle name="Normal 182 2 3" xfId="12745"/>
    <cellStyle name="Normal 182 2 3 2" xfId="30389"/>
    <cellStyle name="Normal 182 2 4" xfId="24034"/>
    <cellStyle name="Normal 182 3" xfId="5825"/>
    <cellStyle name="Normal 182 3 2" xfId="9122"/>
    <cellStyle name="Normal 182 3 2 2" xfId="16911"/>
    <cellStyle name="Normal 182 3 2 2 2" xfId="34533"/>
    <cellStyle name="Normal 182 3 2 3" xfId="27496"/>
    <cellStyle name="Normal 182 3 3" xfId="13675"/>
    <cellStyle name="Normal 182 3 3 2" xfId="31301"/>
    <cellStyle name="Normal 182 3 4" xfId="24635"/>
    <cellStyle name="Normal 182 4" xfId="6455"/>
    <cellStyle name="Normal 182 4 2" xfId="9662"/>
    <cellStyle name="Normal 182 4 2 2" xfId="17450"/>
    <cellStyle name="Normal 182 4 2 2 2" xfId="35073"/>
    <cellStyle name="Normal 182 4 2 3" xfId="28032"/>
    <cellStyle name="Normal 182 4 3" xfId="14238"/>
    <cellStyle name="Normal 182 4 3 2" xfId="31859"/>
    <cellStyle name="Normal 182 4 4" xfId="25171"/>
    <cellStyle name="Normal 182 5" xfId="7230"/>
    <cellStyle name="Normal 182 5 2" xfId="10215"/>
    <cellStyle name="Normal 182 5 2 2" xfId="18002"/>
    <cellStyle name="Normal 182 5 2 2 2" xfId="35625"/>
    <cellStyle name="Normal 182 5 2 3" xfId="28568"/>
    <cellStyle name="Normal 182 5 3" xfId="15012"/>
    <cellStyle name="Normal 182 5 3 2" xfId="32633"/>
    <cellStyle name="Normal 182 5 4" xfId="25708"/>
    <cellStyle name="Normal 182 6" xfId="7830"/>
    <cellStyle name="Normal 182 6 2" xfId="15621"/>
    <cellStyle name="Normal 182 6 2 2" xfId="33242"/>
    <cellStyle name="Normal 182 6 3" xfId="26232"/>
    <cellStyle name="Normal 182 7" xfId="11742"/>
    <cellStyle name="Normal 182 7 2" xfId="29415"/>
    <cellStyle name="Normal 182 8" xfId="22798"/>
    <cellStyle name="Normal 182 9" xfId="23371"/>
    <cellStyle name="Normal 183" xfId="2250"/>
    <cellStyle name="Normal 183 10" xfId="51992"/>
    <cellStyle name="Normal 183 2" xfId="4379"/>
    <cellStyle name="Normal 183 2 2" xfId="8509"/>
    <cellStyle name="Normal 183 2 2 2" xfId="16299"/>
    <cellStyle name="Normal 183 2 2 2 2" xfId="33920"/>
    <cellStyle name="Normal 183 2 2 3" xfId="26896"/>
    <cellStyle name="Normal 183 2 3" xfId="12746"/>
    <cellStyle name="Normal 183 2 3 2" xfId="30390"/>
    <cellStyle name="Normal 183 2 4" xfId="24035"/>
    <cellStyle name="Normal 183 3" xfId="5826"/>
    <cellStyle name="Normal 183 3 2" xfId="9123"/>
    <cellStyle name="Normal 183 3 2 2" xfId="16912"/>
    <cellStyle name="Normal 183 3 2 2 2" xfId="34534"/>
    <cellStyle name="Normal 183 3 2 3" xfId="27497"/>
    <cellStyle name="Normal 183 3 3" xfId="13676"/>
    <cellStyle name="Normal 183 3 3 2" xfId="31302"/>
    <cellStyle name="Normal 183 3 4" xfId="24636"/>
    <cellStyle name="Normal 183 4" xfId="6456"/>
    <cellStyle name="Normal 183 4 2" xfId="9663"/>
    <cellStyle name="Normal 183 4 2 2" xfId="17451"/>
    <cellStyle name="Normal 183 4 2 2 2" xfId="35074"/>
    <cellStyle name="Normal 183 4 2 3" xfId="28033"/>
    <cellStyle name="Normal 183 4 3" xfId="14239"/>
    <cellStyle name="Normal 183 4 3 2" xfId="31860"/>
    <cellStyle name="Normal 183 4 4" xfId="25172"/>
    <cellStyle name="Normal 183 5" xfId="7231"/>
    <cellStyle name="Normal 183 5 2" xfId="10216"/>
    <cellStyle name="Normal 183 5 2 2" xfId="18003"/>
    <cellStyle name="Normal 183 5 2 2 2" xfId="35626"/>
    <cellStyle name="Normal 183 5 2 3" xfId="28569"/>
    <cellStyle name="Normal 183 5 3" xfId="15013"/>
    <cellStyle name="Normal 183 5 3 2" xfId="32634"/>
    <cellStyle name="Normal 183 5 4" xfId="25709"/>
    <cellStyle name="Normal 183 6" xfId="7831"/>
    <cellStyle name="Normal 183 6 2" xfId="15622"/>
    <cellStyle name="Normal 183 6 2 2" xfId="33243"/>
    <cellStyle name="Normal 183 6 3" xfId="26233"/>
    <cellStyle name="Normal 183 7" xfId="11743"/>
    <cellStyle name="Normal 183 7 2" xfId="29416"/>
    <cellStyle name="Normal 183 8" xfId="22802"/>
    <cellStyle name="Normal 183 9" xfId="23372"/>
    <cellStyle name="Normal 184" xfId="2251"/>
    <cellStyle name="Normal 184 10" xfId="51993"/>
    <cellStyle name="Normal 184 2" xfId="4380"/>
    <cellStyle name="Normal 184 2 2" xfId="8510"/>
    <cellStyle name="Normal 184 2 2 2" xfId="16300"/>
    <cellStyle name="Normal 184 2 2 2 2" xfId="33921"/>
    <cellStyle name="Normal 184 2 2 3" xfId="26897"/>
    <cellStyle name="Normal 184 2 3" xfId="12747"/>
    <cellStyle name="Normal 184 2 3 2" xfId="30391"/>
    <cellStyle name="Normal 184 2 4" xfId="24036"/>
    <cellStyle name="Normal 184 3" xfId="5827"/>
    <cellStyle name="Normal 184 3 2" xfId="9124"/>
    <cellStyle name="Normal 184 3 2 2" xfId="16913"/>
    <cellStyle name="Normal 184 3 2 2 2" xfId="34535"/>
    <cellStyle name="Normal 184 3 2 3" xfId="27498"/>
    <cellStyle name="Normal 184 3 3" xfId="13677"/>
    <cellStyle name="Normal 184 3 3 2" xfId="31303"/>
    <cellStyle name="Normal 184 3 4" xfId="24637"/>
    <cellStyle name="Normal 184 4" xfId="6457"/>
    <cellStyle name="Normal 184 4 2" xfId="9664"/>
    <cellStyle name="Normal 184 4 2 2" xfId="17452"/>
    <cellStyle name="Normal 184 4 2 2 2" xfId="35075"/>
    <cellStyle name="Normal 184 4 2 3" xfId="28034"/>
    <cellStyle name="Normal 184 4 3" xfId="14240"/>
    <cellStyle name="Normal 184 4 3 2" xfId="31861"/>
    <cellStyle name="Normal 184 4 4" xfId="25173"/>
    <cellStyle name="Normal 184 5" xfId="7232"/>
    <cellStyle name="Normal 184 5 2" xfId="10217"/>
    <cellStyle name="Normal 184 5 2 2" xfId="18004"/>
    <cellStyle name="Normal 184 5 2 2 2" xfId="35627"/>
    <cellStyle name="Normal 184 5 2 3" xfId="28570"/>
    <cellStyle name="Normal 184 5 3" xfId="15014"/>
    <cellStyle name="Normal 184 5 3 2" xfId="32635"/>
    <cellStyle name="Normal 184 5 4" xfId="25710"/>
    <cellStyle name="Normal 184 6" xfId="7832"/>
    <cellStyle name="Normal 184 6 2" xfId="15623"/>
    <cellStyle name="Normal 184 6 2 2" xfId="33244"/>
    <cellStyle name="Normal 184 6 3" xfId="26234"/>
    <cellStyle name="Normal 184 7" xfId="11744"/>
    <cellStyle name="Normal 184 7 2" xfId="29417"/>
    <cellStyle name="Normal 184 8" xfId="22803"/>
    <cellStyle name="Normal 184 9" xfId="23373"/>
    <cellStyle name="Normal 185" xfId="2252"/>
    <cellStyle name="Normal 185 10" xfId="51994"/>
    <cellStyle name="Normal 185 2" xfId="4381"/>
    <cellStyle name="Normal 185 2 2" xfId="8511"/>
    <cellStyle name="Normal 185 2 2 2" xfId="16301"/>
    <cellStyle name="Normal 185 2 2 2 2" xfId="33922"/>
    <cellStyle name="Normal 185 2 2 3" xfId="26898"/>
    <cellStyle name="Normal 185 2 3" xfId="12748"/>
    <cellStyle name="Normal 185 2 3 2" xfId="30392"/>
    <cellStyle name="Normal 185 2 4" xfId="24037"/>
    <cellStyle name="Normal 185 3" xfId="5828"/>
    <cellStyle name="Normal 185 3 2" xfId="9125"/>
    <cellStyle name="Normal 185 3 2 2" xfId="16914"/>
    <cellStyle name="Normal 185 3 2 2 2" xfId="34536"/>
    <cellStyle name="Normal 185 3 2 3" xfId="27499"/>
    <cellStyle name="Normal 185 3 3" xfId="13678"/>
    <cellStyle name="Normal 185 3 3 2" xfId="31304"/>
    <cellStyle name="Normal 185 3 4" xfId="24638"/>
    <cellStyle name="Normal 185 4" xfId="6458"/>
    <cellStyle name="Normal 185 4 2" xfId="9665"/>
    <cellStyle name="Normal 185 4 2 2" xfId="17453"/>
    <cellStyle name="Normal 185 4 2 2 2" xfId="35076"/>
    <cellStyle name="Normal 185 4 2 3" xfId="28035"/>
    <cellStyle name="Normal 185 4 3" xfId="14241"/>
    <cellStyle name="Normal 185 4 3 2" xfId="31862"/>
    <cellStyle name="Normal 185 4 4" xfId="25174"/>
    <cellStyle name="Normal 185 5" xfId="7233"/>
    <cellStyle name="Normal 185 5 2" xfId="10218"/>
    <cellStyle name="Normal 185 5 2 2" xfId="18005"/>
    <cellStyle name="Normal 185 5 2 2 2" xfId="35628"/>
    <cellStyle name="Normal 185 5 2 3" xfId="28571"/>
    <cellStyle name="Normal 185 5 3" xfId="15015"/>
    <cellStyle name="Normal 185 5 3 2" xfId="32636"/>
    <cellStyle name="Normal 185 5 4" xfId="25711"/>
    <cellStyle name="Normal 185 6" xfId="7833"/>
    <cellStyle name="Normal 185 6 2" xfId="15624"/>
    <cellStyle name="Normal 185 6 2 2" xfId="33245"/>
    <cellStyle name="Normal 185 6 3" xfId="26235"/>
    <cellStyle name="Normal 185 7" xfId="11745"/>
    <cellStyle name="Normal 185 7 2" xfId="29418"/>
    <cellStyle name="Normal 185 8" xfId="22804"/>
    <cellStyle name="Normal 185 9" xfId="23374"/>
    <cellStyle name="Normal 186" xfId="2253"/>
    <cellStyle name="Normal 186 2" xfId="4382"/>
    <cellStyle name="Normal 186 3" xfId="51995"/>
    <cellStyle name="Normal 187" xfId="2254"/>
    <cellStyle name="Normal 187 2" xfId="4383"/>
    <cellStyle name="Normal 187 3" xfId="51996"/>
    <cellStyle name="Normal 188" xfId="2255"/>
    <cellStyle name="Normal 188 2" xfId="4384"/>
    <cellStyle name="Normal 188 3" xfId="51997"/>
    <cellStyle name="Normal 189" xfId="2256"/>
    <cellStyle name="Normal 189 2" xfId="4385"/>
    <cellStyle name="Normal 189 3" xfId="51998"/>
    <cellStyle name="Normal 19" xfId="2257"/>
    <cellStyle name="Normal 19 2" xfId="2258"/>
    <cellStyle name="Normal 19 2 2" xfId="2259"/>
    <cellStyle name="Normal 19 2 3" xfId="22947"/>
    <cellStyle name="Normal 19 2 4" xfId="22743"/>
    <cellStyle name="Normal 19 2 4 2" xfId="38936"/>
    <cellStyle name="Normal 19 2_Sheet1" xfId="2260"/>
    <cellStyle name="Normal 19 3" xfId="2261"/>
    <cellStyle name="Normal 19 4" xfId="22946"/>
    <cellStyle name="Normal 19 5" xfId="22532"/>
    <cellStyle name="Normal 19 5 2" xfId="38832"/>
    <cellStyle name="Normal 19 6" xfId="53211"/>
    <cellStyle name="Normal 19_Sheet1" xfId="2262"/>
    <cellStyle name="Normal 190" xfId="2263"/>
    <cellStyle name="Normal 190 2" xfId="4386"/>
    <cellStyle name="Normal 190 3" xfId="51999"/>
    <cellStyle name="Normal 191" xfId="2264"/>
    <cellStyle name="Normal 191 2" xfId="4387"/>
    <cellStyle name="Normal 191 3" xfId="52000"/>
    <cellStyle name="Normal 192" xfId="2265"/>
    <cellStyle name="Normal 192 2" xfId="4388"/>
    <cellStyle name="Normal 192 3" xfId="52001"/>
    <cellStyle name="Normal 193" xfId="2266"/>
    <cellStyle name="Normal 193 10" xfId="52002"/>
    <cellStyle name="Normal 193 2" xfId="4389"/>
    <cellStyle name="Normal 193 2 2" xfId="8512"/>
    <cellStyle name="Normal 193 2 2 2" xfId="16302"/>
    <cellStyle name="Normal 193 2 2 2 2" xfId="33923"/>
    <cellStyle name="Normal 193 2 2 3" xfId="26899"/>
    <cellStyle name="Normal 193 2 3" xfId="12749"/>
    <cellStyle name="Normal 193 2 3 2" xfId="30393"/>
    <cellStyle name="Normal 193 2 4" xfId="24038"/>
    <cellStyle name="Normal 193 3" xfId="5829"/>
    <cellStyle name="Normal 193 3 2" xfId="9126"/>
    <cellStyle name="Normal 193 3 2 2" xfId="16915"/>
    <cellStyle name="Normal 193 3 2 2 2" xfId="34537"/>
    <cellStyle name="Normal 193 3 2 3" xfId="27500"/>
    <cellStyle name="Normal 193 3 3" xfId="13679"/>
    <cellStyle name="Normal 193 3 3 2" xfId="31305"/>
    <cellStyle name="Normal 193 3 4" xfId="24639"/>
    <cellStyle name="Normal 193 4" xfId="6459"/>
    <cellStyle name="Normal 193 4 2" xfId="9666"/>
    <cellStyle name="Normal 193 4 2 2" xfId="17454"/>
    <cellStyle name="Normal 193 4 2 2 2" xfId="35077"/>
    <cellStyle name="Normal 193 4 2 3" xfId="28036"/>
    <cellStyle name="Normal 193 4 3" xfId="14242"/>
    <cellStyle name="Normal 193 4 3 2" xfId="31863"/>
    <cellStyle name="Normal 193 4 4" xfId="25175"/>
    <cellStyle name="Normal 193 5" xfId="7234"/>
    <cellStyle name="Normal 193 5 2" xfId="10219"/>
    <cellStyle name="Normal 193 5 2 2" xfId="18006"/>
    <cellStyle name="Normal 193 5 2 2 2" xfId="35629"/>
    <cellStyle name="Normal 193 5 2 3" xfId="28572"/>
    <cellStyle name="Normal 193 5 3" xfId="15016"/>
    <cellStyle name="Normal 193 5 3 2" xfId="32637"/>
    <cellStyle name="Normal 193 5 4" xfId="25712"/>
    <cellStyle name="Normal 193 6" xfId="7834"/>
    <cellStyle name="Normal 193 6 2" xfId="15625"/>
    <cellStyle name="Normal 193 6 2 2" xfId="33246"/>
    <cellStyle name="Normal 193 6 3" xfId="26236"/>
    <cellStyle name="Normal 193 7" xfId="11746"/>
    <cellStyle name="Normal 193 7 2" xfId="29419"/>
    <cellStyle name="Normal 193 8" xfId="22809"/>
    <cellStyle name="Normal 193 9" xfId="23375"/>
    <cellStyle name="Normal 194" xfId="2267"/>
    <cellStyle name="Normal 194 2" xfId="4390"/>
    <cellStyle name="Normal 194 3" xfId="52003"/>
    <cellStyle name="Normal 195" xfId="2268"/>
    <cellStyle name="Normal 195 2" xfId="4391"/>
    <cellStyle name="Normal 195 3" xfId="52004"/>
    <cellStyle name="Normal 196" xfId="2269"/>
    <cellStyle name="Normal 196 2" xfId="4392"/>
    <cellStyle name="Normal 196 3" xfId="52005"/>
    <cellStyle name="Normal 197" xfId="2270"/>
    <cellStyle name="Normal 197 2" xfId="4393"/>
    <cellStyle name="Normal 197 3" xfId="52006"/>
    <cellStyle name="Normal 198" xfId="2271"/>
    <cellStyle name="Normal 198 2" xfId="4394"/>
    <cellStyle name="Normal 198 3" xfId="52007"/>
    <cellStyle name="Normal 199" xfId="2272"/>
    <cellStyle name="Normal 199 2" xfId="4395"/>
    <cellStyle name="Normal 199 3" xfId="52008"/>
    <cellStyle name="Normal 2" xfId="117"/>
    <cellStyle name="Normal 2 10" xfId="2273"/>
    <cellStyle name="Normal 2 10 10" xfId="52010"/>
    <cellStyle name="Normal 2 10 2" xfId="4397"/>
    <cellStyle name="Normal 2 10 2 2" xfId="8513"/>
    <cellStyle name="Normal 2 10 2 2 2" xfId="16303"/>
    <cellStyle name="Normal 2 10 2 2 2 2" xfId="33924"/>
    <cellStyle name="Normal 2 10 2 2 3" xfId="26900"/>
    <cellStyle name="Normal 2 10 2 3" xfId="12756"/>
    <cellStyle name="Normal 2 10 2 3 2" xfId="30400"/>
    <cellStyle name="Normal 2 10 2 4" xfId="24039"/>
    <cellStyle name="Normal 2 10 3" xfId="5830"/>
    <cellStyle name="Normal 2 10 3 2" xfId="9127"/>
    <cellStyle name="Normal 2 10 3 2 2" xfId="16916"/>
    <cellStyle name="Normal 2 10 3 2 2 2" xfId="34538"/>
    <cellStyle name="Normal 2 10 3 2 3" xfId="27501"/>
    <cellStyle name="Normal 2 10 3 3" xfId="13680"/>
    <cellStyle name="Normal 2 10 3 3 2" xfId="31306"/>
    <cellStyle name="Normal 2 10 3 4" xfId="24640"/>
    <cellStyle name="Normal 2 10 4" xfId="6460"/>
    <cellStyle name="Normal 2 10 4 2" xfId="9667"/>
    <cellStyle name="Normal 2 10 4 2 2" xfId="17455"/>
    <cellStyle name="Normal 2 10 4 2 2 2" xfId="35078"/>
    <cellStyle name="Normal 2 10 4 2 3" xfId="28037"/>
    <cellStyle name="Normal 2 10 4 3" xfId="14243"/>
    <cellStyle name="Normal 2 10 4 3 2" xfId="31864"/>
    <cellStyle name="Normal 2 10 4 4" xfId="25176"/>
    <cellStyle name="Normal 2 10 5" xfId="7235"/>
    <cellStyle name="Normal 2 10 5 2" xfId="10220"/>
    <cellStyle name="Normal 2 10 5 2 2" xfId="18007"/>
    <cellStyle name="Normal 2 10 5 2 2 2" xfId="35630"/>
    <cellStyle name="Normal 2 10 5 2 3" xfId="28573"/>
    <cellStyle name="Normal 2 10 5 3" xfId="15017"/>
    <cellStyle name="Normal 2 10 5 3 2" xfId="32638"/>
    <cellStyle name="Normal 2 10 5 4" xfId="25713"/>
    <cellStyle name="Normal 2 10 6" xfId="7835"/>
    <cellStyle name="Normal 2 10 6 2" xfId="15626"/>
    <cellStyle name="Normal 2 10 6 2 2" xfId="33247"/>
    <cellStyle name="Normal 2 10 6 3" xfId="26237"/>
    <cellStyle name="Normal 2 10 7" xfId="11749"/>
    <cellStyle name="Normal 2 10 7 2" xfId="29422"/>
    <cellStyle name="Normal 2 10 8" xfId="21973"/>
    <cellStyle name="Normal 2 10 8 2" xfId="38704"/>
    <cellStyle name="Normal 2 10 9" xfId="23376"/>
    <cellStyle name="Normal 2 11" xfId="2274"/>
    <cellStyle name="Normal 2 11 2" xfId="4398"/>
    <cellStyle name="Normal 2 11 3" xfId="21974"/>
    <cellStyle name="Normal 2 11 4" xfId="52011"/>
    <cellStyle name="Normal 2 12" xfId="4396"/>
    <cellStyle name="Normal 2 13" xfId="52009"/>
    <cellStyle name="Normal 2 2" xfId="118"/>
    <cellStyle name="Normal 2 2 2" xfId="4399"/>
    <cellStyle name="Normal 2 2 3" xfId="52012"/>
    <cellStyle name="Normal 2 3" xfId="119"/>
    <cellStyle name="Normal 2 3 10" xfId="2276"/>
    <cellStyle name="Normal 2 3 10 10" xfId="52013"/>
    <cellStyle name="Normal 2 3 10 2" xfId="4401"/>
    <cellStyle name="Normal 2 3 10 3" xfId="4400"/>
    <cellStyle name="Normal 2 3 10 3 2" xfId="8514"/>
    <cellStyle name="Normal 2 3 10 3 2 2" xfId="16304"/>
    <cellStyle name="Normal 2 3 10 3 2 2 2" xfId="33925"/>
    <cellStyle name="Normal 2 3 10 3 2 3" xfId="26901"/>
    <cellStyle name="Normal 2 3 10 3 3" xfId="12758"/>
    <cellStyle name="Normal 2 3 10 3 3 2" xfId="30402"/>
    <cellStyle name="Normal 2 3 10 3 4" xfId="24040"/>
    <cellStyle name="Normal 2 3 10 4" xfId="5831"/>
    <cellStyle name="Normal 2 3 10 4 2" xfId="9128"/>
    <cellStyle name="Normal 2 3 10 4 2 2" xfId="16917"/>
    <cellStyle name="Normal 2 3 10 4 2 2 2" xfId="34539"/>
    <cellStyle name="Normal 2 3 10 4 2 3" xfId="27502"/>
    <cellStyle name="Normal 2 3 10 4 3" xfId="13681"/>
    <cellStyle name="Normal 2 3 10 4 3 2" xfId="31307"/>
    <cellStyle name="Normal 2 3 10 4 4" xfId="24641"/>
    <cellStyle name="Normal 2 3 10 5" xfId="6461"/>
    <cellStyle name="Normal 2 3 10 5 2" xfId="9668"/>
    <cellStyle name="Normal 2 3 10 5 2 2" xfId="17456"/>
    <cellStyle name="Normal 2 3 10 5 2 2 2" xfId="35079"/>
    <cellStyle name="Normal 2 3 10 5 2 3" xfId="28038"/>
    <cellStyle name="Normal 2 3 10 5 3" xfId="14244"/>
    <cellStyle name="Normal 2 3 10 5 3 2" xfId="31865"/>
    <cellStyle name="Normal 2 3 10 5 4" xfId="25177"/>
    <cellStyle name="Normal 2 3 10 6" xfId="7236"/>
    <cellStyle name="Normal 2 3 10 6 2" xfId="10221"/>
    <cellStyle name="Normal 2 3 10 6 2 2" xfId="18008"/>
    <cellStyle name="Normal 2 3 10 6 2 2 2" xfId="35631"/>
    <cellStyle name="Normal 2 3 10 6 2 3" xfId="28574"/>
    <cellStyle name="Normal 2 3 10 6 3" xfId="15018"/>
    <cellStyle name="Normal 2 3 10 6 3 2" xfId="32639"/>
    <cellStyle name="Normal 2 3 10 6 4" xfId="25714"/>
    <cellStyle name="Normal 2 3 10 7" xfId="7836"/>
    <cellStyle name="Normal 2 3 10 7 2" xfId="15627"/>
    <cellStyle name="Normal 2 3 10 7 2 2" xfId="33248"/>
    <cellStyle name="Normal 2 3 10 7 3" xfId="26238"/>
    <cellStyle name="Normal 2 3 10 8" xfId="11752"/>
    <cellStyle name="Normal 2 3 10 8 2" xfId="29425"/>
    <cellStyle name="Normal 2 3 10 9" xfId="23377"/>
    <cellStyle name="Normal 2 3 11" xfId="2277"/>
    <cellStyle name="Normal 2 3 11 2" xfId="22533"/>
    <cellStyle name="Normal 2 3 12" xfId="4402"/>
    <cellStyle name="Normal 2 3 13" xfId="4403"/>
    <cellStyle name="Normal 2 3 14" xfId="2275"/>
    <cellStyle name="Normal 2 3 2" xfId="2278"/>
    <cellStyle name="Normal 2 3 2 2" xfId="2279"/>
    <cellStyle name="Normal 2 3 2 3" xfId="22948"/>
    <cellStyle name="Normal 2 3 2 4" xfId="22691"/>
    <cellStyle name="Normal 2 3 2 4 2" xfId="38890"/>
    <cellStyle name="Normal 2 3 2_Sheet1" xfId="2280"/>
    <cellStyle name="Normal 2 3 3" xfId="2281"/>
    <cellStyle name="Normal 2 3 3 2" xfId="22949"/>
    <cellStyle name="Normal 2 3 3 3" xfId="22780"/>
    <cellStyle name="Normal 2 3 3 3 2" xfId="38971"/>
    <cellStyle name="Normal 2 3 4" xfId="2282"/>
    <cellStyle name="Normal 2 3 4 10" xfId="52014"/>
    <cellStyle name="Normal 2 3 4 2" xfId="4404"/>
    <cellStyle name="Normal 2 3 4 2 2" xfId="8515"/>
    <cellStyle name="Normal 2 3 4 2 2 2" xfId="16305"/>
    <cellStyle name="Normal 2 3 4 2 2 2 2" xfId="33926"/>
    <cellStyle name="Normal 2 3 4 2 2 3" xfId="26902"/>
    <cellStyle name="Normal 2 3 4 2 3" xfId="12760"/>
    <cellStyle name="Normal 2 3 4 2 3 2" xfId="30404"/>
    <cellStyle name="Normal 2 3 4 2 4" xfId="24041"/>
    <cellStyle name="Normal 2 3 4 3" xfId="5832"/>
    <cellStyle name="Normal 2 3 4 3 2" xfId="9129"/>
    <cellStyle name="Normal 2 3 4 3 2 2" xfId="16918"/>
    <cellStyle name="Normal 2 3 4 3 2 2 2" xfId="34540"/>
    <cellStyle name="Normal 2 3 4 3 2 3" xfId="27503"/>
    <cellStyle name="Normal 2 3 4 3 3" xfId="13682"/>
    <cellStyle name="Normal 2 3 4 3 3 2" xfId="31308"/>
    <cellStyle name="Normal 2 3 4 3 4" xfId="24642"/>
    <cellStyle name="Normal 2 3 4 4" xfId="6462"/>
    <cellStyle name="Normal 2 3 4 4 2" xfId="9669"/>
    <cellStyle name="Normal 2 3 4 4 2 2" xfId="17457"/>
    <cellStyle name="Normal 2 3 4 4 2 2 2" xfId="35080"/>
    <cellStyle name="Normal 2 3 4 4 2 3" xfId="28039"/>
    <cellStyle name="Normal 2 3 4 4 3" xfId="14245"/>
    <cellStyle name="Normal 2 3 4 4 3 2" xfId="31866"/>
    <cellStyle name="Normal 2 3 4 4 4" xfId="25178"/>
    <cellStyle name="Normal 2 3 4 5" xfId="7237"/>
    <cellStyle name="Normal 2 3 4 5 2" xfId="10222"/>
    <cellStyle name="Normal 2 3 4 5 2 2" xfId="18009"/>
    <cellStyle name="Normal 2 3 4 5 2 2 2" xfId="35632"/>
    <cellStyle name="Normal 2 3 4 5 2 3" xfId="28575"/>
    <cellStyle name="Normal 2 3 4 5 3" xfId="15019"/>
    <cellStyle name="Normal 2 3 4 5 3 2" xfId="32640"/>
    <cellStyle name="Normal 2 3 4 5 4" xfId="25715"/>
    <cellStyle name="Normal 2 3 4 6" xfId="7837"/>
    <cellStyle name="Normal 2 3 4 6 2" xfId="15628"/>
    <cellStyle name="Normal 2 3 4 6 2 2" xfId="33249"/>
    <cellStyle name="Normal 2 3 4 6 3" xfId="26239"/>
    <cellStyle name="Normal 2 3 4 7" xfId="11753"/>
    <cellStyle name="Normal 2 3 4 7 2" xfId="29426"/>
    <cellStyle name="Normal 2 3 4 8" xfId="22790"/>
    <cellStyle name="Normal 2 3 4 8 2" xfId="38973"/>
    <cellStyle name="Normal 2 3 4 9" xfId="23378"/>
    <cellStyle name="Normal 2 3 5" xfId="2283"/>
    <cellStyle name="Normal 2 3 5 10" xfId="23379"/>
    <cellStyle name="Normal 2 3 5 11" xfId="52015"/>
    <cellStyle name="Normal 2 3 5 2" xfId="2284"/>
    <cellStyle name="Normal 2 3 5 3" xfId="4405"/>
    <cellStyle name="Normal 2 3 5 3 2" xfId="8516"/>
    <cellStyle name="Normal 2 3 5 3 2 2" xfId="16306"/>
    <cellStyle name="Normal 2 3 5 3 2 2 2" xfId="33927"/>
    <cellStyle name="Normal 2 3 5 3 2 3" xfId="26903"/>
    <cellStyle name="Normal 2 3 5 3 3" xfId="12761"/>
    <cellStyle name="Normal 2 3 5 3 3 2" xfId="30405"/>
    <cellStyle name="Normal 2 3 5 3 4" xfId="24042"/>
    <cellStyle name="Normal 2 3 5 4" xfId="5833"/>
    <cellStyle name="Normal 2 3 5 4 2" xfId="9130"/>
    <cellStyle name="Normal 2 3 5 4 2 2" xfId="16919"/>
    <cellStyle name="Normal 2 3 5 4 2 2 2" xfId="34541"/>
    <cellStyle name="Normal 2 3 5 4 2 3" xfId="27504"/>
    <cellStyle name="Normal 2 3 5 4 3" xfId="13683"/>
    <cellStyle name="Normal 2 3 5 4 3 2" xfId="31309"/>
    <cellStyle name="Normal 2 3 5 4 4" xfId="24643"/>
    <cellStyle name="Normal 2 3 5 5" xfId="6463"/>
    <cellStyle name="Normal 2 3 5 5 2" xfId="9670"/>
    <cellStyle name="Normal 2 3 5 5 2 2" xfId="17458"/>
    <cellStyle name="Normal 2 3 5 5 2 2 2" xfId="35081"/>
    <cellStyle name="Normal 2 3 5 5 2 3" xfId="28040"/>
    <cellStyle name="Normal 2 3 5 5 3" xfId="14246"/>
    <cellStyle name="Normal 2 3 5 5 3 2" xfId="31867"/>
    <cellStyle name="Normal 2 3 5 5 4" xfId="25179"/>
    <cellStyle name="Normal 2 3 5 6" xfId="7238"/>
    <cellStyle name="Normal 2 3 5 6 2" xfId="10223"/>
    <cellStyle name="Normal 2 3 5 6 2 2" xfId="18010"/>
    <cellStyle name="Normal 2 3 5 6 2 2 2" xfId="35633"/>
    <cellStyle name="Normal 2 3 5 6 2 3" xfId="28576"/>
    <cellStyle name="Normal 2 3 5 6 3" xfId="15020"/>
    <cellStyle name="Normal 2 3 5 6 3 2" xfId="32641"/>
    <cellStyle name="Normal 2 3 5 6 4" xfId="25716"/>
    <cellStyle name="Normal 2 3 5 7" xfId="7838"/>
    <cellStyle name="Normal 2 3 5 7 2" xfId="15629"/>
    <cellStyle name="Normal 2 3 5 7 2 2" xfId="33250"/>
    <cellStyle name="Normal 2 3 5 7 3" xfId="26240"/>
    <cellStyle name="Normal 2 3 5 8" xfId="11754"/>
    <cellStyle name="Normal 2 3 5 8 2" xfId="29427"/>
    <cellStyle name="Normal 2 3 5 9" xfId="22805"/>
    <cellStyle name="Normal 2 3 5 9 2" xfId="38975"/>
    <cellStyle name="Normal 2 3 6" xfId="2285"/>
    <cellStyle name="Normal 2 3 6 10" xfId="52016"/>
    <cellStyle name="Normal 2 3 6 2" xfId="4406"/>
    <cellStyle name="Normal 2 3 6 2 2" xfId="8517"/>
    <cellStyle name="Normal 2 3 6 2 2 2" xfId="16307"/>
    <cellStyle name="Normal 2 3 6 2 2 2 2" xfId="33928"/>
    <cellStyle name="Normal 2 3 6 2 2 3" xfId="26904"/>
    <cellStyle name="Normal 2 3 6 2 3" xfId="12762"/>
    <cellStyle name="Normal 2 3 6 2 3 2" xfId="30406"/>
    <cellStyle name="Normal 2 3 6 2 4" xfId="24043"/>
    <cellStyle name="Normal 2 3 6 3" xfId="5834"/>
    <cellStyle name="Normal 2 3 6 3 2" xfId="9131"/>
    <cellStyle name="Normal 2 3 6 3 2 2" xfId="16920"/>
    <cellStyle name="Normal 2 3 6 3 2 2 2" xfId="34542"/>
    <cellStyle name="Normal 2 3 6 3 2 3" xfId="27505"/>
    <cellStyle name="Normal 2 3 6 3 3" xfId="13684"/>
    <cellStyle name="Normal 2 3 6 3 3 2" xfId="31310"/>
    <cellStyle name="Normal 2 3 6 3 4" xfId="24644"/>
    <cellStyle name="Normal 2 3 6 4" xfId="6464"/>
    <cellStyle name="Normal 2 3 6 4 2" xfId="9671"/>
    <cellStyle name="Normal 2 3 6 4 2 2" xfId="17459"/>
    <cellStyle name="Normal 2 3 6 4 2 2 2" xfId="35082"/>
    <cellStyle name="Normal 2 3 6 4 2 3" xfId="28041"/>
    <cellStyle name="Normal 2 3 6 4 3" xfId="14247"/>
    <cellStyle name="Normal 2 3 6 4 3 2" xfId="31868"/>
    <cellStyle name="Normal 2 3 6 4 4" xfId="25180"/>
    <cellStyle name="Normal 2 3 6 5" xfId="7239"/>
    <cellStyle name="Normal 2 3 6 5 2" xfId="10224"/>
    <cellStyle name="Normal 2 3 6 5 2 2" xfId="18011"/>
    <cellStyle name="Normal 2 3 6 5 2 2 2" xfId="35634"/>
    <cellStyle name="Normal 2 3 6 5 2 3" xfId="28577"/>
    <cellStyle name="Normal 2 3 6 5 3" xfId="15021"/>
    <cellStyle name="Normal 2 3 6 5 3 2" xfId="32642"/>
    <cellStyle name="Normal 2 3 6 5 4" xfId="25717"/>
    <cellStyle name="Normal 2 3 6 6" xfId="7839"/>
    <cellStyle name="Normal 2 3 6 6 2" xfId="15630"/>
    <cellStyle name="Normal 2 3 6 6 2 2" xfId="33251"/>
    <cellStyle name="Normal 2 3 6 6 3" xfId="26241"/>
    <cellStyle name="Normal 2 3 6 7" xfId="11755"/>
    <cellStyle name="Normal 2 3 6 7 2" xfId="29428"/>
    <cellStyle name="Normal 2 3 6 8" xfId="22807"/>
    <cellStyle name="Normal 2 3 6 8 2" xfId="38977"/>
    <cellStyle name="Normal 2 3 6 9" xfId="23380"/>
    <cellStyle name="Normal 2 3 7" xfId="2286"/>
    <cellStyle name="Normal 2 3 7 10" xfId="52017"/>
    <cellStyle name="Normal 2 3 7 2" xfId="4407"/>
    <cellStyle name="Normal 2 3 7 2 2" xfId="8518"/>
    <cellStyle name="Normal 2 3 7 2 2 2" xfId="16308"/>
    <cellStyle name="Normal 2 3 7 2 2 2 2" xfId="33929"/>
    <cellStyle name="Normal 2 3 7 2 2 3" xfId="26905"/>
    <cellStyle name="Normal 2 3 7 2 3" xfId="12763"/>
    <cellStyle name="Normal 2 3 7 2 3 2" xfId="30407"/>
    <cellStyle name="Normal 2 3 7 2 4" xfId="24044"/>
    <cellStyle name="Normal 2 3 7 3" xfId="5835"/>
    <cellStyle name="Normal 2 3 7 3 2" xfId="9132"/>
    <cellStyle name="Normal 2 3 7 3 2 2" xfId="16921"/>
    <cellStyle name="Normal 2 3 7 3 2 2 2" xfId="34543"/>
    <cellStyle name="Normal 2 3 7 3 2 3" xfId="27506"/>
    <cellStyle name="Normal 2 3 7 3 3" xfId="13685"/>
    <cellStyle name="Normal 2 3 7 3 3 2" xfId="31311"/>
    <cellStyle name="Normal 2 3 7 3 4" xfId="24645"/>
    <cellStyle name="Normal 2 3 7 4" xfId="6465"/>
    <cellStyle name="Normal 2 3 7 4 2" xfId="9672"/>
    <cellStyle name="Normal 2 3 7 4 2 2" xfId="17460"/>
    <cellStyle name="Normal 2 3 7 4 2 2 2" xfId="35083"/>
    <cellStyle name="Normal 2 3 7 4 2 3" xfId="28042"/>
    <cellStyle name="Normal 2 3 7 4 3" xfId="14248"/>
    <cellStyle name="Normal 2 3 7 4 3 2" xfId="31869"/>
    <cellStyle name="Normal 2 3 7 4 4" xfId="25181"/>
    <cellStyle name="Normal 2 3 7 5" xfId="7240"/>
    <cellStyle name="Normal 2 3 7 5 2" xfId="10225"/>
    <cellStyle name="Normal 2 3 7 5 2 2" xfId="18012"/>
    <cellStyle name="Normal 2 3 7 5 2 2 2" xfId="35635"/>
    <cellStyle name="Normal 2 3 7 5 2 3" xfId="28578"/>
    <cellStyle name="Normal 2 3 7 5 3" xfId="15022"/>
    <cellStyle name="Normal 2 3 7 5 3 2" xfId="32643"/>
    <cellStyle name="Normal 2 3 7 5 4" xfId="25718"/>
    <cellStyle name="Normal 2 3 7 6" xfId="7840"/>
    <cellStyle name="Normal 2 3 7 6 2" xfId="15631"/>
    <cellStyle name="Normal 2 3 7 6 2 2" xfId="33252"/>
    <cellStyle name="Normal 2 3 7 6 3" xfId="26242"/>
    <cellStyle name="Normal 2 3 7 7" xfId="11756"/>
    <cellStyle name="Normal 2 3 7 7 2" xfId="29429"/>
    <cellStyle name="Normal 2 3 7 8" xfId="22811"/>
    <cellStyle name="Normal 2 3 7 8 2" xfId="38979"/>
    <cellStyle name="Normal 2 3 7 9" xfId="23381"/>
    <cellStyle name="Normal 2 3 8" xfId="2287"/>
    <cellStyle name="Normal 2 3 8 10" xfId="52018"/>
    <cellStyle name="Normal 2 3 8 2" xfId="4408"/>
    <cellStyle name="Normal 2 3 8 2 2" xfId="8519"/>
    <cellStyle name="Normal 2 3 8 2 2 2" xfId="16309"/>
    <cellStyle name="Normal 2 3 8 2 2 2 2" xfId="33930"/>
    <cellStyle name="Normal 2 3 8 2 2 3" xfId="26906"/>
    <cellStyle name="Normal 2 3 8 2 3" xfId="12764"/>
    <cellStyle name="Normal 2 3 8 2 3 2" xfId="30408"/>
    <cellStyle name="Normal 2 3 8 2 4" xfId="24045"/>
    <cellStyle name="Normal 2 3 8 3" xfId="5836"/>
    <cellStyle name="Normal 2 3 8 3 2" xfId="9133"/>
    <cellStyle name="Normal 2 3 8 3 2 2" xfId="16922"/>
    <cellStyle name="Normal 2 3 8 3 2 2 2" xfId="34544"/>
    <cellStyle name="Normal 2 3 8 3 2 3" xfId="27507"/>
    <cellStyle name="Normal 2 3 8 3 3" xfId="13686"/>
    <cellStyle name="Normal 2 3 8 3 3 2" xfId="31312"/>
    <cellStyle name="Normal 2 3 8 3 4" xfId="24646"/>
    <cellStyle name="Normal 2 3 8 4" xfId="6466"/>
    <cellStyle name="Normal 2 3 8 4 2" xfId="9673"/>
    <cellStyle name="Normal 2 3 8 4 2 2" xfId="17461"/>
    <cellStyle name="Normal 2 3 8 4 2 2 2" xfId="35084"/>
    <cellStyle name="Normal 2 3 8 4 2 3" xfId="28043"/>
    <cellStyle name="Normal 2 3 8 4 3" xfId="14249"/>
    <cellStyle name="Normal 2 3 8 4 3 2" xfId="31870"/>
    <cellStyle name="Normal 2 3 8 4 4" xfId="25182"/>
    <cellStyle name="Normal 2 3 8 5" xfId="7241"/>
    <cellStyle name="Normal 2 3 8 5 2" xfId="10226"/>
    <cellStyle name="Normal 2 3 8 5 2 2" xfId="18013"/>
    <cellStyle name="Normal 2 3 8 5 2 2 2" xfId="35636"/>
    <cellStyle name="Normal 2 3 8 5 2 3" xfId="28579"/>
    <cellStyle name="Normal 2 3 8 5 3" xfId="15023"/>
    <cellStyle name="Normal 2 3 8 5 3 2" xfId="32644"/>
    <cellStyle name="Normal 2 3 8 5 4" xfId="25719"/>
    <cellStyle name="Normal 2 3 8 6" xfId="7841"/>
    <cellStyle name="Normal 2 3 8 6 2" xfId="15632"/>
    <cellStyle name="Normal 2 3 8 6 2 2" xfId="33253"/>
    <cellStyle name="Normal 2 3 8 6 3" xfId="26243"/>
    <cellStyle name="Normal 2 3 8 7" xfId="11757"/>
    <cellStyle name="Normal 2 3 8 7 2" xfId="29430"/>
    <cellStyle name="Normal 2 3 8 8" xfId="22813"/>
    <cellStyle name="Normal 2 3 8 8 2" xfId="38981"/>
    <cellStyle name="Normal 2 3 8 9" xfId="23382"/>
    <cellStyle name="Normal 2 3 9" xfId="2288"/>
    <cellStyle name="Normal 2 3 9 10" xfId="52019"/>
    <cellStyle name="Normal 2 3 9 2" xfId="4409"/>
    <cellStyle name="Normal 2 3 9 2 2" xfId="8520"/>
    <cellStyle name="Normal 2 3 9 2 2 2" xfId="16310"/>
    <cellStyle name="Normal 2 3 9 2 2 2 2" xfId="33931"/>
    <cellStyle name="Normal 2 3 9 2 2 3" xfId="26907"/>
    <cellStyle name="Normal 2 3 9 2 3" xfId="12765"/>
    <cellStyle name="Normal 2 3 9 2 3 2" xfId="30409"/>
    <cellStyle name="Normal 2 3 9 2 4" xfId="24046"/>
    <cellStyle name="Normal 2 3 9 3" xfId="5837"/>
    <cellStyle name="Normal 2 3 9 3 2" xfId="9134"/>
    <cellStyle name="Normal 2 3 9 3 2 2" xfId="16923"/>
    <cellStyle name="Normal 2 3 9 3 2 2 2" xfId="34545"/>
    <cellStyle name="Normal 2 3 9 3 2 3" xfId="27508"/>
    <cellStyle name="Normal 2 3 9 3 3" xfId="13687"/>
    <cellStyle name="Normal 2 3 9 3 3 2" xfId="31313"/>
    <cellStyle name="Normal 2 3 9 3 4" xfId="24647"/>
    <cellStyle name="Normal 2 3 9 4" xfId="6467"/>
    <cellStyle name="Normal 2 3 9 4 2" xfId="9674"/>
    <cellStyle name="Normal 2 3 9 4 2 2" xfId="17462"/>
    <cellStyle name="Normal 2 3 9 4 2 2 2" xfId="35085"/>
    <cellStyle name="Normal 2 3 9 4 2 3" xfId="28044"/>
    <cellStyle name="Normal 2 3 9 4 3" xfId="14250"/>
    <cellStyle name="Normal 2 3 9 4 3 2" xfId="31871"/>
    <cellStyle name="Normal 2 3 9 4 4" xfId="25183"/>
    <cellStyle name="Normal 2 3 9 5" xfId="7242"/>
    <cellStyle name="Normal 2 3 9 5 2" xfId="10227"/>
    <cellStyle name="Normal 2 3 9 5 2 2" xfId="18014"/>
    <cellStyle name="Normal 2 3 9 5 2 2 2" xfId="35637"/>
    <cellStyle name="Normal 2 3 9 5 2 3" xfId="28580"/>
    <cellStyle name="Normal 2 3 9 5 3" xfId="15024"/>
    <cellStyle name="Normal 2 3 9 5 3 2" xfId="32645"/>
    <cellStyle name="Normal 2 3 9 5 4" xfId="25720"/>
    <cellStyle name="Normal 2 3 9 6" xfId="7842"/>
    <cellStyle name="Normal 2 3 9 6 2" xfId="15633"/>
    <cellStyle name="Normal 2 3 9 6 2 2" xfId="33254"/>
    <cellStyle name="Normal 2 3 9 6 3" xfId="26244"/>
    <cellStyle name="Normal 2 3 9 7" xfId="11758"/>
    <cellStyle name="Normal 2 3 9 7 2" xfId="29431"/>
    <cellStyle name="Normal 2 3 9 8" xfId="22816"/>
    <cellStyle name="Normal 2 3 9 8 2" xfId="38983"/>
    <cellStyle name="Normal 2 3 9 9" xfId="23383"/>
    <cellStyle name="Normal 2 3_Sheet1" xfId="2289"/>
    <cellStyle name="Normal 2 4" xfId="191"/>
    <cellStyle name="Normal 2 4 10" xfId="2290"/>
    <cellStyle name="Normal 2 4 2" xfId="2291"/>
    <cellStyle name="Normal 2 4 2 10" xfId="23384"/>
    <cellStyle name="Normal 2 4 2 11" xfId="52021"/>
    <cellStyle name="Normal 2 4 2 2" xfId="4412"/>
    <cellStyle name="Normal 2 4 2 3" xfId="4411"/>
    <cellStyle name="Normal 2 4 2 3 2" xfId="8521"/>
    <cellStyle name="Normal 2 4 2 3 2 2" xfId="16311"/>
    <cellStyle name="Normal 2 4 2 3 2 2 2" xfId="33932"/>
    <cellStyle name="Normal 2 4 2 3 2 3" xfId="26908"/>
    <cellStyle name="Normal 2 4 2 3 3" xfId="12766"/>
    <cellStyle name="Normal 2 4 2 3 3 2" xfId="30410"/>
    <cellStyle name="Normal 2 4 2 3 4" xfId="24047"/>
    <cellStyle name="Normal 2 4 2 4" xfId="5838"/>
    <cellStyle name="Normal 2 4 2 4 2" xfId="9135"/>
    <cellStyle name="Normal 2 4 2 4 2 2" xfId="16924"/>
    <cellStyle name="Normal 2 4 2 4 2 2 2" xfId="34546"/>
    <cellStyle name="Normal 2 4 2 4 2 3" xfId="27509"/>
    <cellStyle name="Normal 2 4 2 4 3" xfId="13688"/>
    <cellStyle name="Normal 2 4 2 4 3 2" xfId="31314"/>
    <cellStyle name="Normal 2 4 2 4 4" xfId="24648"/>
    <cellStyle name="Normal 2 4 2 5" xfId="6468"/>
    <cellStyle name="Normal 2 4 2 5 2" xfId="9675"/>
    <cellStyle name="Normal 2 4 2 5 2 2" xfId="17463"/>
    <cellStyle name="Normal 2 4 2 5 2 2 2" xfId="35086"/>
    <cellStyle name="Normal 2 4 2 5 2 3" xfId="28045"/>
    <cellStyle name="Normal 2 4 2 5 3" xfId="14251"/>
    <cellStyle name="Normal 2 4 2 5 3 2" xfId="31872"/>
    <cellStyle name="Normal 2 4 2 5 4" xfId="25184"/>
    <cellStyle name="Normal 2 4 2 6" xfId="7243"/>
    <cellStyle name="Normal 2 4 2 6 2" xfId="10228"/>
    <cellStyle name="Normal 2 4 2 6 2 2" xfId="18015"/>
    <cellStyle name="Normal 2 4 2 6 2 2 2" xfId="35638"/>
    <cellStyle name="Normal 2 4 2 6 2 3" xfId="28581"/>
    <cellStyle name="Normal 2 4 2 6 3" xfId="15025"/>
    <cellStyle name="Normal 2 4 2 6 3 2" xfId="32646"/>
    <cellStyle name="Normal 2 4 2 6 4" xfId="25721"/>
    <cellStyle name="Normal 2 4 2 7" xfId="7843"/>
    <cellStyle name="Normal 2 4 2 7 2" xfId="15634"/>
    <cellStyle name="Normal 2 4 2 7 2 2" xfId="33255"/>
    <cellStyle name="Normal 2 4 2 7 3" xfId="26245"/>
    <cellStyle name="Normal 2 4 2 8" xfId="11759"/>
    <cellStyle name="Normal 2 4 2 8 2" xfId="29432"/>
    <cellStyle name="Normal 2 4 2 9" xfId="22781"/>
    <cellStyle name="Normal 2 4 2 9 2" xfId="38972"/>
    <cellStyle name="Normal 2 4 3" xfId="2292"/>
    <cellStyle name="Normal 2 4 3 2" xfId="4413"/>
    <cellStyle name="Normal 2 4 3 3" xfId="22791"/>
    <cellStyle name="Normal 2 4 3 3 2" xfId="38974"/>
    <cellStyle name="Normal 2 4 3 4" xfId="52022"/>
    <cellStyle name="Normal 2 4 4" xfId="4414"/>
    <cellStyle name="Normal 2 4 4 2" xfId="22806"/>
    <cellStyle name="Normal 2 4 4 2 2" xfId="38976"/>
    <cellStyle name="Normal 2 4 5" xfId="4415"/>
    <cellStyle name="Normal 2 4 5 2" xfId="22808"/>
    <cellStyle name="Normal 2 4 5 2 2" xfId="38978"/>
    <cellStyle name="Normal 2 4 6" xfId="4410"/>
    <cellStyle name="Normal 2 4 6 2" xfId="22812"/>
    <cellStyle name="Normal 2 4 6 2 2" xfId="38980"/>
    <cellStyle name="Normal 2 4 7" xfId="22814"/>
    <cellStyle name="Normal 2 4 7 2" xfId="38982"/>
    <cellStyle name="Normal 2 4 8" xfId="22817"/>
    <cellStyle name="Normal 2 4 8 2" xfId="38984"/>
    <cellStyle name="Normal 2 4 9" xfId="52020"/>
    <cellStyle name="Normal 2 5" xfId="2293"/>
    <cellStyle name="Normal 2 5 2" xfId="2294"/>
    <cellStyle name="Normal 2 5 2 2" xfId="4417"/>
    <cellStyle name="Normal 2 5 2 3" xfId="52024"/>
    <cellStyle name="Normal 2 5 3" xfId="4416"/>
    <cellStyle name="Normal 2 5 4" xfId="52023"/>
    <cellStyle name="Normal 2 5_BallGrid" xfId="2295"/>
    <cellStyle name="Normal 2 6" xfId="2296"/>
    <cellStyle name="Normal 2 6 10" xfId="52025"/>
    <cellStyle name="Normal 2 6 2" xfId="4418"/>
    <cellStyle name="Normal 2 6 2 2" xfId="8522"/>
    <cellStyle name="Normal 2 6 2 2 2" xfId="16312"/>
    <cellStyle name="Normal 2 6 2 2 2 2" xfId="33933"/>
    <cellStyle name="Normal 2 6 2 2 3" xfId="26909"/>
    <cellStyle name="Normal 2 6 2 3" xfId="12767"/>
    <cellStyle name="Normal 2 6 2 3 2" xfId="30411"/>
    <cellStyle name="Normal 2 6 2 4" xfId="22744"/>
    <cellStyle name="Normal 2 6 2 4 2" xfId="38937"/>
    <cellStyle name="Normal 2 6 2 5" xfId="24048"/>
    <cellStyle name="Normal 2 6 3" xfId="5839"/>
    <cellStyle name="Normal 2 6 3 2" xfId="9136"/>
    <cellStyle name="Normal 2 6 3 2 2" xfId="16925"/>
    <cellStyle name="Normal 2 6 3 2 2 2" xfId="34547"/>
    <cellStyle name="Normal 2 6 3 2 3" xfId="27510"/>
    <cellStyle name="Normal 2 6 3 3" xfId="13689"/>
    <cellStyle name="Normal 2 6 3 3 2" xfId="31315"/>
    <cellStyle name="Normal 2 6 3 4" xfId="24649"/>
    <cellStyle name="Normal 2 6 4" xfId="6469"/>
    <cellStyle name="Normal 2 6 4 2" xfId="9676"/>
    <cellStyle name="Normal 2 6 4 2 2" xfId="17464"/>
    <cellStyle name="Normal 2 6 4 2 2 2" xfId="35087"/>
    <cellStyle name="Normal 2 6 4 2 3" xfId="28046"/>
    <cellStyle name="Normal 2 6 4 3" xfId="14252"/>
    <cellStyle name="Normal 2 6 4 3 2" xfId="31873"/>
    <cellStyle name="Normal 2 6 4 4" xfId="25185"/>
    <cellStyle name="Normal 2 6 5" xfId="7244"/>
    <cellStyle name="Normal 2 6 5 2" xfId="10229"/>
    <cellStyle name="Normal 2 6 5 2 2" xfId="18016"/>
    <cellStyle name="Normal 2 6 5 2 2 2" xfId="35639"/>
    <cellStyle name="Normal 2 6 5 2 3" xfId="28582"/>
    <cellStyle name="Normal 2 6 5 3" xfId="15026"/>
    <cellStyle name="Normal 2 6 5 3 2" xfId="32647"/>
    <cellStyle name="Normal 2 6 5 4" xfId="25722"/>
    <cellStyle name="Normal 2 6 6" xfId="7844"/>
    <cellStyle name="Normal 2 6 6 2" xfId="15635"/>
    <cellStyle name="Normal 2 6 6 2 2" xfId="33256"/>
    <cellStyle name="Normal 2 6 6 3" xfId="26246"/>
    <cellStyle name="Normal 2 6 7" xfId="11761"/>
    <cellStyle name="Normal 2 6 7 2" xfId="29434"/>
    <cellStyle name="Normal 2 6 8" xfId="21975"/>
    <cellStyle name="Normal 2 6 8 2" xfId="38705"/>
    <cellStyle name="Normal 2 6 9" xfId="23385"/>
    <cellStyle name="Normal 2 7" xfId="2297"/>
    <cellStyle name="Normal 2 7 10" xfId="52026"/>
    <cellStyle name="Normal 2 7 2" xfId="4419"/>
    <cellStyle name="Normal 2 7 2 2" xfId="8523"/>
    <cellStyle name="Normal 2 7 2 2 2" xfId="16313"/>
    <cellStyle name="Normal 2 7 2 2 2 2" xfId="33934"/>
    <cellStyle name="Normal 2 7 2 2 3" xfId="26910"/>
    <cellStyle name="Normal 2 7 2 3" xfId="12768"/>
    <cellStyle name="Normal 2 7 2 3 2" xfId="30412"/>
    <cellStyle name="Normal 2 7 2 4" xfId="24049"/>
    <cellStyle name="Normal 2 7 3" xfId="5840"/>
    <cellStyle name="Normal 2 7 3 2" xfId="9137"/>
    <cellStyle name="Normal 2 7 3 2 2" xfId="16926"/>
    <cellStyle name="Normal 2 7 3 2 2 2" xfId="34548"/>
    <cellStyle name="Normal 2 7 3 2 3" xfId="27511"/>
    <cellStyle name="Normal 2 7 3 3" xfId="13690"/>
    <cellStyle name="Normal 2 7 3 3 2" xfId="31316"/>
    <cellStyle name="Normal 2 7 3 4" xfId="24650"/>
    <cellStyle name="Normal 2 7 4" xfId="6470"/>
    <cellStyle name="Normal 2 7 4 2" xfId="9677"/>
    <cellStyle name="Normal 2 7 4 2 2" xfId="17465"/>
    <cellStyle name="Normal 2 7 4 2 2 2" xfId="35088"/>
    <cellStyle name="Normal 2 7 4 2 3" xfId="28047"/>
    <cellStyle name="Normal 2 7 4 3" xfId="14253"/>
    <cellStyle name="Normal 2 7 4 3 2" xfId="31874"/>
    <cellStyle name="Normal 2 7 4 4" xfId="25186"/>
    <cellStyle name="Normal 2 7 5" xfId="7245"/>
    <cellStyle name="Normal 2 7 5 2" xfId="10230"/>
    <cellStyle name="Normal 2 7 5 2 2" xfId="18017"/>
    <cellStyle name="Normal 2 7 5 2 2 2" xfId="35640"/>
    <cellStyle name="Normal 2 7 5 2 3" xfId="28583"/>
    <cellStyle name="Normal 2 7 5 3" xfId="15027"/>
    <cellStyle name="Normal 2 7 5 3 2" xfId="32648"/>
    <cellStyle name="Normal 2 7 5 4" xfId="25723"/>
    <cellStyle name="Normal 2 7 6" xfId="7845"/>
    <cellStyle name="Normal 2 7 6 2" xfId="15636"/>
    <cellStyle name="Normal 2 7 6 2 2" xfId="33257"/>
    <cellStyle name="Normal 2 7 6 3" xfId="26247"/>
    <cellStyle name="Normal 2 7 7" xfId="11762"/>
    <cellStyle name="Normal 2 7 7 2" xfId="29435"/>
    <cellStyle name="Normal 2 7 8" xfId="21976"/>
    <cellStyle name="Normal 2 7 8 2" xfId="38706"/>
    <cellStyle name="Normal 2 7 9" xfId="23386"/>
    <cellStyle name="Normal 2 8" xfId="2298"/>
    <cellStyle name="Normal 2 8 10" xfId="52027"/>
    <cellStyle name="Normal 2 8 2" xfId="4420"/>
    <cellStyle name="Normal 2 8 2 2" xfId="8524"/>
    <cellStyle name="Normal 2 8 2 2 2" xfId="16314"/>
    <cellStyle name="Normal 2 8 2 2 2 2" xfId="33935"/>
    <cellStyle name="Normal 2 8 2 2 3" xfId="26911"/>
    <cellStyle name="Normal 2 8 2 3" xfId="12769"/>
    <cellStyle name="Normal 2 8 2 3 2" xfId="30413"/>
    <cellStyle name="Normal 2 8 2 4" xfId="24050"/>
    <cellStyle name="Normal 2 8 3" xfId="5841"/>
    <cellStyle name="Normal 2 8 3 2" xfId="9138"/>
    <cellStyle name="Normal 2 8 3 2 2" xfId="16927"/>
    <cellStyle name="Normal 2 8 3 2 2 2" xfId="34549"/>
    <cellStyle name="Normal 2 8 3 2 3" xfId="27512"/>
    <cellStyle name="Normal 2 8 3 3" xfId="13691"/>
    <cellStyle name="Normal 2 8 3 3 2" xfId="31317"/>
    <cellStyle name="Normal 2 8 3 4" xfId="24651"/>
    <cellStyle name="Normal 2 8 4" xfId="6471"/>
    <cellStyle name="Normal 2 8 4 2" xfId="9678"/>
    <cellStyle name="Normal 2 8 4 2 2" xfId="17466"/>
    <cellStyle name="Normal 2 8 4 2 2 2" xfId="35089"/>
    <cellStyle name="Normal 2 8 4 2 3" xfId="28048"/>
    <cellStyle name="Normal 2 8 4 3" xfId="14254"/>
    <cellStyle name="Normal 2 8 4 3 2" xfId="31875"/>
    <cellStyle name="Normal 2 8 4 4" xfId="25187"/>
    <cellStyle name="Normal 2 8 5" xfId="7246"/>
    <cellStyle name="Normal 2 8 5 2" xfId="10231"/>
    <cellStyle name="Normal 2 8 5 2 2" xfId="18018"/>
    <cellStyle name="Normal 2 8 5 2 2 2" xfId="35641"/>
    <cellStyle name="Normal 2 8 5 2 3" xfId="28584"/>
    <cellStyle name="Normal 2 8 5 3" xfId="15028"/>
    <cellStyle name="Normal 2 8 5 3 2" xfId="32649"/>
    <cellStyle name="Normal 2 8 5 4" xfId="25724"/>
    <cellStyle name="Normal 2 8 6" xfId="7846"/>
    <cellStyle name="Normal 2 8 6 2" xfId="15637"/>
    <cellStyle name="Normal 2 8 6 2 2" xfId="33258"/>
    <cellStyle name="Normal 2 8 6 3" xfId="26248"/>
    <cellStyle name="Normal 2 8 7" xfId="11763"/>
    <cellStyle name="Normal 2 8 7 2" xfId="29436"/>
    <cellStyle name="Normal 2 8 8" xfId="21977"/>
    <cellStyle name="Normal 2 8 8 2" xfId="38707"/>
    <cellStyle name="Normal 2 8 9" xfId="23387"/>
    <cellStyle name="Normal 2 9" xfId="2299"/>
    <cellStyle name="Normal 2 9 10" xfId="52028"/>
    <cellStyle name="Normal 2 9 2" xfId="4421"/>
    <cellStyle name="Normal 2 9 2 2" xfId="8525"/>
    <cellStyle name="Normal 2 9 2 2 2" xfId="16315"/>
    <cellStyle name="Normal 2 9 2 2 2 2" xfId="33936"/>
    <cellStyle name="Normal 2 9 2 2 3" xfId="26912"/>
    <cellStyle name="Normal 2 9 2 3" xfId="12770"/>
    <cellStyle name="Normal 2 9 2 3 2" xfId="30414"/>
    <cellStyle name="Normal 2 9 2 4" xfId="24051"/>
    <cellStyle name="Normal 2 9 3" xfId="5842"/>
    <cellStyle name="Normal 2 9 3 2" xfId="9139"/>
    <cellStyle name="Normal 2 9 3 2 2" xfId="16928"/>
    <cellStyle name="Normal 2 9 3 2 2 2" xfId="34550"/>
    <cellStyle name="Normal 2 9 3 2 3" xfId="27513"/>
    <cellStyle name="Normal 2 9 3 3" xfId="13692"/>
    <cellStyle name="Normal 2 9 3 3 2" xfId="31318"/>
    <cellStyle name="Normal 2 9 3 4" xfId="24652"/>
    <cellStyle name="Normal 2 9 4" xfId="6472"/>
    <cellStyle name="Normal 2 9 4 2" xfId="9679"/>
    <cellStyle name="Normal 2 9 4 2 2" xfId="17467"/>
    <cellStyle name="Normal 2 9 4 2 2 2" xfId="35090"/>
    <cellStyle name="Normal 2 9 4 2 3" xfId="28049"/>
    <cellStyle name="Normal 2 9 4 3" xfId="14255"/>
    <cellStyle name="Normal 2 9 4 3 2" xfId="31876"/>
    <cellStyle name="Normal 2 9 4 4" xfId="25188"/>
    <cellStyle name="Normal 2 9 5" xfId="7247"/>
    <cellStyle name="Normal 2 9 5 2" xfId="10232"/>
    <cellStyle name="Normal 2 9 5 2 2" xfId="18019"/>
    <cellStyle name="Normal 2 9 5 2 2 2" xfId="35642"/>
    <cellStyle name="Normal 2 9 5 2 3" xfId="28585"/>
    <cellStyle name="Normal 2 9 5 3" xfId="15029"/>
    <cellStyle name="Normal 2 9 5 3 2" xfId="32650"/>
    <cellStyle name="Normal 2 9 5 4" xfId="25725"/>
    <cellStyle name="Normal 2 9 6" xfId="7847"/>
    <cellStyle name="Normal 2 9 6 2" xfId="15638"/>
    <cellStyle name="Normal 2 9 6 2 2" xfId="33259"/>
    <cellStyle name="Normal 2 9 6 3" xfId="26249"/>
    <cellStyle name="Normal 2 9 7" xfId="11764"/>
    <cellStyle name="Normal 2 9 7 2" xfId="29437"/>
    <cellStyle name="Normal 2 9 8" xfId="21978"/>
    <cellStyle name="Normal 2 9 8 2" xfId="38708"/>
    <cellStyle name="Normal 2 9 9" xfId="23388"/>
    <cellStyle name="Normal 2_BallGrid" xfId="2300"/>
    <cellStyle name="Normal 20" xfId="2301"/>
    <cellStyle name="Normal 20 2" xfId="2302"/>
    <cellStyle name="Normal 20 2 2" xfId="2303"/>
    <cellStyle name="Normal 20 2 3" xfId="22951"/>
    <cellStyle name="Normal 20 2 4" xfId="22745"/>
    <cellStyle name="Normal 20 2 4 2" xfId="38938"/>
    <cellStyle name="Normal 20 2_Sheet1" xfId="2304"/>
    <cellStyle name="Normal 20 3" xfId="2305"/>
    <cellStyle name="Normal 20 4" xfId="22950"/>
    <cellStyle name="Normal 20 5" xfId="22534"/>
    <cellStyle name="Normal 20 5 2" xfId="38833"/>
    <cellStyle name="Normal 20 6" xfId="53212"/>
    <cellStyle name="Normal 20_Sheet1" xfId="2306"/>
    <cellStyle name="Normal 200" xfId="2307"/>
    <cellStyle name="Normal 200 2" xfId="4422"/>
    <cellStyle name="Normal 200 3" xfId="52029"/>
    <cellStyle name="Normal 201" xfId="2308"/>
    <cellStyle name="Normal 201 2" xfId="4423"/>
    <cellStyle name="Normal 201 3" xfId="52030"/>
    <cellStyle name="Normal 202" xfId="2309"/>
    <cellStyle name="Normal 202 2" xfId="4424"/>
    <cellStyle name="Normal 202 3" xfId="52031"/>
    <cellStyle name="Normal 203" xfId="2310"/>
    <cellStyle name="Normal 203 2" xfId="4425"/>
    <cellStyle name="Normal 203 3" xfId="52032"/>
    <cellStyle name="Normal 204" xfId="2311"/>
    <cellStyle name="Normal 204 2" xfId="4426"/>
    <cellStyle name="Normal 204 3" xfId="52033"/>
    <cellStyle name="Normal 205" xfId="2312"/>
    <cellStyle name="Normal 205 2" xfId="4427"/>
    <cellStyle name="Normal 205 3" xfId="52034"/>
    <cellStyle name="Normal 206" xfId="2313"/>
    <cellStyle name="Normal 206 2" xfId="4428"/>
    <cellStyle name="Normal 206 3" xfId="52035"/>
    <cellStyle name="Normal 207" xfId="2314"/>
    <cellStyle name="Normal 207 2" xfId="4429"/>
    <cellStyle name="Normal 207 3" xfId="52036"/>
    <cellStyle name="Normal 208" xfId="2315"/>
    <cellStyle name="Normal 208 2" xfId="4430"/>
    <cellStyle name="Normal 208 3" xfId="52037"/>
    <cellStyle name="Normal 209" xfId="2316"/>
    <cellStyle name="Normal 209 2" xfId="4431"/>
    <cellStyle name="Normal 209 3" xfId="52038"/>
    <cellStyle name="Normal 21" xfId="2317"/>
    <cellStyle name="Normal 21 2" xfId="2318"/>
    <cellStyle name="Normal 21 2 2" xfId="2319"/>
    <cellStyle name="Normal 21 2 3" xfId="22953"/>
    <cellStyle name="Normal 21 2 4" xfId="22746"/>
    <cellStyle name="Normal 21 2 4 2" xfId="38939"/>
    <cellStyle name="Normal 21 2_Sheet1" xfId="2320"/>
    <cellStyle name="Normal 21 3" xfId="2321"/>
    <cellStyle name="Normal 21 4" xfId="22952"/>
    <cellStyle name="Normal 21 5" xfId="22535"/>
    <cellStyle name="Normal 21 5 2" xfId="38834"/>
    <cellStyle name="Normal 21 6" xfId="53213"/>
    <cellStyle name="Normal 21_Sheet1" xfId="2322"/>
    <cellStyle name="Normal 210" xfId="2323"/>
    <cellStyle name="Normal 210 2" xfId="4432"/>
    <cellStyle name="Normal 210 3" xfId="52039"/>
    <cellStyle name="Normal 211" xfId="2324"/>
    <cellStyle name="Normal 211 2" xfId="4433"/>
    <cellStyle name="Normal 211 3" xfId="52040"/>
    <cellStyle name="Normal 212" xfId="2325"/>
    <cellStyle name="Normal 212 2" xfId="4434"/>
    <cellStyle name="Normal 212 3" xfId="52041"/>
    <cellStyle name="Normal 213" xfId="2326"/>
    <cellStyle name="Normal 213 2" xfId="4435"/>
    <cellStyle name="Normal 213 3" xfId="52042"/>
    <cellStyle name="Normal 214" xfId="2327"/>
    <cellStyle name="Normal 214 2" xfId="4436"/>
    <cellStyle name="Normal 214 3" xfId="52043"/>
    <cellStyle name="Normal 215" xfId="2328"/>
    <cellStyle name="Normal 215 2" xfId="4437"/>
    <cellStyle name="Normal 215 3" xfId="52044"/>
    <cellStyle name="Normal 216" xfId="2329"/>
    <cellStyle name="Normal 216 2" xfId="4438"/>
    <cellStyle name="Normal 216 3" xfId="52045"/>
    <cellStyle name="Normal 217" xfId="2330"/>
    <cellStyle name="Normal 217 10" xfId="52046"/>
    <cellStyle name="Normal 217 2" xfId="4439"/>
    <cellStyle name="Normal 217 2 2" xfId="8526"/>
    <cellStyle name="Normal 217 2 2 2" xfId="16316"/>
    <cellStyle name="Normal 217 2 2 2 2" xfId="33937"/>
    <cellStyle name="Normal 217 2 2 3" xfId="26913"/>
    <cellStyle name="Normal 217 2 3" xfId="12771"/>
    <cellStyle name="Normal 217 2 3 2" xfId="30415"/>
    <cellStyle name="Normal 217 2 4" xfId="24052"/>
    <cellStyle name="Normal 217 3" xfId="5843"/>
    <cellStyle name="Normal 217 3 2" xfId="9140"/>
    <cellStyle name="Normal 217 3 2 2" xfId="16929"/>
    <cellStyle name="Normal 217 3 2 2 2" xfId="34551"/>
    <cellStyle name="Normal 217 3 2 3" xfId="27514"/>
    <cellStyle name="Normal 217 3 3" xfId="13693"/>
    <cellStyle name="Normal 217 3 3 2" xfId="31319"/>
    <cellStyle name="Normal 217 3 4" xfId="24653"/>
    <cellStyle name="Normal 217 4" xfId="6473"/>
    <cellStyle name="Normal 217 4 2" xfId="9680"/>
    <cellStyle name="Normal 217 4 2 2" xfId="17468"/>
    <cellStyle name="Normal 217 4 2 2 2" xfId="35091"/>
    <cellStyle name="Normal 217 4 2 3" xfId="28050"/>
    <cellStyle name="Normal 217 4 3" xfId="14256"/>
    <cellStyle name="Normal 217 4 3 2" xfId="31877"/>
    <cellStyle name="Normal 217 4 4" xfId="25189"/>
    <cellStyle name="Normal 217 5" xfId="7248"/>
    <cellStyle name="Normal 217 5 2" xfId="10233"/>
    <cellStyle name="Normal 217 5 2 2" xfId="18020"/>
    <cellStyle name="Normal 217 5 2 2 2" xfId="35643"/>
    <cellStyle name="Normal 217 5 2 3" xfId="28586"/>
    <cellStyle name="Normal 217 5 3" xfId="15030"/>
    <cellStyle name="Normal 217 5 3 2" xfId="32651"/>
    <cellStyle name="Normal 217 5 4" xfId="25726"/>
    <cellStyle name="Normal 217 6" xfId="7848"/>
    <cellStyle name="Normal 217 6 2" xfId="15639"/>
    <cellStyle name="Normal 217 6 2 2" xfId="33260"/>
    <cellStyle name="Normal 217 6 3" xfId="26250"/>
    <cellStyle name="Normal 217 7" xfId="11765"/>
    <cellStyle name="Normal 217 7 2" xfId="29438"/>
    <cellStyle name="Normal 217 8" xfId="22810"/>
    <cellStyle name="Normal 217 9" xfId="23389"/>
    <cellStyle name="Normal 218" xfId="2331"/>
    <cellStyle name="Normal 218 2" xfId="4440"/>
    <cellStyle name="Normal 218 3" xfId="52047"/>
    <cellStyle name="Normal 219" xfId="2332"/>
    <cellStyle name="Normal 219 2" xfId="2333"/>
    <cellStyle name="Normal 219 2 2" xfId="4442"/>
    <cellStyle name="Normal 219 2 2 2" xfId="8527"/>
    <cellStyle name="Normal 219 2 2 2 2" xfId="16317"/>
    <cellStyle name="Normal 219 2 2 2 2 2" xfId="33938"/>
    <cellStyle name="Normal 219 2 2 2 3" xfId="26914"/>
    <cellStyle name="Normal 219 2 2 3" xfId="12773"/>
    <cellStyle name="Normal 219 2 2 3 2" xfId="30417"/>
    <cellStyle name="Normal 219 2 2 4" xfId="24053"/>
    <cellStyle name="Normal 219 2 3" xfId="5844"/>
    <cellStyle name="Normal 219 2 3 2" xfId="9141"/>
    <cellStyle name="Normal 219 2 3 2 2" xfId="16930"/>
    <cellStyle name="Normal 219 2 3 2 2 2" xfId="34552"/>
    <cellStyle name="Normal 219 2 3 2 3" xfId="27515"/>
    <cellStyle name="Normal 219 2 3 3" xfId="13694"/>
    <cellStyle name="Normal 219 2 3 3 2" xfId="31320"/>
    <cellStyle name="Normal 219 2 3 4" xfId="24654"/>
    <cellStyle name="Normal 219 2 4" xfId="6474"/>
    <cellStyle name="Normal 219 2 4 2" xfId="9681"/>
    <cellStyle name="Normal 219 2 4 2 2" xfId="17469"/>
    <cellStyle name="Normal 219 2 4 2 2 2" xfId="35092"/>
    <cellStyle name="Normal 219 2 4 2 3" xfId="28051"/>
    <cellStyle name="Normal 219 2 4 3" xfId="14257"/>
    <cellStyle name="Normal 219 2 4 3 2" xfId="31878"/>
    <cellStyle name="Normal 219 2 4 4" xfId="25190"/>
    <cellStyle name="Normal 219 2 5" xfId="7249"/>
    <cellStyle name="Normal 219 2 5 2" xfId="10234"/>
    <cellStyle name="Normal 219 2 5 2 2" xfId="18021"/>
    <cellStyle name="Normal 219 2 5 2 2 2" xfId="35644"/>
    <cellStyle name="Normal 219 2 5 2 3" xfId="28587"/>
    <cellStyle name="Normal 219 2 5 3" xfId="15031"/>
    <cellStyle name="Normal 219 2 5 3 2" xfId="32652"/>
    <cellStyle name="Normal 219 2 5 4" xfId="25727"/>
    <cellStyle name="Normal 219 2 6" xfId="7849"/>
    <cellStyle name="Normal 219 2 6 2" xfId="15640"/>
    <cellStyle name="Normal 219 2 6 2 2" xfId="33261"/>
    <cellStyle name="Normal 219 2 6 3" xfId="26251"/>
    <cellStyle name="Normal 219 2 7" xfId="11766"/>
    <cellStyle name="Normal 219 2 7 2" xfId="29439"/>
    <cellStyle name="Normal 219 2 8" xfId="23390"/>
    <cellStyle name="Normal 219 2 9" xfId="52049"/>
    <cellStyle name="Normal 219 3" xfId="4441"/>
    <cellStyle name="Normal 219 4" xfId="52048"/>
    <cellStyle name="Normal 22" xfId="2334"/>
    <cellStyle name="Normal 22 2" xfId="2335"/>
    <cellStyle name="Normal 22 2 2" xfId="2336"/>
    <cellStyle name="Normal 22 2 3" xfId="22955"/>
    <cellStyle name="Normal 22 2 4" xfId="22747"/>
    <cellStyle name="Normal 22 2 4 2" xfId="38940"/>
    <cellStyle name="Normal 22 2_Sheet1" xfId="2337"/>
    <cellStyle name="Normal 22 3" xfId="2338"/>
    <cellStyle name="Normal 22 4" xfId="22954"/>
    <cellStyle name="Normal 22 5" xfId="22536"/>
    <cellStyle name="Normal 22 5 2" xfId="38835"/>
    <cellStyle name="Normal 22 6" xfId="53214"/>
    <cellStyle name="Normal 22_Sheet1" xfId="2339"/>
    <cellStyle name="Normal 220" xfId="2340"/>
    <cellStyle name="Normal 220 2" xfId="2341"/>
    <cellStyle name="Normal 220 2 2" xfId="4444"/>
    <cellStyle name="Normal 220 2 2 2" xfId="8528"/>
    <cellStyle name="Normal 220 2 2 2 2" xfId="16318"/>
    <cellStyle name="Normal 220 2 2 2 2 2" xfId="33939"/>
    <cellStyle name="Normal 220 2 2 2 3" xfId="26915"/>
    <cellStyle name="Normal 220 2 2 3" xfId="12774"/>
    <cellStyle name="Normal 220 2 2 3 2" xfId="30418"/>
    <cellStyle name="Normal 220 2 2 4" xfId="24054"/>
    <cellStyle name="Normal 220 2 3" xfId="5845"/>
    <cellStyle name="Normal 220 2 3 2" xfId="9142"/>
    <cellStyle name="Normal 220 2 3 2 2" xfId="16931"/>
    <cellStyle name="Normal 220 2 3 2 2 2" xfId="34553"/>
    <cellStyle name="Normal 220 2 3 2 3" xfId="27516"/>
    <cellStyle name="Normal 220 2 3 3" xfId="13695"/>
    <cellStyle name="Normal 220 2 3 3 2" xfId="31321"/>
    <cellStyle name="Normal 220 2 3 4" xfId="24655"/>
    <cellStyle name="Normal 220 2 4" xfId="6475"/>
    <cellStyle name="Normal 220 2 4 2" xfId="9682"/>
    <cellStyle name="Normal 220 2 4 2 2" xfId="17470"/>
    <cellStyle name="Normal 220 2 4 2 2 2" xfId="35093"/>
    <cellStyle name="Normal 220 2 4 2 3" xfId="28052"/>
    <cellStyle name="Normal 220 2 4 3" xfId="14258"/>
    <cellStyle name="Normal 220 2 4 3 2" xfId="31879"/>
    <cellStyle name="Normal 220 2 4 4" xfId="25191"/>
    <cellStyle name="Normal 220 2 5" xfId="7250"/>
    <cellStyle name="Normal 220 2 5 2" xfId="10235"/>
    <cellStyle name="Normal 220 2 5 2 2" xfId="18022"/>
    <cellStyle name="Normal 220 2 5 2 2 2" xfId="35645"/>
    <cellStyle name="Normal 220 2 5 2 3" xfId="28588"/>
    <cellStyle name="Normal 220 2 5 3" xfId="15032"/>
    <cellStyle name="Normal 220 2 5 3 2" xfId="32653"/>
    <cellStyle name="Normal 220 2 5 4" xfId="25728"/>
    <cellStyle name="Normal 220 2 6" xfId="7850"/>
    <cellStyle name="Normal 220 2 6 2" xfId="15641"/>
    <cellStyle name="Normal 220 2 6 2 2" xfId="33262"/>
    <cellStyle name="Normal 220 2 6 3" xfId="26252"/>
    <cellStyle name="Normal 220 2 7" xfId="11767"/>
    <cellStyle name="Normal 220 2 7 2" xfId="29440"/>
    <cellStyle name="Normal 220 2 8" xfId="23391"/>
    <cellStyle name="Normal 220 2 9" xfId="52051"/>
    <cellStyle name="Normal 220 3" xfId="4443"/>
    <cellStyle name="Normal 220 4" xfId="52050"/>
    <cellStyle name="Normal 221" xfId="2342"/>
    <cellStyle name="Normal 221 2" xfId="4445"/>
    <cellStyle name="Normal 221 3" xfId="52052"/>
    <cellStyle name="Normal 222" xfId="2343"/>
    <cellStyle name="Normal 222 10" xfId="52053"/>
    <cellStyle name="Normal 222 2" xfId="4446"/>
    <cellStyle name="Normal 222 2 2" xfId="8529"/>
    <cellStyle name="Normal 222 2 2 2" xfId="16319"/>
    <cellStyle name="Normal 222 2 2 2 2" xfId="33940"/>
    <cellStyle name="Normal 222 2 2 3" xfId="26916"/>
    <cellStyle name="Normal 222 2 3" xfId="12775"/>
    <cellStyle name="Normal 222 2 3 2" xfId="30419"/>
    <cellStyle name="Normal 222 2 4" xfId="24055"/>
    <cellStyle name="Normal 222 3" xfId="5846"/>
    <cellStyle name="Normal 222 3 2" xfId="9143"/>
    <cellStyle name="Normal 222 3 2 2" xfId="16932"/>
    <cellStyle name="Normal 222 3 2 2 2" xfId="34554"/>
    <cellStyle name="Normal 222 3 2 3" xfId="27517"/>
    <cellStyle name="Normal 222 3 3" xfId="13696"/>
    <cellStyle name="Normal 222 3 3 2" xfId="31322"/>
    <cellStyle name="Normal 222 3 4" xfId="24656"/>
    <cellStyle name="Normal 222 4" xfId="6476"/>
    <cellStyle name="Normal 222 4 2" xfId="9683"/>
    <cellStyle name="Normal 222 4 2 2" xfId="17471"/>
    <cellStyle name="Normal 222 4 2 2 2" xfId="35094"/>
    <cellStyle name="Normal 222 4 2 3" xfId="28053"/>
    <cellStyle name="Normal 222 4 3" xfId="14259"/>
    <cellStyle name="Normal 222 4 3 2" xfId="31880"/>
    <cellStyle name="Normal 222 4 4" xfId="25192"/>
    <cellStyle name="Normal 222 5" xfId="7251"/>
    <cellStyle name="Normal 222 5 2" xfId="10236"/>
    <cellStyle name="Normal 222 5 2 2" xfId="18023"/>
    <cellStyle name="Normal 222 5 2 2 2" xfId="35646"/>
    <cellStyle name="Normal 222 5 2 3" xfId="28589"/>
    <cellStyle name="Normal 222 5 3" xfId="15033"/>
    <cellStyle name="Normal 222 5 3 2" xfId="32654"/>
    <cellStyle name="Normal 222 5 4" xfId="25729"/>
    <cellStyle name="Normal 222 6" xfId="7851"/>
    <cellStyle name="Normal 222 6 2" xfId="15642"/>
    <cellStyle name="Normal 222 6 2 2" xfId="33263"/>
    <cellStyle name="Normal 222 6 3" xfId="26253"/>
    <cellStyle name="Normal 222 7" xfId="11768"/>
    <cellStyle name="Normal 222 7 2" xfId="29441"/>
    <cellStyle name="Normal 222 8" xfId="22815"/>
    <cellStyle name="Normal 222 9" xfId="23392"/>
    <cellStyle name="Normal 223" xfId="2344"/>
    <cellStyle name="Normal 223 10" xfId="52054"/>
    <cellStyle name="Normal 223 2" xfId="4447"/>
    <cellStyle name="Normal 223 2 2" xfId="8530"/>
    <cellStyle name="Normal 223 2 2 2" xfId="16320"/>
    <cellStyle name="Normal 223 2 2 2 2" xfId="33941"/>
    <cellStyle name="Normal 223 2 2 3" xfId="26917"/>
    <cellStyle name="Normal 223 2 3" xfId="12776"/>
    <cellStyle name="Normal 223 2 3 2" xfId="30420"/>
    <cellStyle name="Normal 223 2 4" xfId="24056"/>
    <cellStyle name="Normal 223 3" xfId="5847"/>
    <cellStyle name="Normal 223 3 2" xfId="9144"/>
    <cellStyle name="Normal 223 3 2 2" xfId="16933"/>
    <cellStyle name="Normal 223 3 2 2 2" xfId="34555"/>
    <cellStyle name="Normal 223 3 2 3" xfId="27518"/>
    <cellStyle name="Normal 223 3 3" xfId="13697"/>
    <cellStyle name="Normal 223 3 3 2" xfId="31323"/>
    <cellStyle name="Normal 223 3 4" xfId="24657"/>
    <cellStyle name="Normal 223 4" xfId="6477"/>
    <cellStyle name="Normal 223 4 2" xfId="9684"/>
    <cellStyle name="Normal 223 4 2 2" xfId="17472"/>
    <cellStyle name="Normal 223 4 2 2 2" xfId="35095"/>
    <cellStyle name="Normal 223 4 2 3" xfId="28054"/>
    <cellStyle name="Normal 223 4 3" xfId="14260"/>
    <cellStyle name="Normal 223 4 3 2" xfId="31881"/>
    <cellStyle name="Normal 223 4 4" xfId="25193"/>
    <cellStyle name="Normal 223 5" xfId="7252"/>
    <cellStyle name="Normal 223 5 2" xfId="10237"/>
    <cellStyle name="Normal 223 5 2 2" xfId="18024"/>
    <cellStyle name="Normal 223 5 2 2 2" xfId="35647"/>
    <cellStyle name="Normal 223 5 2 3" xfId="28590"/>
    <cellStyle name="Normal 223 5 3" xfId="15034"/>
    <cellStyle name="Normal 223 5 3 2" xfId="32655"/>
    <cellStyle name="Normal 223 5 4" xfId="25730"/>
    <cellStyle name="Normal 223 6" xfId="7852"/>
    <cellStyle name="Normal 223 6 2" xfId="15643"/>
    <cellStyle name="Normal 223 6 2 2" xfId="33264"/>
    <cellStyle name="Normal 223 6 3" xfId="26254"/>
    <cellStyle name="Normal 223 7" xfId="11769"/>
    <cellStyle name="Normal 223 7 2" xfId="29442"/>
    <cellStyle name="Normal 223 8" xfId="22818"/>
    <cellStyle name="Normal 223 9" xfId="23393"/>
    <cellStyle name="Normal 224" xfId="2345"/>
    <cellStyle name="Normal 224 10" xfId="52055"/>
    <cellStyle name="Normal 224 2" xfId="4448"/>
    <cellStyle name="Normal 224 2 2" xfId="8531"/>
    <cellStyle name="Normal 224 2 2 2" xfId="16321"/>
    <cellStyle name="Normal 224 2 2 2 2" xfId="33942"/>
    <cellStyle name="Normal 224 2 2 3" xfId="26918"/>
    <cellStyle name="Normal 224 2 3" xfId="12777"/>
    <cellStyle name="Normal 224 2 3 2" xfId="30421"/>
    <cellStyle name="Normal 224 2 4" xfId="24057"/>
    <cellStyle name="Normal 224 3" xfId="5848"/>
    <cellStyle name="Normal 224 3 2" xfId="9145"/>
    <cellStyle name="Normal 224 3 2 2" xfId="16934"/>
    <cellStyle name="Normal 224 3 2 2 2" xfId="34556"/>
    <cellStyle name="Normal 224 3 2 3" xfId="27519"/>
    <cellStyle name="Normal 224 3 3" xfId="13698"/>
    <cellStyle name="Normal 224 3 3 2" xfId="31324"/>
    <cellStyle name="Normal 224 3 4" xfId="24658"/>
    <cellStyle name="Normal 224 4" xfId="6478"/>
    <cellStyle name="Normal 224 4 2" xfId="9685"/>
    <cellStyle name="Normal 224 4 2 2" xfId="17473"/>
    <cellStyle name="Normal 224 4 2 2 2" xfId="35096"/>
    <cellStyle name="Normal 224 4 2 3" xfId="28055"/>
    <cellStyle name="Normal 224 4 3" xfId="14261"/>
    <cellStyle name="Normal 224 4 3 2" xfId="31882"/>
    <cellStyle name="Normal 224 4 4" xfId="25194"/>
    <cellStyle name="Normal 224 5" xfId="7253"/>
    <cellStyle name="Normal 224 5 2" xfId="10238"/>
    <cellStyle name="Normal 224 5 2 2" xfId="18025"/>
    <cellStyle name="Normal 224 5 2 2 2" xfId="35648"/>
    <cellStyle name="Normal 224 5 2 3" xfId="28591"/>
    <cellStyle name="Normal 224 5 3" xfId="15035"/>
    <cellStyle name="Normal 224 5 3 2" xfId="32656"/>
    <cellStyle name="Normal 224 5 4" xfId="25731"/>
    <cellStyle name="Normal 224 6" xfId="7853"/>
    <cellStyle name="Normal 224 6 2" xfId="15644"/>
    <cellStyle name="Normal 224 6 2 2" xfId="33265"/>
    <cellStyle name="Normal 224 6 3" xfId="26255"/>
    <cellStyle name="Normal 224 7" xfId="11770"/>
    <cellStyle name="Normal 224 7 2" xfId="29443"/>
    <cellStyle name="Normal 224 8" xfId="22017"/>
    <cellStyle name="Normal 224 9" xfId="23394"/>
    <cellStyle name="Normal 225" xfId="2346"/>
    <cellStyle name="Normal 225 2" xfId="4449"/>
    <cellStyle name="Normal 225 2 2" xfId="8532"/>
    <cellStyle name="Normal 225 2 2 2" xfId="16322"/>
    <cellStyle name="Normal 225 2 2 2 2" xfId="33943"/>
    <cellStyle name="Normal 225 2 2 3" xfId="26919"/>
    <cellStyle name="Normal 225 2 3" xfId="12778"/>
    <cellStyle name="Normal 225 2 3 2" xfId="30422"/>
    <cellStyle name="Normal 225 2 4" xfId="24058"/>
    <cellStyle name="Normal 225 3" xfId="5849"/>
    <cellStyle name="Normal 225 3 2" xfId="9146"/>
    <cellStyle name="Normal 225 3 2 2" xfId="16935"/>
    <cellStyle name="Normal 225 3 2 2 2" xfId="34557"/>
    <cellStyle name="Normal 225 3 2 3" xfId="27520"/>
    <cellStyle name="Normal 225 3 3" xfId="13699"/>
    <cellStyle name="Normal 225 3 3 2" xfId="31325"/>
    <cellStyle name="Normal 225 3 4" xfId="24659"/>
    <cellStyle name="Normal 225 4" xfId="6479"/>
    <cellStyle name="Normal 225 4 2" xfId="9686"/>
    <cellStyle name="Normal 225 4 2 2" xfId="17474"/>
    <cellStyle name="Normal 225 4 2 2 2" xfId="35097"/>
    <cellStyle name="Normal 225 4 2 3" xfId="28056"/>
    <cellStyle name="Normal 225 4 3" xfId="14262"/>
    <cellStyle name="Normal 225 4 3 2" xfId="31883"/>
    <cellStyle name="Normal 225 4 4" xfId="25195"/>
    <cellStyle name="Normal 225 5" xfId="7254"/>
    <cellStyle name="Normal 225 5 2" xfId="10239"/>
    <cellStyle name="Normal 225 5 2 2" xfId="18026"/>
    <cellStyle name="Normal 225 5 2 2 2" xfId="35649"/>
    <cellStyle name="Normal 225 5 2 3" xfId="28592"/>
    <cellStyle name="Normal 225 5 3" xfId="15036"/>
    <cellStyle name="Normal 225 5 3 2" xfId="32657"/>
    <cellStyle name="Normal 225 5 4" xfId="25732"/>
    <cellStyle name="Normal 225 6" xfId="7854"/>
    <cellStyle name="Normal 225 6 2" xfId="15645"/>
    <cellStyle name="Normal 225 6 2 2" xfId="33266"/>
    <cellStyle name="Normal 225 6 3" xfId="26256"/>
    <cellStyle name="Normal 225 7" xfId="11771"/>
    <cellStyle name="Normal 225 7 2" xfId="29444"/>
    <cellStyle name="Normal 225 8" xfId="23395"/>
    <cellStyle name="Normal 225 9" xfId="52056"/>
    <cellStyle name="Normal 226" xfId="2347"/>
    <cellStyle name="Normal 226 10" xfId="52057"/>
    <cellStyle name="Normal 226 2" xfId="2348"/>
    <cellStyle name="Normal 226 2 2" xfId="4451"/>
    <cellStyle name="Normal 226 2 3" xfId="52058"/>
    <cellStyle name="Normal 226 3" xfId="4450"/>
    <cellStyle name="Normal 226 3 2" xfId="8533"/>
    <cellStyle name="Normal 226 3 2 2" xfId="16323"/>
    <cellStyle name="Normal 226 3 2 2 2" xfId="33944"/>
    <cellStyle name="Normal 226 3 2 3" xfId="26920"/>
    <cellStyle name="Normal 226 3 3" xfId="12779"/>
    <cellStyle name="Normal 226 3 3 2" xfId="30423"/>
    <cellStyle name="Normal 226 3 4" xfId="24059"/>
    <cellStyle name="Normal 226 4" xfId="5850"/>
    <cellStyle name="Normal 226 4 2" xfId="9147"/>
    <cellStyle name="Normal 226 4 2 2" xfId="16936"/>
    <cellStyle name="Normal 226 4 2 2 2" xfId="34558"/>
    <cellStyle name="Normal 226 4 2 3" xfId="27521"/>
    <cellStyle name="Normal 226 4 3" xfId="13700"/>
    <cellStyle name="Normal 226 4 3 2" xfId="31326"/>
    <cellStyle name="Normal 226 4 4" xfId="24660"/>
    <cellStyle name="Normal 226 5" xfId="6480"/>
    <cellStyle name="Normal 226 5 2" xfId="9687"/>
    <cellStyle name="Normal 226 5 2 2" xfId="17475"/>
    <cellStyle name="Normal 226 5 2 2 2" xfId="35098"/>
    <cellStyle name="Normal 226 5 2 3" xfId="28057"/>
    <cellStyle name="Normal 226 5 3" xfId="14263"/>
    <cellStyle name="Normal 226 5 3 2" xfId="31884"/>
    <cellStyle name="Normal 226 5 4" xfId="25196"/>
    <cellStyle name="Normal 226 6" xfId="7255"/>
    <cellStyle name="Normal 226 6 2" xfId="10240"/>
    <cellStyle name="Normal 226 6 2 2" xfId="18027"/>
    <cellStyle name="Normal 226 6 2 2 2" xfId="35650"/>
    <cellStyle name="Normal 226 6 2 3" xfId="28593"/>
    <cellStyle name="Normal 226 6 3" xfId="15037"/>
    <cellStyle name="Normal 226 6 3 2" xfId="32658"/>
    <cellStyle name="Normal 226 6 4" xfId="25733"/>
    <cellStyle name="Normal 226 7" xfId="7855"/>
    <cellStyle name="Normal 226 7 2" xfId="15646"/>
    <cellStyle name="Normal 226 7 2 2" xfId="33267"/>
    <cellStyle name="Normal 226 7 3" xfId="26257"/>
    <cellStyle name="Normal 226 8" xfId="11772"/>
    <cellStyle name="Normal 226 8 2" xfId="29445"/>
    <cellStyle name="Normal 226 9" xfId="23396"/>
    <cellStyle name="Normal 227" xfId="2349"/>
    <cellStyle name="Normal 227 10" xfId="52059"/>
    <cellStyle name="Normal 227 2" xfId="2350"/>
    <cellStyle name="Normal 227 2 2" xfId="4453"/>
    <cellStyle name="Normal 227 2 3" xfId="52060"/>
    <cellStyle name="Normal 227 3" xfId="4452"/>
    <cellStyle name="Normal 227 3 2" xfId="8534"/>
    <cellStyle name="Normal 227 3 2 2" xfId="16324"/>
    <cellStyle name="Normal 227 3 2 2 2" xfId="33945"/>
    <cellStyle name="Normal 227 3 2 3" xfId="26921"/>
    <cellStyle name="Normal 227 3 3" xfId="12780"/>
    <cellStyle name="Normal 227 3 3 2" xfId="30424"/>
    <cellStyle name="Normal 227 3 4" xfId="24060"/>
    <cellStyle name="Normal 227 4" xfId="5851"/>
    <cellStyle name="Normal 227 4 2" xfId="9148"/>
    <cellStyle name="Normal 227 4 2 2" xfId="16937"/>
    <cellStyle name="Normal 227 4 2 2 2" xfId="34559"/>
    <cellStyle name="Normal 227 4 2 3" xfId="27522"/>
    <cellStyle name="Normal 227 4 3" xfId="13701"/>
    <cellStyle name="Normal 227 4 3 2" xfId="31327"/>
    <cellStyle name="Normal 227 4 4" xfId="24661"/>
    <cellStyle name="Normal 227 5" xfId="6481"/>
    <cellStyle name="Normal 227 5 2" xfId="9688"/>
    <cellStyle name="Normal 227 5 2 2" xfId="17476"/>
    <cellStyle name="Normal 227 5 2 2 2" xfId="35099"/>
    <cellStyle name="Normal 227 5 2 3" xfId="28058"/>
    <cellStyle name="Normal 227 5 3" xfId="14264"/>
    <cellStyle name="Normal 227 5 3 2" xfId="31885"/>
    <cellStyle name="Normal 227 5 4" xfId="25197"/>
    <cellStyle name="Normal 227 6" xfId="7256"/>
    <cellStyle name="Normal 227 6 2" xfId="10241"/>
    <cellStyle name="Normal 227 6 2 2" xfId="18028"/>
    <cellStyle name="Normal 227 6 2 2 2" xfId="35651"/>
    <cellStyle name="Normal 227 6 2 3" xfId="28594"/>
    <cellStyle name="Normal 227 6 3" xfId="15038"/>
    <cellStyle name="Normal 227 6 3 2" xfId="32659"/>
    <cellStyle name="Normal 227 6 4" xfId="25734"/>
    <cellStyle name="Normal 227 7" xfId="7856"/>
    <cellStyle name="Normal 227 7 2" xfId="15647"/>
    <cellStyle name="Normal 227 7 2 2" xfId="33268"/>
    <cellStyle name="Normal 227 7 3" xfId="26258"/>
    <cellStyle name="Normal 227 8" xfId="11773"/>
    <cellStyle name="Normal 227 8 2" xfId="29446"/>
    <cellStyle name="Normal 227 9" xfId="23397"/>
    <cellStyle name="Normal 228" xfId="2351"/>
    <cellStyle name="Normal 228 2" xfId="4454"/>
    <cellStyle name="Normal 228 3" xfId="52061"/>
    <cellStyle name="Normal 229" xfId="2352"/>
    <cellStyle name="Normal 229 2" xfId="4455"/>
    <cellStyle name="Normal 229 3" xfId="52062"/>
    <cellStyle name="Normal 23" xfId="2353"/>
    <cellStyle name="Normal 23 2" xfId="2354"/>
    <cellStyle name="Normal 23 2 2" xfId="2355"/>
    <cellStyle name="Normal 23 2 3" xfId="22957"/>
    <cellStyle name="Normal 23 2 4" xfId="22748"/>
    <cellStyle name="Normal 23 2 4 2" xfId="38941"/>
    <cellStyle name="Normal 23 2_Sheet1" xfId="2356"/>
    <cellStyle name="Normal 23 3" xfId="2357"/>
    <cellStyle name="Normal 23 4" xfId="22956"/>
    <cellStyle name="Normal 23 5" xfId="22537"/>
    <cellStyle name="Normal 23 5 2" xfId="38836"/>
    <cellStyle name="Normal 23 6" xfId="53215"/>
    <cellStyle name="Normal 23_Sheet1" xfId="2358"/>
    <cellStyle name="Normal 230" xfId="2359"/>
    <cellStyle name="Normal 230 2" xfId="4456"/>
    <cellStyle name="Normal 230 3" xfId="52063"/>
    <cellStyle name="Normal 231" xfId="2360"/>
    <cellStyle name="Normal 231 2" xfId="4457"/>
    <cellStyle name="Normal 231 3" xfId="52064"/>
    <cellStyle name="Normal 232" xfId="2361"/>
    <cellStyle name="Normal 232 2" xfId="4458"/>
    <cellStyle name="Normal 232 3" xfId="52065"/>
    <cellStyle name="Normal 233" xfId="2362"/>
    <cellStyle name="Normal 233 2" xfId="4459"/>
    <cellStyle name="Normal 233 2 2" xfId="8535"/>
    <cellStyle name="Normal 233 2 2 2" xfId="16325"/>
    <cellStyle name="Normal 233 2 2 2 2" xfId="33946"/>
    <cellStyle name="Normal 233 2 2 3" xfId="26922"/>
    <cellStyle name="Normal 233 2 3" xfId="12781"/>
    <cellStyle name="Normal 233 2 3 2" xfId="30425"/>
    <cellStyle name="Normal 233 2 4" xfId="24061"/>
    <cellStyle name="Normal 233 3" xfId="5852"/>
    <cellStyle name="Normal 233 3 2" xfId="9149"/>
    <cellStyle name="Normal 233 3 2 2" xfId="16938"/>
    <cellStyle name="Normal 233 3 2 2 2" xfId="34560"/>
    <cellStyle name="Normal 233 3 2 3" xfId="27523"/>
    <cellStyle name="Normal 233 3 3" xfId="13702"/>
    <cellStyle name="Normal 233 3 3 2" xfId="31328"/>
    <cellStyle name="Normal 233 3 4" xfId="24662"/>
    <cellStyle name="Normal 233 4" xfId="6482"/>
    <cellStyle name="Normal 233 4 2" xfId="9689"/>
    <cellStyle name="Normal 233 4 2 2" xfId="17477"/>
    <cellStyle name="Normal 233 4 2 2 2" xfId="35100"/>
    <cellStyle name="Normal 233 4 2 3" xfId="28059"/>
    <cellStyle name="Normal 233 4 3" xfId="14265"/>
    <cellStyle name="Normal 233 4 3 2" xfId="31886"/>
    <cellStyle name="Normal 233 4 4" xfId="25198"/>
    <cellStyle name="Normal 233 5" xfId="7257"/>
    <cellStyle name="Normal 233 5 2" xfId="10242"/>
    <cellStyle name="Normal 233 5 2 2" xfId="18029"/>
    <cellStyle name="Normal 233 5 2 2 2" xfId="35652"/>
    <cellStyle name="Normal 233 5 2 3" xfId="28595"/>
    <cellStyle name="Normal 233 5 3" xfId="15039"/>
    <cellStyle name="Normal 233 5 3 2" xfId="32660"/>
    <cellStyle name="Normal 233 5 4" xfId="25735"/>
    <cellStyle name="Normal 233 6" xfId="7857"/>
    <cellStyle name="Normal 233 6 2" xfId="15648"/>
    <cellStyle name="Normal 233 6 2 2" xfId="33269"/>
    <cellStyle name="Normal 233 6 3" xfId="26259"/>
    <cellStyle name="Normal 233 7" xfId="11774"/>
    <cellStyle name="Normal 233 7 2" xfId="29447"/>
    <cellStyle name="Normal 233 8" xfId="23398"/>
    <cellStyle name="Normal 233 9" xfId="52066"/>
    <cellStyle name="Normal 234" xfId="2363"/>
    <cellStyle name="Normal 234 2" xfId="4460"/>
    <cellStyle name="Normal 234 3" xfId="52067"/>
    <cellStyle name="Normal 235" xfId="2364"/>
    <cellStyle name="Normal 235 2" xfId="4461"/>
    <cellStyle name="Normal 235 3" xfId="52068"/>
    <cellStyle name="Normal 236" xfId="2365"/>
    <cellStyle name="Normal 236 2" xfId="4462"/>
    <cellStyle name="Normal 236 3" xfId="52069"/>
    <cellStyle name="Normal 237" xfId="2366"/>
    <cellStyle name="Normal 237 2" xfId="4463"/>
    <cellStyle name="Normal 237 3" xfId="52070"/>
    <cellStyle name="Normal 238" xfId="2367"/>
    <cellStyle name="Normal 238 2" xfId="4464"/>
    <cellStyle name="Normal 238 3" xfId="52071"/>
    <cellStyle name="Normal 239" xfId="2368"/>
    <cellStyle name="Normal 239 2" xfId="4465"/>
    <cellStyle name="Normal 239 3" xfId="52072"/>
    <cellStyle name="Normal 24" xfId="2369"/>
    <cellStyle name="Normal 24 2" xfId="2370"/>
    <cellStyle name="Normal 24 2 2" xfId="2371"/>
    <cellStyle name="Normal 24 2 3" xfId="22959"/>
    <cellStyle name="Normal 24 2 4" xfId="22749"/>
    <cellStyle name="Normal 24 2 4 2" xfId="38942"/>
    <cellStyle name="Normal 24 2_Sheet1" xfId="2372"/>
    <cellStyle name="Normal 24 3" xfId="2373"/>
    <cellStyle name="Normal 24 4" xfId="22958"/>
    <cellStyle name="Normal 24 5" xfId="22538"/>
    <cellStyle name="Normal 24 5 2" xfId="38837"/>
    <cellStyle name="Normal 24 6" xfId="53216"/>
    <cellStyle name="Normal 24_Sheet1" xfId="2374"/>
    <cellStyle name="Normal 240" xfId="2375"/>
    <cellStyle name="Normal 240 2" xfId="4466"/>
    <cellStyle name="Normal 240 3" xfId="52073"/>
    <cellStyle name="Normal 241" xfId="2376"/>
    <cellStyle name="Normal 241 2" xfId="4467"/>
    <cellStyle name="Normal 241 3" xfId="52074"/>
    <cellStyle name="Normal 242" xfId="2377"/>
    <cellStyle name="Normal 242 2" xfId="4468"/>
    <cellStyle name="Normal 242 3" xfId="52075"/>
    <cellStyle name="Normal 243" xfId="2378"/>
    <cellStyle name="Normal 243 2" xfId="4469"/>
    <cellStyle name="Normal 243 3" xfId="52076"/>
    <cellStyle name="Normal 244" xfId="2379"/>
    <cellStyle name="Normal 244 2" xfId="4470"/>
    <cellStyle name="Normal 244 3" xfId="52077"/>
    <cellStyle name="Normal 245" xfId="2380"/>
    <cellStyle name="Normal 245 2" xfId="4471"/>
    <cellStyle name="Normal 245 3" xfId="52078"/>
    <cellStyle name="Normal 246" xfId="2381"/>
    <cellStyle name="Normal 246 2" xfId="4472"/>
    <cellStyle name="Normal 246 3" xfId="52079"/>
    <cellStyle name="Normal 247" xfId="2382"/>
    <cellStyle name="Normal 247 2" xfId="4473"/>
    <cellStyle name="Normal 247 3" xfId="52080"/>
    <cellStyle name="Normal 248" xfId="2383"/>
    <cellStyle name="Normal 248 2" xfId="4474"/>
    <cellStyle name="Normal 248 3" xfId="52081"/>
    <cellStyle name="Normal 249" xfId="2384"/>
    <cellStyle name="Normal 249 2" xfId="4475"/>
    <cellStyle name="Normal 249 3" xfId="52082"/>
    <cellStyle name="Normal 25" xfId="2385"/>
    <cellStyle name="Normal 25 2" xfId="2386"/>
    <cellStyle name="Normal 25 2 2" xfId="2387"/>
    <cellStyle name="Normal 25 2 3" xfId="22961"/>
    <cellStyle name="Normal 25 2 4" xfId="22750"/>
    <cellStyle name="Normal 25 2 4 2" xfId="38943"/>
    <cellStyle name="Normal 25 2_Sheet1" xfId="2388"/>
    <cellStyle name="Normal 25 3" xfId="2389"/>
    <cellStyle name="Normal 25 4" xfId="22960"/>
    <cellStyle name="Normal 25 5" xfId="22539"/>
    <cellStyle name="Normal 25 5 2" xfId="38838"/>
    <cellStyle name="Normal 25 6" xfId="53217"/>
    <cellStyle name="Normal 25_Sheet1" xfId="2390"/>
    <cellStyle name="Normal 250" xfId="2391"/>
    <cellStyle name="Normal 250 2" xfId="4476"/>
    <cellStyle name="Normal 250 3" xfId="52083"/>
    <cellStyle name="Normal 251" xfId="2392"/>
    <cellStyle name="Normal 251 2" xfId="4477"/>
    <cellStyle name="Normal 251 3" xfId="52084"/>
    <cellStyle name="Normal 252" xfId="2393"/>
    <cellStyle name="Normal 252 2" xfId="4478"/>
    <cellStyle name="Normal 252 3" xfId="52085"/>
    <cellStyle name="Normal 253" xfId="2394"/>
    <cellStyle name="Normal 253 2" xfId="4479"/>
    <cellStyle name="Normal 253 2 2" xfId="8536"/>
    <cellStyle name="Normal 253 2 2 2" xfId="16326"/>
    <cellStyle name="Normal 253 2 2 2 2" xfId="33947"/>
    <cellStyle name="Normal 253 2 2 3" xfId="26923"/>
    <cellStyle name="Normal 253 2 3" xfId="12783"/>
    <cellStyle name="Normal 253 2 3 2" xfId="30427"/>
    <cellStyle name="Normal 253 2 4" xfId="24062"/>
    <cellStyle name="Normal 253 3" xfId="5853"/>
    <cellStyle name="Normal 253 3 2" xfId="9150"/>
    <cellStyle name="Normal 253 3 2 2" xfId="16939"/>
    <cellStyle name="Normal 253 3 2 2 2" xfId="34561"/>
    <cellStyle name="Normal 253 3 2 3" xfId="27524"/>
    <cellStyle name="Normal 253 3 3" xfId="13703"/>
    <cellStyle name="Normal 253 3 3 2" xfId="31329"/>
    <cellStyle name="Normal 253 3 4" xfId="24663"/>
    <cellStyle name="Normal 253 4" xfId="6483"/>
    <cellStyle name="Normal 253 4 2" xfId="9690"/>
    <cellStyle name="Normal 253 4 2 2" xfId="17478"/>
    <cellStyle name="Normal 253 4 2 2 2" xfId="35101"/>
    <cellStyle name="Normal 253 4 2 3" xfId="28060"/>
    <cellStyle name="Normal 253 4 3" xfId="14266"/>
    <cellStyle name="Normal 253 4 3 2" xfId="31887"/>
    <cellStyle name="Normal 253 4 4" xfId="25199"/>
    <cellStyle name="Normal 253 5" xfId="7258"/>
    <cellStyle name="Normal 253 5 2" xfId="10243"/>
    <cellStyle name="Normal 253 5 2 2" xfId="18030"/>
    <cellStyle name="Normal 253 5 2 2 2" xfId="35653"/>
    <cellStyle name="Normal 253 5 2 3" xfId="28596"/>
    <cellStyle name="Normal 253 5 3" xfId="15040"/>
    <cellStyle name="Normal 253 5 3 2" xfId="32661"/>
    <cellStyle name="Normal 253 5 4" xfId="25736"/>
    <cellStyle name="Normal 253 6" xfId="7858"/>
    <cellStyle name="Normal 253 6 2" xfId="15649"/>
    <cellStyle name="Normal 253 6 2 2" xfId="33270"/>
    <cellStyle name="Normal 253 6 3" xfId="26260"/>
    <cellStyle name="Normal 253 7" xfId="11778"/>
    <cellStyle name="Normal 253 7 2" xfId="29450"/>
    <cellStyle name="Normal 253 8" xfId="23399"/>
    <cellStyle name="Normal 253 9" xfId="52086"/>
    <cellStyle name="Normal 254" xfId="2395"/>
    <cellStyle name="Normal 254 2" xfId="4480"/>
    <cellStyle name="Normal 254 3" xfId="52087"/>
    <cellStyle name="Normal 255" xfId="2396"/>
    <cellStyle name="Normal 255 2" xfId="4481"/>
    <cellStyle name="Normal 255 3" xfId="52088"/>
    <cellStyle name="Normal 256" xfId="2397"/>
    <cellStyle name="Normal 256 2" xfId="4482"/>
    <cellStyle name="Normal 256 3" xfId="52089"/>
    <cellStyle name="Normal 257" xfId="2398"/>
    <cellStyle name="Normal 257 2" xfId="4483"/>
    <cellStyle name="Normal 257 3" xfId="52090"/>
    <cellStyle name="Normal 258" xfId="2399"/>
    <cellStyle name="Normal 258 2" xfId="4484"/>
    <cellStyle name="Normal 258 3" xfId="52091"/>
    <cellStyle name="Normal 259" xfId="2400"/>
    <cellStyle name="Normal 259 2" xfId="4485"/>
    <cellStyle name="Normal 259 3" xfId="52092"/>
    <cellStyle name="Normal 26" xfId="2401"/>
    <cellStyle name="Normal 26 2" xfId="2402"/>
    <cellStyle name="Normal 26 2 2" xfId="2403"/>
    <cellStyle name="Normal 26 2 3" xfId="22963"/>
    <cellStyle name="Normal 26 2 4" xfId="22751"/>
    <cellStyle name="Normal 26 2 4 2" xfId="38944"/>
    <cellStyle name="Normal 26 2_Sheet1" xfId="2404"/>
    <cellStyle name="Normal 26 3" xfId="2405"/>
    <cellStyle name="Normal 26 4" xfId="22962"/>
    <cellStyle name="Normal 26 5" xfId="22540"/>
    <cellStyle name="Normal 26 5 2" xfId="38839"/>
    <cellStyle name="Normal 26 6" xfId="53218"/>
    <cellStyle name="Normal 26_Sheet1" xfId="2406"/>
    <cellStyle name="Normal 260" xfId="2407"/>
    <cellStyle name="Normal 260 2" xfId="4486"/>
    <cellStyle name="Normal 260 3" xfId="52093"/>
    <cellStyle name="Normal 261" xfId="2408"/>
    <cellStyle name="Normal 261 2" xfId="4487"/>
    <cellStyle name="Normal 261 3" xfId="52094"/>
    <cellStyle name="Normal 262" xfId="2409"/>
    <cellStyle name="Normal 262 2" xfId="4488"/>
    <cellStyle name="Normal 262 3" xfId="52095"/>
    <cellStyle name="Normal 263" xfId="2410"/>
    <cellStyle name="Normal 263 2" xfId="4489"/>
    <cellStyle name="Normal 263 3" xfId="52096"/>
    <cellStyle name="Normal 264" xfId="2411"/>
    <cellStyle name="Normal 264 2" xfId="4490"/>
    <cellStyle name="Normal 264 3" xfId="52097"/>
    <cellStyle name="Normal 265" xfId="2412"/>
    <cellStyle name="Normal 265 2" xfId="4491"/>
    <cellStyle name="Normal 265 3" xfId="52098"/>
    <cellStyle name="Normal 266" xfId="2413"/>
    <cellStyle name="Normal 266 2" xfId="4492"/>
    <cellStyle name="Normal 266 2 2" xfId="8537"/>
    <cellStyle name="Normal 266 2 2 2" xfId="16327"/>
    <cellStyle name="Normal 266 2 2 2 2" xfId="33948"/>
    <cellStyle name="Normal 266 2 2 3" xfId="26924"/>
    <cellStyle name="Normal 266 2 3" xfId="12787"/>
    <cellStyle name="Normal 266 2 3 2" xfId="30430"/>
    <cellStyle name="Normal 266 2 4" xfId="24063"/>
    <cellStyle name="Normal 266 3" xfId="5854"/>
    <cellStyle name="Normal 266 3 2" xfId="9151"/>
    <cellStyle name="Normal 266 3 2 2" xfId="16940"/>
    <cellStyle name="Normal 266 3 2 2 2" xfId="34562"/>
    <cellStyle name="Normal 266 3 2 3" xfId="27525"/>
    <cellStyle name="Normal 266 3 3" xfId="13704"/>
    <cellStyle name="Normal 266 3 3 2" xfId="31330"/>
    <cellStyle name="Normal 266 3 4" xfId="24664"/>
    <cellStyle name="Normal 266 4" xfId="6484"/>
    <cellStyle name="Normal 266 4 2" xfId="9691"/>
    <cellStyle name="Normal 266 4 2 2" xfId="17479"/>
    <cellStyle name="Normal 266 4 2 2 2" xfId="35102"/>
    <cellStyle name="Normal 266 4 2 3" xfId="28061"/>
    <cellStyle name="Normal 266 4 3" xfId="14267"/>
    <cellStyle name="Normal 266 4 3 2" xfId="31888"/>
    <cellStyle name="Normal 266 4 4" xfId="25200"/>
    <cellStyle name="Normal 266 5" xfId="7259"/>
    <cellStyle name="Normal 266 5 2" xfId="10244"/>
    <cellStyle name="Normal 266 5 2 2" xfId="18031"/>
    <cellStyle name="Normal 266 5 2 2 2" xfId="35654"/>
    <cellStyle name="Normal 266 5 2 3" xfId="28597"/>
    <cellStyle name="Normal 266 5 3" xfId="15041"/>
    <cellStyle name="Normal 266 5 3 2" xfId="32662"/>
    <cellStyle name="Normal 266 5 4" xfId="25737"/>
    <cellStyle name="Normal 266 6" xfId="7859"/>
    <cellStyle name="Normal 266 6 2" xfId="15650"/>
    <cellStyle name="Normal 266 6 2 2" xfId="33271"/>
    <cellStyle name="Normal 266 6 3" xfId="26261"/>
    <cellStyle name="Normal 266 7" xfId="11783"/>
    <cellStyle name="Normal 266 7 2" xfId="29455"/>
    <cellStyle name="Normal 266 8" xfId="23400"/>
    <cellStyle name="Normal 266 9" xfId="52099"/>
    <cellStyle name="Normal 267" xfId="2414"/>
    <cellStyle name="Normal 267 2" xfId="4493"/>
    <cellStyle name="Normal 267 3" xfId="52100"/>
    <cellStyle name="Normal 268" xfId="2415"/>
    <cellStyle name="Normal 268 2" xfId="4494"/>
    <cellStyle name="Normal 268 3" xfId="52101"/>
    <cellStyle name="Normal 269" xfId="2416"/>
    <cellStyle name="Normal 269 2" xfId="4495"/>
    <cellStyle name="Normal 269 3" xfId="52102"/>
    <cellStyle name="Normal 27" xfId="2417"/>
    <cellStyle name="Normal 27 2" xfId="2418"/>
    <cellStyle name="Normal 27 2 2" xfId="2419"/>
    <cellStyle name="Normal 27 2 3" xfId="22965"/>
    <cellStyle name="Normal 27 2 4" xfId="22752"/>
    <cellStyle name="Normal 27 2 4 2" xfId="38945"/>
    <cellStyle name="Normal 27 2_Sheet1" xfId="2420"/>
    <cellStyle name="Normal 27 3" xfId="2421"/>
    <cellStyle name="Normal 27 4" xfId="22964"/>
    <cellStyle name="Normal 27 5" xfId="22541"/>
    <cellStyle name="Normal 27 5 2" xfId="38840"/>
    <cellStyle name="Normal 27 6" xfId="53219"/>
    <cellStyle name="Normal 27_Sheet1" xfId="2422"/>
    <cellStyle name="Normal 270" xfId="2423"/>
    <cellStyle name="Normal 270 2" xfId="4496"/>
    <cellStyle name="Normal 270 3" xfId="52103"/>
    <cellStyle name="Normal 271" xfId="2424"/>
    <cellStyle name="Normal 271 2" xfId="4497"/>
    <cellStyle name="Normal 271 3" xfId="52104"/>
    <cellStyle name="Normal 272" xfId="2425"/>
    <cellStyle name="Normal 272 2" xfId="4498"/>
    <cellStyle name="Normal 272 3" xfId="52105"/>
    <cellStyle name="Normal 273" xfId="2426"/>
    <cellStyle name="Normal 273 2" xfId="4499"/>
    <cellStyle name="Normal 273 3" xfId="52106"/>
    <cellStyle name="Normal 274" xfId="2427"/>
    <cellStyle name="Normal 274 2" xfId="4500"/>
    <cellStyle name="Normal 274 3" xfId="52107"/>
    <cellStyle name="Normal 275" xfId="2428"/>
    <cellStyle name="Normal 275 2" xfId="4501"/>
    <cellStyle name="Normal 275 3" xfId="52108"/>
    <cellStyle name="Normal 276" xfId="2429"/>
    <cellStyle name="Normal 276 2" xfId="4502"/>
    <cellStyle name="Normal 276 3" xfId="52109"/>
    <cellStyle name="Normal 277" xfId="2430"/>
    <cellStyle name="Normal 277 2" xfId="4503"/>
    <cellStyle name="Normal 277 3" xfId="52110"/>
    <cellStyle name="Normal 278" xfId="194"/>
    <cellStyle name="Normal 278 10" xfId="11785"/>
    <cellStyle name="Normal 278 10 2" xfId="29457"/>
    <cellStyle name="Normal 278 11" xfId="23401"/>
    <cellStyle name="Normal 278 12" xfId="52111"/>
    <cellStyle name="Normal 278 13" xfId="2431"/>
    <cellStyle name="Normal 278 2" xfId="4505"/>
    <cellStyle name="Normal 278 2 2" xfId="4506"/>
    <cellStyle name="Normal 278 2 2 2" xfId="5856"/>
    <cellStyle name="Normal 278 2 2 2 2" xfId="9153"/>
    <cellStyle name="Normal 278 2 2 2 2 2" xfId="16942"/>
    <cellStyle name="Normal 278 2 2 2 2 2 2" xfId="34564"/>
    <cellStyle name="Normal 278 2 2 2 2 3" xfId="27527"/>
    <cellStyle name="Normal 278 2 2 2 3" xfId="13706"/>
    <cellStyle name="Normal 278 2 2 2 3 2" xfId="31332"/>
    <cellStyle name="Normal 278 2 2 2 4" xfId="24666"/>
    <cellStyle name="Normal 278 2 2 3" xfId="6486"/>
    <cellStyle name="Normal 278 2 2 3 2" xfId="9693"/>
    <cellStyle name="Normal 278 2 2 3 2 2" xfId="17481"/>
    <cellStyle name="Normal 278 2 2 3 2 2 2" xfId="35104"/>
    <cellStyle name="Normal 278 2 2 3 2 3" xfId="28063"/>
    <cellStyle name="Normal 278 2 2 3 3" xfId="14269"/>
    <cellStyle name="Normal 278 2 2 3 3 2" xfId="31890"/>
    <cellStyle name="Normal 278 2 2 3 4" xfId="25202"/>
    <cellStyle name="Normal 278 2 2 4" xfId="7261"/>
    <cellStyle name="Normal 278 2 2 4 2" xfId="10246"/>
    <cellStyle name="Normal 278 2 2 4 2 2" xfId="18033"/>
    <cellStyle name="Normal 278 2 2 4 2 2 2" xfId="35656"/>
    <cellStyle name="Normal 278 2 2 4 2 3" xfId="28599"/>
    <cellStyle name="Normal 278 2 2 4 3" xfId="15043"/>
    <cellStyle name="Normal 278 2 2 4 3 2" xfId="32664"/>
    <cellStyle name="Normal 278 2 2 4 4" xfId="25739"/>
    <cellStyle name="Normal 278 2 2 5" xfId="8539"/>
    <cellStyle name="Normal 278 2 2 5 2" xfId="16329"/>
    <cellStyle name="Normal 278 2 2 5 2 2" xfId="33950"/>
    <cellStyle name="Normal 278 2 2 5 3" xfId="26926"/>
    <cellStyle name="Normal 278 2 2 6" xfId="12790"/>
    <cellStyle name="Normal 278 2 2 6 2" xfId="30433"/>
    <cellStyle name="Normal 278 2 2 7" xfId="24065"/>
    <cellStyle name="Normal 278 3" xfId="4507"/>
    <cellStyle name="Normal 278 3 2" xfId="5857"/>
    <cellStyle name="Normal 278 3 2 2" xfId="9154"/>
    <cellStyle name="Normal 278 3 2 2 2" xfId="16943"/>
    <cellStyle name="Normal 278 3 2 2 2 2" xfId="34565"/>
    <cellStyle name="Normal 278 3 2 2 3" xfId="27528"/>
    <cellStyle name="Normal 278 3 2 3" xfId="13707"/>
    <cellStyle name="Normal 278 3 2 3 2" xfId="31333"/>
    <cellStyle name="Normal 278 3 2 4" xfId="24667"/>
    <cellStyle name="Normal 278 3 3" xfId="6487"/>
    <cellStyle name="Normal 278 3 3 2" xfId="9694"/>
    <cellStyle name="Normal 278 3 3 2 2" xfId="17482"/>
    <cellStyle name="Normal 278 3 3 2 2 2" xfId="35105"/>
    <cellStyle name="Normal 278 3 3 2 3" xfId="28064"/>
    <cellStyle name="Normal 278 3 3 3" xfId="14270"/>
    <cellStyle name="Normal 278 3 3 3 2" xfId="31891"/>
    <cellStyle name="Normal 278 3 3 4" xfId="25203"/>
    <cellStyle name="Normal 278 3 4" xfId="7262"/>
    <cellStyle name="Normal 278 3 4 2" xfId="10247"/>
    <cellStyle name="Normal 278 3 4 2 2" xfId="18034"/>
    <cellStyle name="Normal 278 3 4 2 2 2" xfId="35657"/>
    <cellStyle name="Normal 278 3 4 2 3" xfId="28600"/>
    <cellStyle name="Normal 278 3 4 3" xfId="15044"/>
    <cellStyle name="Normal 278 3 4 3 2" xfId="32665"/>
    <cellStyle name="Normal 278 3 4 4" xfId="25740"/>
    <cellStyle name="Normal 278 3 5" xfId="8540"/>
    <cellStyle name="Normal 278 3 5 2" xfId="16330"/>
    <cellStyle name="Normal 278 3 5 2 2" xfId="33951"/>
    <cellStyle name="Normal 278 3 5 3" xfId="26927"/>
    <cellStyle name="Normal 278 3 6" xfId="12791"/>
    <cellStyle name="Normal 278 3 6 2" xfId="30434"/>
    <cellStyle name="Normal 278 3 7" xfId="24066"/>
    <cellStyle name="Normal 278 4" xfId="4508"/>
    <cellStyle name="Normal 278 4 2" xfId="8541"/>
    <cellStyle name="Normal 278 4 2 2" xfId="16331"/>
    <cellStyle name="Normal 278 4 2 2 2" xfId="33952"/>
    <cellStyle name="Normal 278 4 2 3" xfId="26928"/>
    <cellStyle name="Normal 278 4 3" xfId="12792"/>
    <cellStyle name="Normal 278 4 3 2" xfId="30435"/>
    <cellStyle name="Normal 278 4 4" xfId="24067"/>
    <cellStyle name="Normal 278 5" xfId="4504"/>
    <cellStyle name="Normal 278 5 2" xfId="8538"/>
    <cellStyle name="Normal 278 5 2 2" xfId="16328"/>
    <cellStyle name="Normal 278 5 2 2 2" xfId="33949"/>
    <cellStyle name="Normal 278 5 2 3" xfId="26925"/>
    <cellStyle name="Normal 278 5 3" xfId="12789"/>
    <cellStyle name="Normal 278 5 3 2" xfId="30432"/>
    <cellStyle name="Normal 278 5 4" xfId="24064"/>
    <cellStyle name="Normal 278 6" xfId="5855"/>
    <cellStyle name="Normal 278 6 2" xfId="9152"/>
    <cellStyle name="Normal 278 6 2 2" xfId="16941"/>
    <cellStyle name="Normal 278 6 2 2 2" xfId="34563"/>
    <cellStyle name="Normal 278 6 2 3" xfId="27526"/>
    <cellStyle name="Normal 278 6 3" xfId="13705"/>
    <cellStyle name="Normal 278 6 3 2" xfId="31331"/>
    <cellStyle name="Normal 278 6 4" xfId="24665"/>
    <cellStyle name="Normal 278 7" xfId="6485"/>
    <cellStyle name="Normal 278 7 2" xfId="9692"/>
    <cellStyle name="Normal 278 7 2 2" xfId="17480"/>
    <cellStyle name="Normal 278 7 2 2 2" xfId="35103"/>
    <cellStyle name="Normal 278 7 2 3" xfId="28062"/>
    <cellStyle name="Normal 278 7 3" xfId="14268"/>
    <cellStyle name="Normal 278 7 3 2" xfId="31889"/>
    <cellStyle name="Normal 278 7 4" xfId="25201"/>
    <cellStyle name="Normal 278 8" xfId="7260"/>
    <cellStyle name="Normal 278 8 2" xfId="10245"/>
    <cellStyle name="Normal 278 8 2 2" xfId="18032"/>
    <cellStyle name="Normal 278 8 2 2 2" xfId="35655"/>
    <cellStyle name="Normal 278 8 2 3" xfId="28598"/>
    <cellStyle name="Normal 278 8 3" xfId="15042"/>
    <cellStyle name="Normal 278 8 3 2" xfId="32663"/>
    <cellStyle name="Normal 278 8 4" xfId="25738"/>
    <cellStyle name="Normal 278 9" xfId="7860"/>
    <cellStyle name="Normal 278 9 2" xfId="15651"/>
    <cellStyle name="Normal 278 9 2 2" xfId="33272"/>
    <cellStyle name="Normal 278 9 3" xfId="26262"/>
    <cellStyle name="Normal 279" xfId="2432"/>
    <cellStyle name="Normal 279 2" xfId="4509"/>
    <cellStyle name="Normal 279 2 2" xfId="8542"/>
    <cellStyle name="Normal 279 2 2 2" xfId="16332"/>
    <cellStyle name="Normal 279 2 2 2 2" xfId="33953"/>
    <cellStyle name="Normal 279 2 2 3" xfId="26929"/>
    <cellStyle name="Normal 279 2 3" xfId="12793"/>
    <cellStyle name="Normal 279 2 3 2" xfId="30436"/>
    <cellStyle name="Normal 279 2 4" xfId="24068"/>
    <cellStyle name="Normal 279 3" xfId="5858"/>
    <cellStyle name="Normal 279 3 2" xfId="9155"/>
    <cellStyle name="Normal 279 3 2 2" xfId="16944"/>
    <cellStyle name="Normal 279 3 2 2 2" xfId="34566"/>
    <cellStyle name="Normal 279 3 2 3" xfId="27529"/>
    <cellStyle name="Normal 279 3 3" xfId="13708"/>
    <cellStyle name="Normal 279 3 3 2" xfId="31334"/>
    <cellStyle name="Normal 279 3 4" xfId="24668"/>
    <cellStyle name="Normal 279 4" xfId="6488"/>
    <cellStyle name="Normal 279 4 2" xfId="9695"/>
    <cellStyle name="Normal 279 4 2 2" xfId="17483"/>
    <cellStyle name="Normal 279 4 2 2 2" xfId="35106"/>
    <cellStyle name="Normal 279 4 2 3" xfId="28065"/>
    <cellStyle name="Normal 279 4 3" xfId="14271"/>
    <cellStyle name="Normal 279 4 3 2" xfId="31892"/>
    <cellStyle name="Normal 279 4 4" xfId="25204"/>
    <cellStyle name="Normal 279 5" xfId="7263"/>
    <cellStyle name="Normal 279 5 2" xfId="10248"/>
    <cellStyle name="Normal 279 5 2 2" xfId="18035"/>
    <cellStyle name="Normal 279 5 2 2 2" xfId="35658"/>
    <cellStyle name="Normal 279 5 2 3" xfId="28601"/>
    <cellStyle name="Normal 279 5 3" xfId="15045"/>
    <cellStyle name="Normal 279 5 3 2" xfId="32666"/>
    <cellStyle name="Normal 279 5 4" xfId="25741"/>
    <cellStyle name="Normal 279 6" xfId="7861"/>
    <cellStyle name="Normal 279 6 2" xfId="15652"/>
    <cellStyle name="Normal 279 6 2 2" xfId="33273"/>
    <cellStyle name="Normal 279 6 3" xfId="26263"/>
    <cellStyle name="Normal 279 7" xfId="11786"/>
    <cellStyle name="Normal 279 7 2" xfId="29458"/>
    <cellStyle name="Normal 279 8" xfId="23402"/>
    <cellStyle name="Normal 279 9" xfId="52112"/>
    <cellStyle name="Normal 28" xfId="2433"/>
    <cellStyle name="Normal 28 2" xfId="2434"/>
    <cellStyle name="Normal 28 2 2" xfId="2435"/>
    <cellStyle name="Normal 28 2 3" xfId="22967"/>
    <cellStyle name="Normal 28 2 4" xfId="22753"/>
    <cellStyle name="Normal 28 2 4 2" xfId="38946"/>
    <cellStyle name="Normal 28 2_Sheet1" xfId="2436"/>
    <cellStyle name="Normal 28 3" xfId="2437"/>
    <cellStyle name="Normal 28 4" xfId="22966"/>
    <cellStyle name="Normal 28 5" xfId="22542"/>
    <cellStyle name="Normal 28 5 2" xfId="38841"/>
    <cellStyle name="Normal 28 6" xfId="53220"/>
    <cellStyle name="Normal 28_Sheet1" xfId="2438"/>
    <cellStyle name="Normal 280" xfId="2439"/>
    <cellStyle name="Normal 280 2" xfId="4510"/>
    <cellStyle name="Normal 280 3" xfId="52113"/>
    <cellStyle name="Normal 281" xfId="2440"/>
    <cellStyle name="Normal 281 2" xfId="4511"/>
    <cellStyle name="Normal 281 3" xfId="52114"/>
    <cellStyle name="Normal 282" xfId="2441"/>
    <cellStyle name="Normal 282 2" xfId="4512"/>
    <cellStyle name="Normal 282 3" xfId="52115"/>
    <cellStyle name="Normal 283" xfId="2442"/>
    <cellStyle name="Normal 283 2" xfId="4513"/>
    <cellStyle name="Normal 283 3" xfId="52116"/>
    <cellStyle name="Normal 284" xfId="2443"/>
    <cellStyle name="Normal 284 2" xfId="4514"/>
    <cellStyle name="Normal 284 3" xfId="52117"/>
    <cellStyle name="Normal 285" xfId="2444"/>
    <cellStyle name="Normal 285 2" xfId="4515"/>
    <cellStyle name="Normal 285 3" xfId="52118"/>
    <cellStyle name="Normal 286" xfId="2445"/>
    <cellStyle name="Normal 286 2" xfId="4516"/>
    <cellStyle name="Normal 286 3" xfId="52119"/>
    <cellStyle name="Normal 287" xfId="2446"/>
    <cellStyle name="Normal 287 2" xfId="4517"/>
    <cellStyle name="Normal 287 3" xfId="52120"/>
    <cellStyle name="Normal 288" xfId="2447"/>
    <cellStyle name="Normal 288 2" xfId="4518"/>
    <cellStyle name="Normal 288 3" xfId="52121"/>
    <cellStyle name="Normal 289" xfId="2448"/>
    <cellStyle name="Normal 289 2" xfId="4519"/>
    <cellStyle name="Normal 289 3" xfId="52122"/>
    <cellStyle name="Normal 29" xfId="2449"/>
    <cellStyle name="Normal 29 2" xfId="2450"/>
    <cellStyle name="Normal 29 2 2" xfId="2451"/>
    <cellStyle name="Normal 29 2 3" xfId="22969"/>
    <cellStyle name="Normal 29 2 4" xfId="22754"/>
    <cellStyle name="Normal 29 2 4 2" xfId="38947"/>
    <cellStyle name="Normal 29 2_Sheet1" xfId="2452"/>
    <cellStyle name="Normal 29 3" xfId="2453"/>
    <cellStyle name="Normal 29 4" xfId="22968"/>
    <cellStyle name="Normal 29 5" xfId="22543"/>
    <cellStyle name="Normal 29 5 2" xfId="38842"/>
    <cellStyle name="Normal 29 6" xfId="53221"/>
    <cellStyle name="Normal 29_Sheet1" xfId="2454"/>
    <cellStyle name="Normal 290" xfId="2455"/>
    <cellStyle name="Normal 290 2" xfId="4520"/>
    <cellStyle name="Normal 290 3" xfId="52123"/>
    <cellStyle name="Normal 291" xfId="2456"/>
    <cellStyle name="Normal 291 2" xfId="4521"/>
    <cellStyle name="Normal 291 3" xfId="52124"/>
    <cellStyle name="Normal 292" xfId="2457"/>
    <cellStyle name="Normal 292 2" xfId="4522"/>
    <cellStyle name="Normal 292 3" xfId="52125"/>
    <cellStyle name="Normal 293" xfId="2458"/>
    <cellStyle name="Normal 293 2" xfId="4523"/>
    <cellStyle name="Normal 293 3" xfId="52126"/>
    <cellStyle name="Normal 294" xfId="2459"/>
    <cellStyle name="Normal 294 2" xfId="4524"/>
    <cellStyle name="Normal 294 3" xfId="52127"/>
    <cellStyle name="Normal 295" xfId="2460"/>
    <cellStyle name="Normal 295 2" xfId="4525"/>
    <cellStyle name="Normal 295 3" xfId="52128"/>
    <cellStyle name="Normal 296" xfId="2461"/>
    <cellStyle name="Normal 296 2" xfId="4526"/>
    <cellStyle name="Normal 296 3" xfId="52129"/>
    <cellStyle name="Normal 297" xfId="2462"/>
    <cellStyle name="Normal 297 2" xfId="4527"/>
    <cellStyle name="Normal 297 3" xfId="52130"/>
    <cellStyle name="Normal 298" xfId="2463"/>
    <cellStyle name="Normal 298 2" xfId="4528"/>
    <cellStyle name="Normal 298 3" xfId="52131"/>
    <cellStyle name="Normal 299" xfId="2464"/>
    <cellStyle name="Normal 299 2" xfId="4529"/>
    <cellStyle name="Normal 299 3" xfId="52132"/>
    <cellStyle name="Normal 3" xfId="2"/>
    <cellStyle name="Normal 3 10" xfId="2465"/>
    <cellStyle name="Normal 3 10 2" xfId="4530"/>
    <cellStyle name="Normal 3 10 3" xfId="52133"/>
    <cellStyle name="Normal 3 11" xfId="2466"/>
    <cellStyle name="Normal 3 12" xfId="2467"/>
    <cellStyle name="Normal 3 12 2" xfId="4531"/>
    <cellStyle name="Normal 3 12 3" xfId="22970"/>
    <cellStyle name="Normal 3 12 4" xfId="52134"/>
    <cellStyle name="Normal 3 13" xfId="2468"/>
    <cellStyle name="Normal 3 13 2" xfId="22544"/>
    <cellStyle name="Normal 3 13 2 2" xfId="38843"/>
    <cellStyle name="Normal 3 14" xfId="2469"/>
    <cellStyle name="Normal 3 15" xfId="4532"/>
    <cellStyle name="Normal 3 15 2" xfId="53222"/>
    <cellStyle name="Normal 3 16" xfId="4533"/>
    <cellStyle name="Normal 3 17" xfId="187"/>
    <cellStyle name="Normal 3 2" xfId="120"/>
    <cellStyle name="Normal 3 2 2" xfId="2471"/>
    <cellStyle name="Normal 3 2 3" xfId="22971"/>
    <cellStyle name="Normal 3 2 4" xfId="22545"/>
    <cellStyle name="Normal 3 2 5" xfId="2470"/>
    <cellStyle name="Normal 3 2_Sheet1" xfId="2472"/>
    <cellStyle name="Normal 3 3" xfId="2473"/>
    <cellStyle name="Normal 3 3 2" xfId="22972"/>
    <cellStyle name="Normal 3 3 3" xfId="22546"/>
    <cellStyle name="Normal 3 3 4" xfId="53223"/>
    <cellStyle name="Normal 3 4" xfId="2474"/>
    <cellStyle name="Normal 3 4 2" xfId="2475"/>
    <cellStyle name="Normal 3 4 2 2" xfId="4535"/>
    <cellStyle name="Normal 3 4 2 3" xfId="22756"/>
    <cellStyle name="Normal 3 4 2 3 2" xfId="38949"/>
    <cellStyle name="Normal 3 4 2 4" xfId="52136"/>
    <cellStyle name="Normal 3 4 3" xfId="4534"/>
    <cellStyle name="Normal 3 4 4" xfId="22547"/>
    <cellStyle name="Normal 3 4 4 2" xfId="38844"/>
    <cellStyle name="Normal 3 4 5" xfId="52135"/>
    <cellStyle name="Normal 3 4_BallGrid" xfId="2476"/>
    <cellStyle name="Normal 3 5" xfId="2477"/>
    <cellStyle name="Normal 3 5 2" xfId="4536"/>
    <cellStyle name="Normal 3 5 3" xfId="52137"/>
    <cellStyle name="Normal 3 6" xfId="2478"/>
    <cellStyle name="Normal 3 6 2" xfId="4537"/>
    <cellStyle name="Normal 3 6 3" xfId="22681"/>
    <cellStyle name="Normal 3 6 3 2" xfId="38885"/>
    <cellStyle name="Normal 3 6 4" xfId="52138"/>
    <cellStyle name="Normal 3 7" xfId="2479"/>
    <cellStyle name="Normal 3 7 2" xfId="4538"/>
    <cellStyle name="Normal 3 7 3" xfId="22755"/>
    <cellStyle name="Normal 3 7 3 2" xfId="38948"/>
    <cellStyle name="Normal 3 7 4" xfId="52139"/>
    <cellStyle name="Normal 3 8" xfId="2480"/>
    <cellStyle name="Normal 3 8 2" xfId="4539"/>
    <cellStyle name="Normal 3 8 3" xfId="52140"/>
    <cellStyle name="Normal 3 9" xfId="2481"/>
    <cellStyle name="Normal 3 9 2" xfId="4540"/>
    <cellStyle name="Normal 3 9 3" xfId="52141"/>
    <cellStyle name="Normal 3_BallGrid" xfId="2482"/>
    <cellStyle name="Normal 30" xfId="2483"/>
    <cellStyle name="Normal 30 2" xfId="2484"/>
    <cellStyle name="Normal 30 2 10" xfId="52142"/>
    <cellStyle name="Normal 30 2 2" xfId="4541"/>
    <cellStyle name="Normal 30 2 2 2" xfId="8543"/>
    <cellStyle name="Normal 30 2 2 2 2" xfId="16333"/>
    <cellStyle name="Normal 30 2 2 2 2 2" xfId="33954"/>
    <cellStyle name="Normal 30 2 2 2 3" xfId="26930"/>
    <cellStyle name="Normal 30 2 2 3" xfId="12801"/>
    <cellStyle name="Normal 30 2 2 3 2" xfId="30443"/>
    <cellStyle name="Normal 30 2 2 4" xfId="24069"/>
    <cellStyle name="Normal 30 2 3" xfId="5859"/>
    <cellStyle name="Normal 30 2 3 2" xfId="9156"/>
    <cellStyle name="Normal 30 2 3 2 2" xfId="16945"/>
    <cellStyle name="Normal 30 2 3 2 2 2" xfId="34567"/>
    <cellStyle name="Normal 30 2 3 2 3" xfId="27530"/>
    <cellStyle name="Normal 30 2 3 3" xfId="13709"/>
    <cellStyle name="Normal 30 2 3 3 2" xfId="31335"/>
    <cellStyle name="Normal 30 2 3 4" xfId="24669"/>
    <cellStyle name="Normal 30 2 4" xfId="6489"/>
    <cellStyle name="Normal 30 2 4 2" xfId="9696"/>
    <cellStyle name="Normal 30 2 4 2 2" xfId="17484"/>
    <cellStyle name="Normal 30 2 4 2 2 2" xfId="35107"/>
    <cellStyle name="Normal 30 2 4 2 3" xfId="28066"/>
    <cellStyle name="Normal 30 2 4 3" xfId="14272"/>
    <cellStyle name="Normal 30 2 4 3 2" xfId="31893"/>
    <cellStyle name="Normal 30 2 4 4" xfId="25205"/>
    <cellStyle name="Normal 30 2 5" xfId="7264"/>
    <cellStyle name="Normal 30 2 5 2" xfId="10249"/>
    <cellStyle name="Normal 30 2 5 2 2" xfId="18036"/>
    <cellStyle name="Normal 30 2 5 2 2 2" xfId="35659"/>
    <cellStyle name="Normal 30 2 5 2 3" xfId="28602"/>
    <cellStyle name="Normal 30 2 5 3" xfId="15046"/>
    <cellStyle name="Normal 30 2 5 3 2" xfId="32667"/>
    <cellStyle name="Normal 30 2 5 4" xfId="25742"/>
    <cellStyle name="Normal 30 2 6" xfId="7862"/>
    <cellStyle name="Normal 30 2 6 2" xfId="15653"/>
    <cellStyle name="Normal 30 2 6 2 2" xfId="33274"/>
    <cellStyle name="Normal 30 2 6 3" xfId="26264"/>
    <cellStyle name="Normal 30 2 7" xfId="11795"/>
    <cellStyle name="Normal 30 2 7 2" xfId="29467"/>
    <cellStyle name="Normal 30 2 8" xfId="21979"/>
    <cellStyle name="Normal 30 2 8 2" xfId="38709"/>
    <cellStyle name="Normal 30 2 9" xfId="23403"/>
    <cellStyle name="Normal 30 3" xfId="2485"/>
    <cellStyle name="Normal 30 3 2" xfId="2486"/>
    <cellStyle name="Normal 30 3_Sheet1" xfId="2487"/>
    <cellStyle name="Normal 30 4" xfId="2488"/>
    <cellStyle name="Normal 30 5" xfId="22973"/>
    <cellStyle name="Normal 30 6" xfId="53224"/>
    <cellStyle name="Normal 30_Sheet1" xfId="2489"/>
    <cellStyle name="Normal 300" xfId="2490"/>
    <cellStyle name="Normal 300 2" xfId="4542"/>
    <cellStyle name="Normal 300 3" xfId="52143"/>
    <cellStyle name="Normal 301" xfId="2491"/>
    <cellStyle name="Normal 301 2" xfId="4543"/>
    <cellStyle name="Normal 301 3" xfId="52144"/>
    <cellStyle name="Normal 302" xfId="2492"/>
    <cellStyle name="Normal 302 2" xfId="4544"/>
    <cellStyle name="Normal 302 3" xfId="52145"/>
    <cellStyle name="Normal 303" xfId="2493"/>
    <cellStyle name="Normal 303 2" xfId="4545"/>
    <cellStyle name="Normal 303 3" xfId="52146"/>
    <cellStyle name="Normal 304" xfId="2494"/>
    <cellStyle name="Normal 304 2" xfId="4546"/>
    <cellStyle name="Normal 304 3" xfId="52147"/>
    <cellStyle name="Normal 305" xfId="2495"/>
    <cellStyle name="Normal 305 2" xfId="4547"/>
    <cellStyle name="Normal 305 3" xfId="52148"/>
    <cellStyle name="Normal 306" xfId="2496"/>
    <cellStyle name="Normal 306 2" xfId="4548"/>
    <cellStyle name="Normal 306 3" xfId="52149"/>
    <cellStyle name="Normal 307" xfId="2497"/>
    <cellStyle name="Normal 307 2" xfId="4549"/>
    <cellStyle name="Normal 307 3" xfId="52150"/>
    <cellStyle name="Normal 308" xfId="2498"/>
    <cellStyle name="Normal 308 2" xfId="4550"/>
    <cellStyle name="Normal 308 3" xfId="52151"/>
    <cellStyle name="Normal 309" xfId="2499"/>
    <cellStyle name="Normal 309 2" xfId="4551"/>
    <cellStyle name="Normal 309 3" xfId="52152"/>
    <cellStyle name="Normal 31" xfId="2500"/>
    <cellStyle name="Normal 31 2" xfId="2501"/>
    <cellStyle name="Normal 31 2 2" xfId="2502"/>
    <cellStyle name="Normal 31 2 3" xfId="22975"/>
    <cellStyle name="Normal 31 2 4" xfId="22757"/>
    <cellStyle name="Normal 31 2 4 2" xfId="38950"/>
    <cellStyle name="Normal 31 2_Sheet1" xfId="2503"/>
    <cellStyle name="Normal 31 3" xfId="2504"/>
    <cellStyle name="Normal 31 4" xfId="22974"/>
    <cellStyle name="Normal 31 5" xfId="22548"/>
    <cellStyle name="Normal 31 5 2" xfId="38845"/>
    <cellStyle name="Normal 31 6" xfId="53225"/>
    <cellStyle name="Normal 31_Sheet1" xfId="2505"/>
    <cellStyle name="Normal 310" xfId="2506"/>
    <cellStyle name="Normal 310 2" xfId="4552"/>
    <cellStyle name="Normal 310 3" xfId="52153"/>
    <cellStyle name="Normal 311" xfId="2507"/>
    <cellStyle name="Normal 311 2" xfId="4553"/>
    <cellStyle name="Normal 311 3" xfId="52154"/>
    <cellStyle name="Normal 312" xfId="2508"/>
    <cellStyle name="Normal 312 2" xfId="4554"/>
    <cellStyle name="Normal 312 3" xfId="52155"/>
    <cellStyle name="Normal 313" xfId="2509"/>
    <cellStyle name="Normal 313 2" xfId="4555"/>
    <cellStyle name="Normal 313 3" xfId="52156"/>
    <cellStyle name="Normal 314" xfId="2510"/>
    <cellStyle name="Normal 314 2" xfId="4556"/>
    <cellStyle name="Normal 314 3" xfId="52157"/>
    <cellStyle name="Normal 315" xfId="2511"/>
    <cellStyle name="Normal 315 2" xfId="4557"/>
    <cellStyle name="Normal 315 3" xfId="52158"/>
    <cellStyle name="Normal 316" xfId="2512"/>
    <cellStyle name="Normal 316 2" xfId="4558"/>
    <cellStyle name="Normal 316 3" xfId="52159"/>
    <cellStyle name="Normal 317" xfId="2513"/>
    <cellStyle name="Normal 317 2" xfId="4559"/>
    <cellStyle name="Normal 317 3" xfId="52160"/>
    <cellStyle name="Normal 318" xfId="2514"/>
    <cellStyle name="Normal 318 2" xfId="4560"/>
    <cellStyle name="Normal 318 3" xfId="52161"/>
    <cellStyle name="Normal 319" xfId="2515"/>
    <cellStyle name="Normal 319 2" xfId="4561"/>
    <cellStyle name="Normal 319 2 2" xfId="8544"/>
    <cellStyle name="Normal 319 2 2 2" xfId="16334"/>
    <cellStyle name="Normal 319 2 2 2 2" xfId="33955"/>
    <cellStyle name="Normal 319 2 2 3" xfId="26931"/>
    <cellStyle name="Normal 319 2 3" xfId="12805"/>
    <cellStyle name="Normal 319 2 3 2" xfId="30446"/>
    <cellStyle name="Normal 319 2 4" xfId="24070"/>
    <cellStyle name="Normal 319 3" xfId="5860"/>
    <cellStyle name="Normal 319 3 2" xfId="9157"/>
    <cellStyle name="Normal 319 3 2 2" xfId="16946"/>
    <cellStyle name="Normal 319 3 2 2 2" xfId="34568"/>
    <cellStyle name="Normal 319 3 2 3" xfId="27531"/>
    <cellStyle name="Normal 319 3 3" xfId="13710"/>
    <cellStyle name="Normal 319 3 3 2" xfId="31336"/>
    <cellStyle name="Normal 319 3 4" xfId="24670"/>
    <cellStyle name="Normal 319 4" xfId="6490"/>
    <cellStyle name="Normal 319 4 2" xfId="9697"/>
    <cellStyle name="Normal 319 4 2 2" xfId="17485"/>
    <cellStyle name="Normal 319 4 2 2 2" xfId="35108"/>
    <cellStyle name="Normal 319 4 2 3" xfId="28067"/>
    <cellStyle name="Normal 319 4 3" xfId="14273"/>
    <cellStyle name="Normal 319 4 3 2" xfId="31894"/>
    <cellStyle name="Normal 319 4 4" xfId="25206"/>
    <cellStyle name="Normal 319 5" xfId="7265"/>
    <cellStyle name="Normal 319 5 2" xfId="10250"/>
    <cellStyle name="Normal 319 5 2 2" xfId="18037"/>
    <cellStyle name="Normal 319 5 2 2 2" xfId="35660"/>
    <cellStyle name="Normal 319 5 2 3" xfId="28603"/>
    <cellStyle name="Normal 319 5 3" xfId="15047"/>
    <cellStyle name="Normal 319 5 3 2" xfId="32668"/>
    <cellStyle name="Normal 319 5 4" xfId="25743"/>
    <cellStyle name="Normal 319 6" xfId="7863"/>
    <cellStyle name="Normal 319 6 2" xfId="15654"/>
    <cellStyle name="Normal 319 6 2 2" xfId="33275"/>
    <cellStyle name="Normal 319 6 3" xfId="26265"/>
    <cellStyle name="Normal 319 7" xfId="11800"/>
    <cellStyle name="Normal 319 7 2" xfId="29472"/>
    <cellStyle name="Normal 319 8" xfId="23404"/>
    <cellStyle name="Normal 319 9" xfId="52162"/>
    <cellStyle name="Normal 32" xfId="2516"/>
    <cellStyle name="Normal 32 2" xfId="2517"/>
    <cellStyle name="Normal 32 2 2" xfId="2518"/>
    <cellStyle name="Normal 32 2 3" xfId="22977"/>
    <cellStyle name="Normal 32 2 4" xfId="22758"/>
    <cellStyle name="Normal 32 2 4 2" xfId="38951"/>
    <cellStyle name="Normal 32 2_Sheet1" xfId="2519"/>
    <cellStyle name="Normal 32 3" xfId="2520"/>
    <cellStyle name="Normal 32 4" xfId="22976"/>
    <cellStyle name="Normal 32 5" xfId="22549"/>
    <cellStyle name="Normal 32 5 2" xfId="38846"/>
    <cellStyle name="Normal 32 6" xfId="53226"/>
    <cellStyle name="Normal 32_Sheet1" xfId="2521"/>
    <cellStyle name="Normal 320" xfId="2522"/>
    <cellStyle name="Normal 320 2" xfId="4562"/>
    <cellStyle name="Normal 320 2 2" xfId="8545"/>
    <cellStyle name="Normal 320 2 2 2" xfId="16335"/>
    <cellStyle name="Normal 320 2 2 2 2" xfId="33956"/>
    <cellStyle name="Normal 320 2 2 3" xfId="26932"/>
    <cellStyle name="Normal 320 2 3" xfId="12806"/>
    <cellStyle name="Normal 320 2 3 2" xfId="30447"/>
    <cellStyle name="Normal 320 2 4" xfId="24071"/>
    <cellStyle name="Normal 320 3" xfId="5861"/>
    <cellStyle name="Normal 320 3 2" xfId="9158"/>
    <cellStyle name="Normal 320 3 2 2" xfId="16947"/>
    <cellStyle name="Normal 320 3 2 2 2" xfId="34569"/>
    <cellStyle name="Normal 320 3 2 3" xfId="27532"/>
    <cellStyle name="Normal 320 3 3" xfId="13711"/>
    <cellStyle name="Normal 320 3 3 2" xfId="31337"/>
    <cellStyle name="Normal 320 3 4" xfId="24671"/>
    <cellStyle name="Normal 320 4" xfId="6491"/>
    <cellStyle name="Normal 320 4 2" xfId="9698"/>
    <cellStyle name="Normal 320 4 2 2" xfId="17486"/>
    <cellStyle name="Normal 320 4 2 2 2" xfId="35109"/>
    <cellStyle name="Normal 320 4 2 3" xfId="28068"/>
    <cellStyle name="Normal 320 4 3" xfId="14274"/>
    <cellStyle name="Normal 320 4 3 2" xfId="31895"/>
    <cellStyle name="Normal 320 4 4" xfId="25207"/>
    <cellStyle name="Normal 320 5" xfId="7266"/>
    <cellStyle name="Normal 320 5 2" xfId="10251"/>
    <cellStyle name="Normal 320 5 2 2" xfId="18038"/>
    <cellStyle name="Normal 320 5 2 2 2" xfId="35661"/>
    <cellStyle name="Normal 320 5 2 3" xfId="28604"/>
    <cellStyle name="Normal 320 5 3" xfId="15048"/>
    <cellStyle name="Normal 320 5 3 2" xfId="32669"/>
    <cellStyle name="Normal 320 5 4" xfId="25744"/>
    <cellStyle name="Normal 320 6" xfId="7864"/>
    <cellStyle name="Normal 320 6 2" xfId="15655"/>
    <cellStyle name="Normal 320 6 2 2" xfId="33276"/>
    <cellStyle name="Normal 320 6 3" xfId="26266"/>
    <cellStyle name="Normal 320 7" xfId="11802"/>
    <cellStyle name="Normal 320 7 2" xfId="29474"/>
    <cellStyle name="Normal 320 8" xfId="23405"/>
    <cellStyle name="Normal 320 9" xfId="52163"/>
    <cellStyle name="Normal 321" xfId="2523"/>
    <cellStyle name="Normal 321 2" xfId="4563"/>
    <cellStyle name="Normal 321 2 2" xfId="8546"/>
    <cellStyle name="Normal 321 2 2 2" xfId="16336"/>
    <cellStyle name="Normal 321 2 2 2 2" xfId="33957"/>
    <cellStyle name="Normal 321 2 2 3" xfId="26933"/>
    <cellStyle name="Normal 321 2 3" xfId="12807"/>
    <cellStyle name="Normal 321 2 3 2" xfId="30448"/>
    <cellStyle name="Normal 321 2 4" xfId="24072"/>
    <cellStyle name="Normal 321 3" xfId="5862"/>
    <cellStyle name="Normal 321 3 2" xfId="9159"/>
    <cellStyle name="Normal 321 3 2 2" xfId="16948"/>
    <cellStyle name="Normal 321 3 2 2 2" xfId="34570"/>
    <cellStyle name="Normal 321 3 2 3" xfId="27533"/>
    <cellStyle name="Normal 321 3 3" xfId="13712"/>
    <cellStyle name="Normal 321 3 3 2" xfId="31338"/>
    <cellStyle name="Normal 321 3 4" xfId="24672"/>
    <cellStyle name="Normal 321 4" xfId="6492"/>
    <cellStyle name="Normal 321 4 2" xfId="9699"/>
    <cellStyle name="Normal 321 4 2 2" xfId="17487"/>
    <cellStyle name="Normal 321 4 2 2 2" xfId="35110"/>
    <cellStyle name="Normal 321 4 2 3" xfId="28069"/>
    <cellStyle name="Normal 321 4 3" xfId="14275"/>
    <cellStyle name="Normal 321 4 3 2" xfId="31896"/>
    <cellStyle name="Normal 321 4 4" xfId="25208"/>
    <cellStyle name="Normal 321 5" xfId="7267"/>
    <cellStyle name="Normal 321 5 2" xfId="10252"/>
    <cellStyle name="Normal 321 5 2 2" xfId="18039"/>
    <cellStyle name="Normal 321 5 2 2 2" xfId="35662"/>
    <cellStyle name="Normal 321 5 2 3" xfId="28605"/>
    <cellStyle name="Normal 321 5 3" xfId="15049"/>
    <cellStyle name="Normal 321 5 3 2" xfId="32670"/>
    <cellStyle name="Normal 321 5 4" xfId="25745"/>
    <cellStyle name="Normal 321 6" xfId="7865"/>
    <cellStyle name="Normal 321 6 2" xfId="15656"/>
    <cellStyle name="Normal 321 6 2 2" xfId="33277"/>
    <cellStyle name="Normal 321 6 3" xfId="26267"/>
    <cellStyle name="Normal 321 7" xfId="11803"/>
    <cellStyle name="Normal 321 7 2" xfId="29475"/>
    <cellStyle name="Normal 321 8" xfId="23406"/>
    <cellStyle name="Normal 321 9" xfId="52164"/>
    <cellStyle name="Normal 322" xfId="2524"/>
    <cellStyle name="Normal 322 2" xfId="4564"/>
    <cellStyle name="Normal 322 2 2" xfId="8547"/>
    <cellStyle name="Normal 322 2 2 2" xfId="16337"/>
    <cellStyle name="Normal 322 2 2 2 2" xfId="33958"/>
    <cellStyle name="Normal 322 2 2 3" xfId="26934"/>
    <cellStyle name="Normal 322 2 3" xfId="12808"/>
    <cellStyle name="Normal 322 2 3 2" xfId="30449"/>
    <cellStyle name="Normal 322 2 4" xfId="24073"/>
    <cellStyle name="Normal 322 3" xfId="5863"/>
    <cellStyle name="Normal 322 3 2" xfId="9160"/>
    <cellStyle name="Normal 322 3 2 2" xfId="16949"/>
    <cellStyle name="Normal 322 3 2 2 2" xfId="34571"/>
    <cellStyle name="Normal 322 3 2 3" xfId="27534"/>
    <cellStyle name="Normal 322 3 3" xfId="13713"/>
    <cellStyle name="Normal 322 3 3 2" xfId="31339"/>
    <cellStyle name="Normal 322 3 4" xfId="24673"/>
    <cellStyle name="Normal 322 4" xfId="6493"/>
    <cellStyle name="Normal 322 4 2" xfId="9700"/>
    <cellStyle name="Normal 322 4 2 2" xfId="17488"/>
    <cellStyle name="Normal 322 4 2 2 2" xfId="35111"/>
    <cellStyle name="Normal 322 4 2 3" xfId="28070"/>
    <cellStyle name="Normal 322 4 3" xfId="14276"/>
    <cellStyle name="Normal 322 4 3 2" xfId="31897"/>
    <cellStyle name="Normal 322 4 4" xfId="25209"/>
    <cellStyle name="Normal 322 5" xfId="7268"/>
    <cellStyle name="Normal 322 5 2" xfId="10253"/>
    <cellStyle name="Normal 322 5 2 2" xfId="18040"/>
    <cellStyle name="Normal 322 5 2 2 2" xfId="35663"/>
    <cellStyle name="Normal 322 5 2 3" xfId="28606"/>
    <cellStyle name="Normal 322 5 3" xfId="15050"/>
    <cellStyle name="Normal 322 5 3 2" xfId="32671"/>
    <cellStyle name="Normal 322 5 4" xfId="25746"/>
    <cellStyle name="Normal 322 6" xfId="7866"/>
    <cellStyle name="Normal 322 6 2" xfId="15657"/>
    <cellStyle name="Normal 322 6 2 2" xfId="33278"/>
    <cellStyle name="Normal 322 6 3" xfId="26268"/>
    <cellStyle name="Normal 322 7" xfId="11804"/>
    <cellStyle name="Normal 322 7 2" xfId="29476"/>
    <cellStyle name="Normal 322 8" xfId="23407"/>
    <cellStyle name="Normal 322 9" xfId="52165"/>
    <cellStyle name="Normal 323" xfId="2525"/>
    <cellStyle name="Normal 323 2" xfId="4565"/>
    <cellStyle name="Normal 323 2 2" xfId="8548"/>
    <cellStyle name="Normal 323 2 2 2" xfId="16338"/>
    <cellStyle name="Normal 323 2 2 2 2" xfId="33959"/>
    <cellStyle name="Normal 323 2 2 3" xfId="26935"/>
    <cellStyle name="Normal 323 2 3" xfId="12809"/>
    <cellStyle name="Normal 323 2 3 2" xfId="30450"/>
    <cellStyle name="Normal 323 2 4" xfId="24074"/>
    <cellStyle name="Normal 323 3" xfId="5864"/>
    <cellStyle name="Normal 323 3 2" xfId="9161"/>
    <cellStyle name="Normal 323 3 2 2" xfId="16950"/>
    <cellStyle name="Normal 323 3 2 2 2" xfId="34572"/>
    <cellStyle name="Normal 323 3 2 3" xfId="27535"/>
    <cellStyle name="Normal 323 3 3" xfId="13714"/>
    <cellStyle name="Normal 323 3 3 2" xfId="31340"/>
    <cellStyle name="Normal 323 3 4" xfId="24674"/>
    <cellStyle name="Normal 323 4" xfId="6494"/>
    <cellStyle name="Normal 323 4 2" xfId="9701"/>
    <cellStyle name="Normal 323 4 2 2" xfId="17489"/>
    <cellStyle name="Normal 323 4 2 2 2" xfId="35112"/>
    <cellStyle name="Normal 323 4 2 3" xfId="28071"/>
    <cellStyle name="Normal 323 4 3" xfId="14277"/>
    <cellStyle name="Normal 323 4 3 2" xfId="31898"/>
    <cellStyle name="Normal 323 4 4" xfId="25210"/>
    <cellStyle name="Normal 323 5" xfId="7269"/>
    <cellStyle name="Normal 323 5 2" xfId="10254"/>
    <cellStyle name="Normal 323 5 2 2" xfId="18041"/>
    <cellStyle name="Normal 323 5 2 2 2" xfId="35664"/>
    <cellStyle name="Normal 323 5 2 3" xfId="28607"/>
    <cellStyle name="Normal 323 5 3" xfId="15051"/>
    <cellStyle name="Normal 323 5 3 2" xfId="32672"/>
    <cellStyle name="Normal 323 5 4" xfId="25747"/>
    <cellStyle name="Normal 323 6" xfId="7867"/>
    <cellStyle name="Normal 323 6 2" xfId="15658"/>
    <cellStyle name="Normal 323 6 2 2" xfId="33279"/>
    <cellStyle name="Normal 323 6 3" xfId="26269"/>
    <cellStyle name="Normal 323 7" xfId="11805"/>
    <cellStyle name="Normal 323 7 2" xfId="29477"/>
    <cellStyle name="Normal 323 8" xfId="23408"/>
    <cellStyle name="Normal 323 9" xfId="52166"/>
    <cellStyle name="Normal 324" xfId="2526"/>
    <cellStyle name="Normal 324 2" xfId="4566"/>
    <cellStyle name="Normal 324 2 2" xfId="8549"/>
    <cellStyle name="Normal 324 2 2 2" xfId="16339"/>
    <cellStyle name="Normal 324 2 2 2 2" xfId="33960"/>
    <cellStyle name="Normal 324 2 2 3" xfId="26936"/>
    <cellStyle name="Normal 324 2 3" xfId="12810"/>
    <cellStyle name="Normal 324 2 3 2" xfId="30451"/>
    <cellStyle name="Normal 324 2 4" xfId="24075"/>
    <cellStyle name="Normal 324 3" xfId="5865"/>
    <cellStyle name="Normal 324 3 2" xfId="9162"/>
    <cellStyle name="Normal 324 3 2 2" xfId="16951"/>
    <cellStyle name="Normal 324 3 2 2 2" xfId="34573"/>
    <cellStyle name="Normal 324 3 2 3" xfId="27536"/>
    <cellStyle name="Normal 324 3 3" xfId="13715"/>
    <cellStyle name="Normal 324 3 3 2" xfId="31341"/>
    <cellStyle name="Normal 324 3 4" xfId="24675"/>
    <cellStyle name="Normal 324 4" xfId="6495"/>
    <cellStyle name="Normal 324 4 2" xfId="9702"/>
    <cellStyle name="Normal 324 4 2 2" xfId="17490"/>
    <cellStyle name="Normal 324 4 2 2 2" xfId="35113"/>
    <cellStyle name="Normal 324 4 2 3" xfId="28072"/>
    <cellStyle name="Normal 324 4 3" xfId="14278"/>
    <cellStyle name="Normal 324 4 3 2" xfId="31899"/>
    <cellStyle name="Normal 324 4 4" xfId="25211"/>
    <cellStyle name="Normal 324 5" xfId="7270"/>
    <cellStyle name="Normal 324 5 2" xfId="10255"/>
    <cellStyle name="Normal 324 5 2 2" xfId="18042"/>
    <cellStyle name="Normal 324 5 2 2 2" xfId="35665"/>
    <cellStyle name="Normal 324 5 2 3" xfId="28608"/>
    <cellStyle name="Normal 324 5 3" xfId="15052"/>
    <cellStyle name="Normal 324 5 3 2" xfId="32673"/>
    <cellStyle name="Normal 324 5 4" xfId="25748"/>
    <cellStyle name="Normal 324 6" xfId="7868"/>
    <cellStyle name="Normal 324 6 2" xfId="15659"/>
    <cellStyle name="Normal 324 6 2 2" xfId="33280"/>
    <cellStyle name="Normal 324 6 3" xfId="26270"/>
    <cellStyle name="Normal 324 7" xfId="11806"/>
    <cellStyle name="Normal 324 7 2" xfId="29478"/>
    <cellStyle name="Normal 324 8" xfId="23409"/>
    <cellStyle name="Normal 324 9" xfId="52167"/>
    <cellStyle name="Normal 325" xfId="2527"/>
    <cellStyle name="Normal 325 2" xfId="4567"/>
    <cellStyle name="Normal 325 2 2" xfId="8550"/>
    <cellStyle name="Normal 325 2 2 2" xfId="16340"/>
    <cellStyle name="Normal 325 2 2 2 2" xfId="33961"/>
    <cellStyle name="Normal 325 2 2 3" xfId="26937"/>
    <cellStyle name="Normal 325 2 3" xfId="12811"/>
    <cellStyle name="Normal 325 2 3 2" xfId="30452"/>
    <cellStyle name="Normal 325 2 4" xfId="24076"/>
    <cellStyle name="Normal 325 3" xfId="5866"/>
    <cellStyle name="Normal 325 3 2" xfId="9163"/>
    <cellStyle name="Normal 325 3 2 2" xfId="16952"/>
    <cellStyle name="Normal 325 3 2 2 2" xfId="34574"/>
    <cellStyle name="Normal 325 3 2 3" xfId="27537"/>
    <cellStyle name="Normal 325 3 3" xfId="13716"/>
    <cellStyle name="Normal 325 3 3 2" xfId="31342"/>
    <cellStyle name="Normal 325 3 4" xfId="24676"/>
    <cellStyle name="Normal 325 4" xfId="6496"/>
    <cellStyle name="Normal 325 4 2" xfId="9703"/>
    <cellStyle name="Normal 325 4 2 2" xfId="17491"/>
    <cellStyle name="Normal 325 4 2 2 2" xfId="35114"/>
    <cellStyle name="Normal 325 4 2 3" xfId="28073"/>
    <cellStyle name="Normal 325 4 3" xfId="14279"/>
    <cellStyle name="Normal 325 4 3 2" xfId="31900"/>
    <cellStyle name="Normal 325 4 4" xfId="25212"/>
    <cellStyle name="Normal 325 5" xfId="7271"/>
    <cellStyle name="Normal 325 5 2" xfId="10256"/>
    <cellStyle name="Normal 325 5 2 2" xfId="18043"/>
    <cellStyle name="Normal 325 5 2 2 2" xfId="35666"/>
    <cellStyle name="Normal 325 5 2 3" xfId="28609"/>
    <cellStyle name="Normal 325 5 3" xfId="15053"/>
    <cellStyle name="Normal 325 5 3 2" xfId="32674"/>
    <cellStyle name="Normal 325 5 4" xfId="25749"/>
    <cellStyle name="Normal 325 6" xfId="7869"/>
    <cellStyle name="Normal 325 6 2" xfId="15660"/>
    <cellStyle name="Normal 325 6 2 2" xfId="33281"/>
    <cellStyle name="Normal 325 6 3" xfId="26271"/>
    <cellStyle name="Normal 325 7" xfId="11807"/>
    <cellStyle name="Normal 325 7 2" xfId="29479"/>
    <cellStyle name="Normal 325 8" xfId="23410"/>
    <cellStyle name="Normal 325 9" xfId="52168"/>
    <cellStyle name="Normal 326" xfId="2528"/>
    <cellStyle name="Normal 326 2" xfId="4568"/>
    <cellStyle name="Normal 326 2 2" xfId="8551"/>
    <cellStyle name="Normal 326 2 2 2" xfId="16341"/>
    <cellStyle name="Normal 326 2 2 2 2" xfId="33962"/>
    <cellStyle name="Normal 326 2 2 3" xfId="26938"/>
    <cellStyle name="Normal 326 2 3" xfId="12812"/>
    <cellStyle name="Normal 326 2 3 2" xfId="30453"/>
    <cellStyle name="Normal 326 2 4" xfId="24077"/>
    <cellStyle name="Normal 326 3" xfId="5867"/>
    <cellStyle name="Normal 326 3 2" xfId="9164"/>
    <cellStyle name="Normal 326 3 2 2" xfId="16953"/>
    <cellStyle name="Normal 326 3 2 2 2" xfId="34575"/>
    <cellStyle name="Normal 326 3 2 3" xfId="27538"/>
    <cellStyle name="Normal 326 3 3" xfId="13717"/>
    <cellStyle name="Normal 326 3 3 2" xfId="31343"/>
    <cellStyle name="Normal 326 3 4" xfId="24677"/>
    <cellStyle name="Normal 326 4" xfId="6497"/>
    <cellStyle name="Normal 326 4 2" xfId="9704"/>
    <cellStyle name="Normal 326 4 2 2" xfId="17492"/>
    <cellStyle name="Normal 326 4 2 2 2" xfId="35115"/>
    <cellStyle name="Normal 326 4 2 3" xfId="28074"/>
    <cellStyle name="Normal 326 4 3" xfId="14280"/>
    <cellStyle name="Normal 326 4 3 2" xfId="31901"/>
    <cellStyle name="Normal 326 4 4" xfId="25213"/>
    <cellStyle name="Normal 326 5" xfId="7272"/>
    <cellStyle name="Normal 326 5 2" xfId="10257"/>
    <cellStyle name="Normal 326 5 2 2" xfId="18044"/>
    <cellStyle name="Normal 326 5 2 2 2" xfId="35667"/>
    <cellStyle name="Normal 326 5 2 3" xfId="28610"/>
    <cellStyle name="Normal 326 5 3" xfId="15054"/>
    <cellStyle name="Normal 326 5 3 2" xfId="32675"/>
    <cellStyle name="Normal 326 5 4" xfId="25750"/>
    <cellStyle name="Normal 326 6" xfId="7870"/>
    <cellStyle name="Normal 326 6 2" xfId="15661"/>
    <cellStyle name="Normal 326 6 2 2" xfId="33282"/>
    <cellStyle name="Normal 326 6 3" xfId="26272"/>
    <cellStyle name="Normal 326 7" xfId="11808"/>
    <cellStyle name="Normal 326 7 2" xfId="29480"/>
    <cellStyle name="Normal 326 8" xfId="23411"/>
    <cellStyle name="Normal 326 9" xfId="52169"/>
    <cellStyle name="Normal 327" xfId="2529"/>
    <cellStyle name="Normal 327 2" xfId="4569"/>
    <cellStyle name="Normal 327 2 2" xfId="8552"/>
    <cellStyle name="Normal 327 2 2 2" xfId="16342"/>
    <cellStyle name="Normal 327 2 2 2 2" xfId="33963"/>
    <cellStyle name="Normal 327 2 2 3" xfId="26939"/>
    <cellStyle name="Normal 327 2 3" xfId="12813"/>
    <cellStyle name="Normal 327 2 3 2" xfId="30454"/>
    <cellStyle name="Normal 327 2 4" xfId="24078"/>
    <cellStyle name="Normal 327 3" xfId="5868"/>
    <cellStyle name="Normal 327 3 2" xfId="9165"/>
    <cellStyle name="Normal 327 3 2 2" xfId="16954"/>
    <cellStyle name="Normal 327 3 2 2 2" xfId="34576"/>
    <cellStyle name="Normal 327 3 2 3" xfId="27539"/>
    <cellStyle name="Normal 327 3 3" xfId="13718"/>
    <cellStyle name="Normal 327 3 3 2" xfId="31344"/>
    <cellStyle name="Normal 327 3 4" xfId="24678"/>
    <cellStyle name="Normal 327 4" xfId="6498"/>
    <cellStyle name="Normal 327 4 2" xfId="9705"/>
    <cellStyle name="Normal 327 4 2 2" xfId="17493"/>
    <cellStyle name="Normal 327 4 2 2 2" xfId="35116"/>
    <cellStyle name="Normal 327 4 2 3" xfId="28075"/>
    <cellStyle name="Normal 327 4 3" xfId="14281"/>
    <cellStyle name="Normal 327 4 3 2" xfId="31902"/>
    <cellStyle name="Normal 327 4 4" xfId="25214"/>
    <cellStyle name="Normal 327 5" xfId="7273"/>
    <cellStyle name="Normal 327 5 2" xfId="10258"/>
    <cellStyle name="Normal 327 5 2 2" xfId="18045"/>
    <cellStyle name="Normal 327 5 2 2 2" xfId="35668"/>
    <cellStyle name="Normal 327 5 2 3" xfId="28611"/>
    <cellStyle name="Normal 327 5 3" xfId="15055"/>
    <cellStyle name="Normal 327 5 3 2" xfId="32676"/>
    <cellStyle name="Normal 327 5 4" xfId="25751"/>
    <cellStyle name="Normal 327 6" xfId="7871"/>
    <cellStyle name="Normal 327 6 2" xfId="15662"/>
    <cellStyle name="Normal 327 6 2 2" xfId="33283"/>
    <cellStyle name="Normal 327 6 3" xfId="26273"/>
    <cellStyle name="Normal 327 7" xfId="11809"/>
    <cellStyle name="Normal 327 7 2" xfId="29481"/>
    <cellStyle name="Normal 327 8" xfId="23412"/>
    <cellStyle name="Normal 327 9" xfId="52170"/>
    <cellStyle name="Normal 328" xfId="2530"/>
    <cellStyle name="Normal 328 2" xfId="4570"/>
    <cellStyle name="Normal 328 2 2" xfId="8553"/>
    <cellStyle name="Normal 328 2 2 2" xfId="16343"/>
    <cellStyle name="Normal 328 2 2 2 2" xfId="33964"/>
    <cellStyle name="Normal 328 2 2 3" xfId="26940"/>
    <cellStyle name="Normal 328 2 3" xfId="12814"/>
    <cellStyle name="Normal 328 2 3 2" xfId="30455"/>
    <cellStyle name="Normal 328 2 4" xfId="24079"/>
    <cellStyle name="Normal 328 3" xfId="5869"/>
    <cellStyle name="Normal 328 3 2" xfId="9166"/>
    <cellStyle name="Normal 328 3 2 2" xfId="16955"/>
    <cellStyle name="Normal 328 3 2 2 2" xfId="34577"/>
    <cellStyle name="Normal 328 3 2 3" xfId="27540"/>
    <cellStyle name="Normal 328 3 3" xfId="13719"/>
    <cellStyle name="Normal 328 3 3 2" xfId="31345"/>
    <cellStyle name="Normal 328 3 4" xfId="24679"/>
    <cellStyle name="Normal 328 4" xfId="6499"/>
    <cellStyle name="Normal 328 4 2" xfId="9706"/>
    <cellStyle name="Normal 328 4 2 2" xfId="17494"/>
    <cellStyle name="Normal 328 4 2 2 2" xfId="35117"/>
    <cellStyle name="Normal 328 4 2 3" xfId="28076"/>
    <cellStyle name="Normal 328 4 3" xfId="14282"/>
    <cellStyle name="Normal 328 4 3 2" xfId="31903"/>
    <cellStyle name="Normal 328 4 4" xfId="25215"/>
    <cellStyle name="Normal 328 5" xfId="7274"/>
    <cellStyle name="Normal 328 5 2" xfId="10259"/>
    <cellStyle name="Normal 328 5 2 2" xfId="18046"/>
    <cellStyle name="Normal 328 5 2 2 2" xfId="35669"/>
    <cellStyle name="Normal 328 5 2 3" xfId="28612"/>
    <cellStyle name="Normal 328 5 3" xfId="15056"/>
    <cellStyle name="Normal 328 5 3 2" xfId="32677"/>
    <cellStyle name="Normal 328 5 4" xfId="25752"/>
    <cellStyle name="Normal 328 6" xfId="7872"/>
    <cellStyle name="Normal 328 6 2" xfId="15663"/>
    <cellStyle name="Normal 328 6 2 2" xfId="33284"/>
    <cellStyle name="Normal 328 6 3" xfId="26274"/>
    <cellStyle name="Normal 328 7" xfId="11810"/>
    <cellStyle name="Normal 328 7 2" xfId="29482"/>
    <cellStyle name="Normal 328 8" xfId="23413"/>
    <cellStyle name="Normal 328 9" xfId="52171"/>
    <cellStyle name="Normal 329" xfId="2531"/>
    <cellStyle name="Normal 329 2" xfId="4571"/>
    <cellStyle name="Normal 329 2 2" xfId="8554"/>
    <cellStyle name="Normal 329 2 2 2" xfId="16344"/>
    <cellStyle name="Normal 329 2 2 2 2" xfId="33965"/>
    <cellStyle name="Normal 329 2 2 3" xfId="26941"/>
    <cellStyle name="Normal 329 2 3" xfId="12815"/>
    <cellStyle name="Normal 329 2 3 2" xfId="30456"/>
    <cellStyle name="Normal 329 2 4" xfId="24080"/>
    <cellStyle name="Normal 329 3" xfId="5870"/>
    <cellStyle name="Normal 329 3 2" xfId="9167"/>
    <cellStyle name="Normal 329 3 2 2" xfId="16956"/>
    <cellStyle name="Normal 329 3 2 2 2" xfId="34578"/>
    <cellStyle name="Normal 329 3 2 3" xfId="27541"/>
    <cellStyle name="Normal 329 3 3" xfId="13720"/>
    <cellStyle name="Normal 329 3 3 2" xfId="31346"/>
    <cellStyle name="Normal 329 3 4" xfId="24680"/>
    <cellStyle name="Normal 329 4" xfId="6500"/>
    <cellStyle name="Normal 329 4 2" xfId="9707"/>
    <cellStyle name="Normal 329 4 2 2" xfId="17495"/>
    <cellStyle name="Normal 329 4 2 2 2" xfId="35118"/>
    <cellStyle name="Normal 329 4 2 3" xfId="28077"/>
    <cellStyle name="Normal 329 4 3" xfId="14283"/>
    <cellStyle name="Normal 329 4 3 2" xfId="31904"/>
    <cellStyle name="Normal 329 4 4" xfId="25216"/>
    <cellStyle name="Normal 329 5" xfId="7275"/>
    <cellStyle name="Normal 329 5 2" xfId="10260"/>
    <cellStyle name="Normal 329 5 2 2" xfId="18047"/>
    <cellStyle name="Normal 329 5 2 2 2" xfId="35670"/>
    <cellStyle name="Normal 329 5 2 3" xfId="28613"/>
    <cellStyle name="Normal 329 5 3" xfId="15057"/>
    <cellStyle name="Normal 329 5 3 2" xfId="32678"/>
    <cellStyle name="Normal 329 5 4" xfId="25753"/>
    <cellStyle name="Normal 329 6" xfId="7873"/>
    <cellStyle name="Normal 329 6 2" xfId="15664"/>
    <cellStyle name="Normal 329 6 2 2" xfId="33285"/>
    <cellStyle name="Normal 329 6 3" xfId="26275"/>
    <cellStyle name="Normal 329 7" xfId="11811"/>
    <cellStyle name="Normal 329 7 2" xfId="29483"/>
    <cellStyle name="Normal 329 8" xfId="23414"/>
    <cellStyle name="Normal 329 9" xfId="52172"/>
    <cellStyle name="Normal 33" xfId="2532"/>
    <cellStyle name="Normal 33 10" xfId="2533"/>
    <cellStyle name="Normal 33 10 2" xfId="2534"/>
    <cellStyle name="Normal 33 10 2 2" xfId="4573"/>
    <cellStyle name="Normal 33 10 2 3" xfId="52174"/>
    <cellStyle name="Normal 33 10 3" xfId="4572"/>
    <cellStyle name="Normal 33 10 4" xfId="52173"/>
    <cellStyle name="Normal 33 11" xfId="2535"/>
    <cellStyle name="Normal 33 11 2" xfId="2536"/>
    <cellStyle name="Normal 33 11 2 2" xfId="4575"/>
    <cellStyle name="Normal 33 11 2 3" xfId="52176"/>
    <cellStyle name="Normal 33 11 3" xfId="4574"/>
    <cellStyle name="Normal 33 11 4" xfId="52175"/>
    <cellStyle name="Normal 33 12" xfId="2537"/>
    <cellStyle name="Normal 33 12 2" xfId="2538"/>
    <cellStyle name="Normal 33 12 2 2" xfId="4577"/>
    <cellStyle name="Normal 33 12 2 3" xfId="52178"/>
    <cellStyle name="Normal 33 12 3" xfId="2539"/>
    <cellStyle name="Normal 33 12 3 2" xfId="2540"/>
    <cellStyle name="Normal 33 12 3 2 2" xfId="4579"/>
    <cellStyle name="Normal 33 12 3 2 3" xfId="52180"/>
    <cellStyle name="Normal 33 12 3 3" xfId="2541"/>
    <cellStyle name="Normal 33 12 3 3 2" xfId="2542"/>
    <cellStyle name="Normal 33 12 3 3 2 2" xfId="4581"/>
    <cellStyle name="Normal 33 12 3 3 2 3" xfId="52182"/>
    <cellStyle name="Normal 33 12 3 3 3" xfId="4580"/>
    <cellStyle name="Normal 33 12 3 3 4" xfId="52181"/>
    <cellStyle name="Normal 33 12 3 4" xfId="4582"/>
    <cellStyle name="Normal 33 12 3 5" xfId="4578"/>
    <cellStyle name="Normal 33 12 3 6" xfId="52179"/>
    <cellStyle name="Normal 33 12 4" xfId="4576"/>
    <cellStyle name="Normal 33 12 5" xfId="52177"/>
    <cellStyle name="Normal 33 13" xfId="2543"/>
    <cellStyle name="Normal 33 13 2" xfId="2544"/>
    <cellStyle name="Normal 33 13 2 2" xfId="4584"/>
    <cellStyle name="Normal 33 13 2 3" xfId="52184"/>
    <cellStyle name="Normal 33 13 3" xfId="2545"/>
    <cellStyle name="Normal 33 13 3 2" xfId="4585"/>
    <cellStyle name="Normal 33 13 3 3" xfId="52185"/>
    <cellStyle name="Normal 33 13 4" xfId="2546"/>
    <cellStyle name="Normal 33 13 5" xfId="4586"/>
    <cellStyle name="Normal 33 13 6" xfId="4587"/>
    <cellStyle name="Normal 33 13 7" xfId="4583"/>
    <cellStyle name="Normal 33 13 8" xfId="52183"/>
    <cellStyle name="Normal 33 14" xfId="2547"/>
    <cellStyle name="Normal 33 14 2" xfId="2548"/>
    <cellStyle name="Normal 33 14 2 2" xfId="4588"/>
    <cellStyle name="Normal 33 14 2 3" xfId="52187"/>
    <cellStyle name="Normal 33 14 3" xfId="2549"/>
    <cellStyle name="Normal 33 14 3 2" xfId="4590"/>
    <cellStyle name="Normal 33 14 3 3" xfId="4589"/>
    <cellStyle name="Normal 33 14 3 4" xfId="52188"/>
    <cellStyle name="Normal 33 14 4" xfId="2550"/>
    <cellStyle name="Normal 33 14 5" xfId="52186"/>
    <cellStyle name="Normal 33 15" xfId="2551"/>
    <cellStyle name="Normal 33 15 2" xfId="2552"/>
    <cellStyle name="Normal 33 15 3" xfId="52189"/>
    <cellStyle name="Normal 33 16" xfId="2553"/>
    <cellStyle name="Normal 33 16 2" xfId="2554"/>
    <cellStyle name="Normal 33 16 2 2" xfId="52191"/>
    <cellStyle name="Normal 33 16 3" xfId="2555"/>
    <cellStyle name="Normal 33 16 3 2" xfId="2556"/>
    <cellStyle name="Normal 33 16 3 3" xfId="2557"/>
    <cellStyle name="Normal 33 16 3 4" xfId="2558"/>
    <cellStyle name="Normal 33 16 4" xfId="52190"/>
    <cellStyle name="Normal 33 17" xfId="2559"/>
    <cellStyle name="Normal 33 17 2" xfId="2560"/>
    <cellStyle name="Normal 33 17 3" xfId="2561"/>
    <cellStyle name="Normal 33 18" xfId="2562"/>
    <cellStyle name="Normal 33 19" xfId="2563"/>
    <cellStyle name="Normal 33 2" xfId="2564"/>
    <cellStyle name="Normal 33 2 2" xfId="4591"/>
    <cellStyle name="Normal 33 2 3" xfId="22759"/>
    <cellStyle name="Normal 33 2 3 2" xfId="38952"/>
    <cellStyle name="Normal 33 2 4" xfId="52192"/>
    <cellStyle name="Normal 33 20" xfId="2565"/>
    <cellStyle name="Normal 33 3" xfId="2566"/>
    <cellStyle name="Normal 33 3 2" xfId="4592"/>
    <cellStyle name="Normal 33 3 3" xfId="52193"/>
    <cellStyle name="Normal 33 4" xfId="2567"/>
    <cellStyle name="Normal 33 4 2" xfId="4593"/>
    <cellStyle name="Normal 33 4 3" xfId="52194"/>
    <cellStyle name="Normal 33 5" xfId="2568"/>
    <cellStyle name="Normal 33 5 2" xfId="2569"/>
    <cellStyle name="Normal 33 5 2 2" xfId="4595"/>
    <cellStyle name="Normal 33 5 2 3" xfId="52196"/>
    <cellStyle name="Normal 33 5 3" xfId="4594"/>
    <cellStyle name="Normal 33 5 4" xfId="52195"/>
    <cellStyle name="Normal 33 5_BallGrid" xfId="2570"/>
    <cellStyle name="Normal 33 6" xfId="2571"/>
    <cellStyle name="Normal 33 6 2" xfId="2572"/>
    <cellStyle name="Normal 33 6 2 2" xfId="4597"/>
    <cellStyle name="Normal 33 6 2 3" xfId="52198"/>
    <cellStyle name="Normal 33 6 3" xfId="4596"/>
    <cellStyle name="Normal 33 6 4" xfId="52197"/>
    <cellStyle name="Normal 33 7" xfId="2573"/>
    <cellStyle name="Normal 33 7 2" xfId="2574"/>
    <cellStyle name="Normal 33 7 2 2" xfId="4599"/>
    <cellStyle name="Normal 33 7 2 3" xfId="52200"/>
    <cellStyle name="Normal 33 7 3" xfId="2575"/>
    <cellStyle name="Normal 33 7 3 2" xfId="4600"/>
    <cellStyle name="Normal 33 7 3 3" xfId="52201"/>
    <cellStyle name="Normal 33 7 4" xfId="2576"/>
    <cellStyle name="Normal 33 7 4 2" xfId="2577"/>
    <cellStyle name="Normal 33 7 4 2 2" xfId="4602"/>
    <cellStyle name="Normal 33 7 4 2 3" xfId="52203"/>
    <cellStyle name="Normal 33 7 4 3" xfId="4601"/>
    <cellStyle name="Normal 33 7 4 4" xfId="52202"/>
    <cellStyle name="Normal 33 7 5" xfId="2578"/>
    <cellStyle name="Normal 33 7 5 2" xfId="2579"/>
    <cellStyle name="Normal 33 7 5 2 2" xfId="4604"/>
    <cellStyle name="Normal 33 7 5 2 3" xfId="52205"/>
    <cellStyle name="Normal 33 7 5 3" xfId="2580"/>
    <cellStyle name="Normal 33 7 5 3 2" xfId="2581"/>
    <cellStyle name="Normal 33 7 5 3 2 2" xfId="4606"/>
    <cellStyle name="Normal 33 7 5 3 2 3" xfId="52207"/>
    <cellStyle name="Normal 33 7 5 3 3" xfId="2582"/>
    <cellStyle name="Normal 33 7 5 3 3 2" xfId="2583"/>
    <cellStyle name="Normal 33 7 5 3 3 2 2" xfId="4608"/>
    <cellStyle name="Normal 33 7 5 3 3 2 3" xfId="52209"/>
    <cellStyle name="Normal 33 7 5 3 3 3" xfId="4607"/>
    <cellStyle name="Normal 33 7 5 3 3 4" xfId="52208"/>
    <cellStyle name="Normal 33 7 5 3 4" xfId="4609"/>
    <cellStyle name="Normal 33 7 5 3 5" xfId="4605"/>
    <cellStyle name="Normal 33 7 5 3 6" xfId="52206"/>
    <cellStyle name="Normal 33 7 5 4" xfId="4603"/>
    <cellStyle name="Normal 33 7 5 5" xfId="52204"/>
    <cellStyle name="Normal 33 7 6" xfId="4598"/>
    <cellStyle name="Normal 33 7 7" xfId="22550"/>
    <cellStyle name="Normal 33 7 7 2" xfId="38847"/>
    <cellStyle name="Normal 33 7 8" xfId="52199"/>
    <cellStyle name="Normal 33 8" xfId="2584"/>
    <cellStyle name="Normal 33 8 2" xfId="2585"/>
    <cellStyle name="Normal 33 8 2 2" xfId="4611"/>
    <cellStyle name="Normal 33 8 2 3" xfId="52211"/>
    <cellStyle name="Normal 33 8 3" xfId="2586"/>
    <cellStyle name="Normal 33 8 3 2" xfId="2587"/>
    <cellStyle name="Normal 33 8 3 2 2" xfId="4613"/>
    <cellStyle name="Normal 33 8 3 2 3" xfId="52213"/>
    <cellStyle name="Normal 33 8 3 3" xfId="4612"/>
    <cellStyle name="Normal 33 8 3 4" xfId="52212"/>
    <cellStyle name="Normal 33 8 4" xfId="2588"/>
    <cellStyle name="Normal 33 8 4 2" xfId="2589"/>
    <cellStyle name="Normal 33 8 4 2 2" xfId="4615"/>
    <cellStyle name="Normal 33 8 4 2 3" xfId="52215"/>
    <cellStyle name="Normal 33 8 4 3" xfId="2590"/>
    <cellStyle name="Normal 33 8 4 3 2" xfId="2591"/>
    <cellStyle name="Normal 33 8 4 3 2 2" xfId="4617"/>
    <cellStyle name="Normal 33 8 4 3 2 3" xfId="52217"/>
    <cellStyle name="Normal 33 8 4 3 3" xfId="2592"/>
    <cellStyle name="Normal 33 8 4 3 3 2" xfId="2593"/>
    <cellStyle name="Normal 33 8 4 3 3 2 2" xfId="4619"/>
    <cellStyle name="Normal 33 8 4 3 3 2 3" xfId="52219"/>
    <cellStyle name="Normal 33 8 4 3 3 3" xfId="4618"/>
    <cellStyle name="Normal 33 8 4 3 3 4" xfId="52218"/>
    <cellStyle name="Normal 33 8 4 3 4" xfId="4620"/>
    <cellStyle name="Normal 33 8 4 3 5" xfId="4616"/>
    <cellStyle name="Normal 33 8 4 3 6" xfId="52216"/>
    <cellStyle name="Normal 33 8 4 4" xfId="4614"/>
    <cellStyle name="Normal 33 8 4 5" xfId="52214"/>
    <cellStyle name="Normal 33 8 5" xfId="4610"/>
    <cellStyle name="Normal 33 8 6" xfId="52210"/>
    <cellStyle name="Normal 33 9" xfId="2594"/>
    <cellStyle name="Normal 33 9 2" xfId="2595"/>
    <cellStyle name="Normal 33 9 2 2" xfId="4622"/>
    <cellStyle name="Normal 33 9 2 3" xfId="52221"/>
    <cellStyle name="Normal 33 9 3" xfId="2596"/>
    <cellStyle name="Normal 33 9 3 2" xfId="2597"/>
    <cellStyle name="Normal 33 9 3 2 2" xfId="4624"/>
    <cellStyle name="Normal 33 9 3 2 3" xfId="52223"/>
    <cellStyle name="Normal 33 9 3 3" xfId="4623"/>
    <cellStyle name="Normal 33 9 3 4" xfId="52222"/>
    <cellStyle name="Normal 33 9 4" xfId="2598"/>
    <cellStyle name="Normal 33 9 4 2" xfId="4625"/>
    <cellStyle name="Normal 33 9 4 3" xfId="52224"/>
    <cellStyle name="Normal 33 9 5" xfId="4621"/>
    <cellStyle name="Normal 33 9 6" xfId="52220"/>
    <cellStyle name="Normal 33_BallGrid" xfId="2599"/>
    <cellStyle name="Normal 330" xfId="2600"/>
    <cellStyle name="Normal 330 2" xfId="4626"/>
    <cellStyle name="Normal 330 2 2" xfId="8555"/>
    <cellStyle name="Normal 330 2 2 2" xfId="16345"/>
    <cellStyle name="Normal 330 2 2 2 2" xfId="33966"/>
    <cellStyle name="Normal 330 2 2 3" xfId="26942"/>
    <cellStyle name="Normal 330 2 3" xfId="12821"/>
    <cellStyle name="Normal 330 2 3 2" xfId="30462"/>
    <cellStyle name="Normal 330 2 4" xfId="24081"/>
    <cellStyle name="Normal 330 3" xfId="5871"/>
    <cellStyle name="Normal 330 3 2" xfId="9168"/>
    <cellStyle name="Normal 330 3 2 2" xfId="16957"/>
    <cellStyle name="Normal 330 3 2 2 2" xfId="34579"/>
    <cellStyle name="Normal 330 3 2 3" xfId="27542"/>
    <cellStyle name="Normal 330 3 3" xfId="13721"/>
    <cellStyle name="Normal 330 3 3 2" xfId="31347"/>
    <cellStyle name="Normal 330 3 4" xfId="24681"/>
    <cellStyle name="Normal 330 4" xfId="6501"/>
    <cellStyle name="Normal 330 4 2" xfId="9708"/>
    <cellStyle name="Normal 330 4 2 2" xfId="17496"/>
    <cellStyle name="Normal 330 4 2 2 2" xfId="35119"/>
    <cellStyle name="Normal 330 4 2 3" xfId="28078"/>
    <cellStyle name="Normal 330 4 3" xfId="14284"/>
    <cellStyle name="Normal 330 4 3 2" xfId="31905"/>
    <cellStyle name="Normal 330 4 4" xfId="25217"/>
    <cellStyle name="Normal 330 5" xfId="7276"/>
    <cellStyle name="Normal 330 5 2" xfId="10261"/>
    <cellStyle name="Normal 330 5 2 2" xfId="18048"/>
    <cellStyle name="Normal 330 5 2 2 2" xfId="35671"/>
    <cellStyle name="Normal 330 5 2 3" xfId="28614"/>
    <cellStyle name="Normal 330 5 3" xfId="15058"/>
    <cellStyle name="Normal 330 5 3 2" xfId="32679"/>
    <cellStyle name="Normal 330 5 4" xfId="25754"/>
    <cellStyle name="Normal 330 6" xfId="7874"/>
    <cellStyle name="Normal 330 6 2" xfId="15665"/>
    <cellStyle name="Normal 330 6 2 2" xfId="33286"/>
    <cellStyle name="Normal 330 6 3" xfId="26276"/>
    <cellStyle name="Normal 330 7" xfId="11818"/>
    <cellStyle name="Normal 330 7 2" xfId="29489"/>
    <cellStyle name="Normal 330 8" xfId="23415"/>
    <cellStyle name="Normal 330 9" xfId="52225"/>
    <cellStyle name="Normal 331" xfId="2601"/>
    <cellStyle name="Normal 331 2" xfId="4627"/>
    <cellStyle name="Normal 331 2 2" xfId="8556"/>
    <cellStyle name="Normal 331 2 2 2" xfId="16346"/>
    <cellStyle name="Normal 331 2 2 2 2" xfId="33967"/>
    <cellStyle name="Normal 331 2 2 3" xfId="26943"/>
    <cellStyle name="Normal 331 2 3" xfId="12822"/>
    <cellStyle name="Normal 331 2 3 2" xfId="30463"/>
    <cellStyle name="Normal 331 2 4" xfId="24082"/>
    <cellStyle name="Normal 331 3" xfId="5872"/>
    <cellStyle name="Normal 331 3 2" xfId="9169"/>
    <cellStyle name="Normal 331 3 2 2" xfId="16958"/>
    <cellStyle name="Normal 331 3 2 2 2" xfId="34580"/>
    <cellStyle name="Normal 331 3 2 3" xfId="27543"/>
    <cellStyle name="Normal 331 3 3" xfId="13722"/>
    <cellStyle name="Normal 331 3 3 2" xfId="31348"/>
    <cellStyle name="Normal 331 3 4" xfId="24682"/>
    <cellStyle name="Normal 331 4" xfId="6502"/>
    <cellStyle name="Normal 331 4 2" xfId="9709"/>
    <cellStyle name="Normal 331 4 2 2" xfId="17497"/>
    <cellStyle name="Normal 331 4 2 2 2" xfId="35120"/>
    <cellStyle name="Normal 331 4 2 3" xfId="28079"/>
    <cellStyle name="Normal 331 4 3" xfId="14285"/>
    <cellStyle name="Normal 331 4 3 2" xfId="31906"/>
    <cellStyle name="Normal 331 4 4" xfId="25218"/>
    <cellStyle name="Normal 331 5" xfId="7277"/>
    <cellStyle name="Normal 331 5 2" xfId="10262"/>
    <cellStyle name="Normal 331 5 2 2" xfId="18049"/>
    <cellStyle name="Normal 331 5 2 2 2" xfId="35672"/>
    <cellStyle name="Normal 331 5 2 3" xfId="28615"/>
    <cellStyle name="Normal 331 5 3" xfId="15059"/>
    <cellStyle name="Normal 331 5 3 2" xfId="32680"/>
    <cellStyle name="Normal 331 5 4" xfId="25755"/>
    <cellStyle name="Normal 331 6" xfId="7875"/>
    <cellStyle name="Normal 331 6 2" xfId="15666"/>
    <cellStyle name="Normal 331 6 2 2" xfId="33287"/>
    <cellStyle name="Normal 331 6 3" xfId="26277"/>
    <cellStyle name="Normal 331 7" xfId="11819"/>
    <cellStyle name="Normal 331 7 2" xfId="29490"/>
    <cellStyle name="Normal 331 8" xfId="23416"/>
    <cellStyle name="Normal 331 9" xfId="52226"/>
    <cellStyle name="Normal 332" xfId="2602"/>
    <cellStyle name="Normal 332 2" xfId="4628"/>
    <cellStyle name="Normal 332 2 2" xfId="8557"/>
    <cellStyle name="Normal 332 2 2 2" xfId="16347"/>
    <cellStyle name="Normal 332 2 2 2 2" xfId="33968"/>
    <cellStyle name="Normal 332 2 2 3" xfId="26944"/>
    <cellStyle name="Normal 332 2 3" xfId="12823"/>
    <cellStyle name="Normal 332 2 3 2" xfId="30464"/>
    <cellStyle name="Normal 332 2 4" xfId="24083"/>
    <cellStyle name="Normal 332 3" xfId="5873"/>
    <cellStyle name="Normal 332 3 2" xfId="9170"/>
    <cellStyle name="Normal 332 3 2 2" xfId="16959"/>
    <cellStyle name="Normal 332 3 2 2 2" xfId="34581"/>
    <cellStyle name="Normal 332 3 2 3" xfId="27544"/>
    <cellStyle name="Normal 332 3 3" xfId="13723"/>
    <cellStyle name="Normal 332 3 3 2" xfId="31349"/>
    <cellStyle name="Normal 332 3 4" xfId="24683"/>
    <cellStyle name="Normal 332 4" xfId="6503"/>
    <cellStyle name="Normal 332 4 2" xfId="9710"/>
    <cellStyle name="Normal 332 4 2 2" xfId="17498"/>
    <cellStyle name="Normal 332 4 2 2 2" xfId="35121"/>
    <cellStyle name="Normal 332 4 2 3" xfId="28080"/>
    <cellStyle name="Normal 332 4 3" xfId="14286"/>
    <cellStyle name="Normal 332 4 3 2" xfId="31907"/>
    <cellStyle name="Normal 332 4 4" xfId="25219"/>
    <cellStyle name="Normal 332 5" xfId="7278"/>
    <cellStyle name="Normal 332 5 2" xfId="10263"/>
    <cellStyle name="Normal 332 5 2 2" xfId="18050"/>
    <cellStyle name="Normal 332 5 2 2 2" xfId="35673"/>
    <cellStyle name="Normal 332 5 2 3" xfId="28616"/>
    <cellStyle name="Normal 332 5 3" xfId="15060"/>
    <cellStyle name="Normal 332 5 3 2" xfId="32681"/>
    <cellStyle name="Normal 332 5 4" xfId="25756"/>
    <cellStyle name="Normal 332 6" xfId="7876"/>
    <cellStyle name="Normal 332 6 2" xfId="15667"/>
    <cellStyle name="Normal 332 6 2 2" xfId="33288"/>
    <cellStyle name="Normal 332 6 3" xfId="26278"/>
    <cellStyle name="Normal 332 7" xfId="11820"/>
    <cellStyle name="Normal 332 7 2" xfId="29491"/>
    <cellStyle name="Normal 332 8" xfId="23417"/>
    <cellStyle name="Normal 332 9" xfId="52227"/>
    <cellStyle name="Normal 333" xfId="2603"/>
    <cellStyle name="Normal 333 2" xfId="4629"/>
    <cellStyle name="Normal 333 2 2" xfId="8558"/>
    <cellStyle name="Normal 333 2 2 2" xfId="16348"/>
    <cellStyle name="Normal 333 2 2 2 2" xfId="33969"/>
    <cellStyle name="Normal 333 2 2 3" xfId="26945"/>
    <cellStyle name="Normal 333 2 3" xfId="12824"/>
    <cellStyle name="Normal 333 2 3 2" xfId="30465"/>
    <cellStyle name="Normal 333 2 4" xfId="24084"/>
    <cellStyle name="Normal 333 3" xfId="5874"/>
    <cellStyle name="Normal 333 3 2" xfId="9171"/>
    <cellStyle name="Normal 333 3 2 2" xfId="16960"/>
    <cellStyle name="Normal 333 3 2 2 2" xfId="34582"/>
    <cellStyle name="Normal 333 3 2 3" xfId="27545"/>
    <cellStyle name="Normal 333 3 3" xfId="13724"/>
    <cellStyle name="Normal 333 3 3 2" xfId="31350"/>
    <cellStyle name="Normal 333 3 4" xfId="24684"/>
    <cellStyle name="Normal 333 4" xfId="6504"/>
    <cellStyle name="Normal 333 4 2" xfId="9711"/>
    <cellStyle name="Normal 333 4 2 2" xfId="17499"/>
    <cellStyle name="Normal 333 4 2 2 2" xfId="35122"/>
    <cellStyle name="Normal 333 4 2 3" xfId="28081"/>
    <cellStyle name="Normal 333 4 3" xfId="14287"/>
    <cellStyle name="Normal 333 4 3 2" xfId="31908"/>
    <cellStyle name="Normal 333 4 4" xfId="25220"/>
    <cellStyle name="Normal 333 5" xfId="7279"/>
    <cellStyle name="Normal 333 5 2" xfId="10264"/>
    <cellStyle name="Normal 333 5 2 2" xfId="18051"/>
    <cellStyle name="Normal 333 5 2 2 2" xfId="35674"/>
    <cellStyle name="Normal 333 5 2 3" xfId="28617"/>
    <cellStyle name="Normal 333 5 3" xfId="15061"/>
    <cellStyle name="Normal 333 5 3 2" xfId="32682"/>
    <cellStyle name="Normal 333 5 4" xfId="25757"/>
    <cellStyle name="Normal 333 6" xfId="7877"/>
    <cellStyle name="Normal 333 6 2" xfId="15668"/>
    <cellStyle name="Normal 333 6 2 2" xfId="33289"/>
    <cellStyle name="Normal 333 6 3" xfId="26279"/>
    <cellStyle name="Normal 333 7" xfId="11821"/>
    <cellStyle name="Normal 333 7 2" xfId="29492"/>
    <cellStyle name="Normal 333 8" xfId="23418"/>
    <cellStyle name="Normal 333 9" xfId="52228"/>
    <cellStyle name="Normal 334" xfId="2604"/>
    <cellStyle name="Normal 334 2" xfId="4630"/>
    <cellStyle name="Normal 334 2 2" xfId="8559"/>
    <cellStyle name="Normal 334 2 2 2" xfId="16349"/>
    <cellStyle name="Normal 334 2 2 2 2" xfId="33970"/>
    <cellStyle name="Normal 334 2 2 3" xfId="26946"/>
    <cellStyle name="Normal 334 2 3" xfId="12825"/>
    <cellStyle name="Normal 334 2 3 2" xfId="30466"/>
    <cellStyle name="Normal 334 2 4" xfId="24085"/>
    <cellStyle name="Normal 334 3" xfId="5875"/>
    <cellStyle name="Normal 334 3 2" xfId="9172"/>
    <cellStyle name="Normal 334 3 2 2" xfId="16961"/>
    <cellStyle name="Normal 334 3 2 2 2" xfId="34583"/>
    <cellStyle name="Normal 334 3 2 3" xfId="27546"/>
    <cellStyle name="Normal 334 3 3" xfId="13725"/>
    <cellStyle name="Normal 334 3 3 2" xfId="31351"/>
    <cellStyle name="Normal 334 3 4" xfId="24685"/>
    <cellStyle name="Normal 334 4" xfId="6505"/>
    <cellStyle name="Normal 334 4 2" xfId="9712"/>
    <cellStyle name="Normal 334 4 2 2" xfId="17500"/>
    <cellStyle name="Normal 334 4 2 2 2" xfId="35123"/>
    <cellStyle name="Normal 334 4 2 3" xfId="28082"/>
    <cellStyle name="Normal 334 4 3" xfId="14288"/>
    <cellStyle name="Normal 334 4 3 2" xfId="31909"/>
    <cellStyle name="Normal 334 4 4" xfId="25221"/>
    <cellStyle name="Normal 334 5" xfId="7280"/>
    <cellStyle name="Normal 334 5 2" xfId="10265"/>
    <cellStyle name="Normal 334 5 2 2" xfId="18052"/>
    <cellStyle name="Normal 334 5 2 2 2" xfId="35675"/>
    <cellStyle name="Normal 334 5 2 3" xfId="28618"/>
    <cellStyle name="Normal 334 5 3" xfId="15062"/>
    <cellStyle name="Normal 334 5 3 2" xfId="32683"/>
    <cellStyle name="Normal 334 5 4" xfId="25758"/>
    <cellStyle name="Normal 334 6" xfId="7878"/>
    <cellStyle name="Normal 334 6 2" xfId="15669"/>
    <cellStyle name="Normal 334 6 2 2" xfId="33290"/>
    <cellStyle name="Normal 334 6 3" xfId="26280"/>
    <cellStyle name="Normal 334 7" xfId="11822"/>
    <cellStyle name="Normal 334 7 2" xfId="29493"/>
    <cellStyle name="Normal 334 8" xfId="23419"/>
    <cellStyle name="Normal 334 9" xfId="52229"/>
    <cellStyle name="Normal 335" xfId="2605"/>
    <cellStyle name="Normal 335 2" xfId="4631"/>
    <cellStyle name="Normal 335 2 2" xfId="8560"/>
    <cellStyle name="Normal 335 2 2 2" xfId="16350"/>
    <cellStyle name="Normal 335 2 2 2 2" xfId="33971"/>
    <cellStyle name="Normal 335 2 2 3" xfId="26947"/>
    <cellStyle name="Normal 335 2 3" xfId="12826"/>
    <cellStyle name="Normal 335 2 3 2" xfId="30467"/>
    <cellStyle name="Normal 335 2 4" xfId="24086"/>
    <cellStyle name="Normal 335 3" xfId="5876"/>
    <cellStyle name="Normal 335 3 2" xfId="9173"/>
    <cellStyle name="Normal 335 3 2 2" xfId="16962"/>
    <cellStyle name="Normal 335 3 2 2 2" xfId="34584"/>
    <cellStyle name="Normal 335 3 2 3" xfId="27547"/>
    <cellStyle name="Normal 335 3 3" xfId="13726"/>
    <cellStyle name="Normal 335 3 3 2" xfId="31352"/>
    <cellStyle name="Normal 335 3 4" xfId="24686"/>
    <cellStyle name="Normal 335 4" xfId="6506"/>
    <cellStyle name="Normal 335 4 2" xfId="9713"/>
    <cellStyle name="Normal 335 4 2 2" xfId="17501"/>
    <cellStyle name="Normal 335 4 2 2 2" xfId="35124"/>
    <cellStyle name="Normal 335 4 2 3" xfId="28083"/>
    <cellStyle name="Normal 335 4 3" xfId="14289"/>
    <cellStyle name="Normal 335 4 3 2" xfId="31910"/>
    <cellStyle name="Normal 335 4 4" xfId="25222"/>
    <cellStyle name="Normal 335 5" xfId="7281"/>
    <cellStyle name="Normal 335 5 2" xfId="10266"/>
    <cellStyle name="Normal 335 5 2 2" xfId="18053"/>
    <cellStyle name="Normal 335 5 2 2 2" xfId="35676"/>
    <cellStyle name="Normal 335 5 2 3" xfId="28619"/>
    <cellStyle name="Normal 335 5 3" xfId="15063"/>
    <cellStyle name="Normal 335 5 3 2" xfId="32684"/>
    <cellStyle name="Normal 335 5 4" xfId="25759"/>
    <cellStyle name="Normal 335 6" xfId="7879"/>
    <cellStyle name="Normal 335 6 2" xfId="15670"/>
    <cellStyle name="Normal 335 6 2 2" xfId="33291"/>
    <cellStyle name="Normal 335 6 3" xfId="26281"/>
    <cellStyle name="Normal 335 7" xfId="11823"/>
    <cellStyle name="Normal 335 7 2" xfId="29494"/>
    <cellStyle name="Normal 335 8" xfId="23420"/>
    <cellStyle name="Normal 335 9" xfId="52230"/>
    <cellStyle name="Normal 336" xfId="2606"/>
    <cellStyle name="Normal 336 2" xfId="4632"/>
    <cellStyle name="Normal 336 2 2" xfId="8561"/>
    <cellStyle name="Normal 336 2 2 2" xfId="16351"/>
    <cellStyle name="Normal 336 2 2 2 2" xfId="33972"/>
    <cellStyle name="Normal 336 2 2 3" xfId="26948"/>
    <cellStyle name="Normal 336 2 3" xfId="12827"/>
    <cellStyle name="Normal 336 2 3 2" xfId="30468"/>
    <cellStyle name="Normal 336 2 4" xfId="24087"/>
    <cellStyle name="Normal 336 3" xfId="5877"/>
    <cellStyle name="Normal 336 3 2" xfId="9174"/>
    <cellStyle name="Normal 336 3 2 2" xfId="16963"/>
    <cellStyle name="Normal 336 3 2 2 2" xfId="34585"/>
    <cellStyle name="Normal 336 3 2 3" xfId="27548"/>
    <cellStyle name="Normal 336 3 3" xfId="13727"/>
    <cellStyle name="Normal 336 3 3 2" xfId="31353"/>
    <cellStyle name="Normal 336 3 4" xfId="24687"/>
    <cellStyle name="Normal 336 4" xfId="6507"/>
    <cellStyle name="Normal 336 4 2" xfId="9714"/>
    <cellStyle name="Normal 336 4 2 2" xfId="17502"/>
    <cellStyle name="Normal 336 4 2 2 2" xfId="35125"/>
    <cellStyle name="Normal 336 4 2 3" xfId="28084"/>
    <cellStyle name="Normal 336 4 3" xfId="14290"/>
    <cellStyle name="Normal 336 4 3 2" xfId="31911"/>
    <cellStyle name="Normal 336 4 4" xfId="25223"/>
    <cellStyle name="Normal 336 5" xfId="7282"/>
    <cellStyle name="Normal 336 5 2" xfId="10267"/>
    <cellStyle name="Normal 336 5 2 2" xfId="18054"/>
    <cellStyle name="Normal 336 5 2 2 2" xfId="35677"/>
    <cellStyle name="Normal 336 5 2 3" xfId="28620"/>
    <cellStyle name="Normal 336 5 3" xfId="15064"/>
    <cellStyle name="Normal 336 5 3 2" xfId="32685"/>
    <cellStyle name="Normal 336 5 4" xfId="25760"/>
    <cellStyle name="Normal 336 6" xfId="7880"/>
    <cellStyle name="Normal 336 6 2" xfId="15671"/>
    <cellStyle name="Normal 336 6 2 2" xfId="33292"/>
    <cellStyle name="Normal 336 6 3" xfId="26282"/>
    <cellStyle name="Normal 336 7" xfId="11824"/>
    <cellStyle name="Normal 336 7 2" xfId="29495"/>
    <cellStyle name="Normal 336 8" xfId="23421"/>
    <cellStyle name="Normal 336 9" xfId="52231"/>
    <cellStyle name="Normal 337" xfId="2607"/>
    <cellStyle name="Normal 337 2" xfId="4633"/>
    <cellStyle name="Normal 337 2 2" xfId="8562"/>
    <cellStyle name="Normal 337 2 2 2" xfId="16352"/>
    <cellStyle name="Normal 337 2 2 2 2" xfId="33973"/>
    <cellStyle name="Normal 337 2 2 3" xfId="26949"/>
    <cellStyle name="Normal 337 2 3" xfId="12828"/>
    <cellStyle name="Normal 337 2 3 2" xfId="30469"/>
    <cellStyle name="Normal 337 2 4" xfId="24088"/>
    <cellStyle name="Normal 337 3" xfId="5878"/>
    <cellStyle name="Normal 337 3 2" xfId="9175"/>
    <cellStyle name="Normal 337 3 2 2" xfId="16964"/>
    <cellStyle name="Normal 337 3 2 2 2" xfId="34586"/>
    <cellStyle name="Normal 337 3 2 3" xfId="27549"/>
    <cellStyle name="Normal 337 3 3" xfId="13728"/>
    <cellStyle name="Normal 337 3 3 2" xfId="31354"/>
    <cellStyle name="Normal 337 3 4" xfId="24688"/>
    <cellStyle name="Normal 337 4" xfId="6508"/>
    <cellStyle name="Normal 337 4 2" xfId="9715"/>
    <cellStyle name="Normal 337 4 2 2" xfId="17503"/>
    <cellStyle name="Normal 337 4 2 2 2" xfId="35126"/>
    <cellStyle name="Normal 337 4 2 3" xfId="28085"/>
    <cellStyle name="Normal 337 4 3" xfId="14291"/>
    <cellStyle name="Normal 337 4 3 2" xfId="31912"/>
    <cellStyle name="Normal 337 4 4" xfId="25224"/>
    <cellStyle name="Normal 337 5" xfId="7283"/>
    <cellStyle name="Normal 337 5 2" xfId="10268"/>
    <cellStyle name="Normal 337 5 2 2" xfId="18055"/>
    <cellStyle name="Normal 337 5 2 2 2" xfId="35678"/>
    <cellStyle name="Normal 337 5 2 3" xfId="28621"/>
    <cellStyle name="Normal 337 5 3" xfId="15065"/>
    <cellStyle name="Normal 337 5 3 2" xfId="32686"/>
    <cellStyle name="Normal 337 5 4" xfId="25761"/>
    <cellStyle name="Normal 337 6" xfId="7881"/>
    <cellStyle name="Normal 337 6 2" xfId="15672"/>
    <cellStyle name="Normal 337 6 2 2" xfId="33293"/>
    <cellStyle name="Normal 337 6 3" xfId="26283"/>
    <cellStyle name="Normal 337 7" xfId="11825"/>
    <cellStyle name="Normal 337 7 2" xfId="29496"/>
    <cellStyle name="Normal 337 8" xfId="23422"/>
    <cellStyle name="Normal 337 9" xfId="52232"/>
    <cellStyle name="Normal 338" xfId="2608"/>
    <cellStyle name="Normal 338 2" xfId="4634"/>
    <cellStyle name="Normal 338 2 2" xfId="8563"/>
    <cellStyle name="Normal 338 2 2 2" xfId="16353"/>
    <cellStyle name="Normal 338 2 2 2 2" xfId="33974"/>
    <cellStyle name="Normal 338 2 2 3" xfId="26950"/>
    <cellStyle name="Normal 338 2 3" xfId="12829"/>
    <cellStyle name="Normal 338 2 3 2" xfId="30470"/>
    <cellStyle name="Normal 338 2 4" xfId="24089"/>
    <cellStyle name="Normal 338 3" xfId="5879"/>
    <cellStyle name="Normal 338 3 2" xfId="9176"/>
    <cellStyle name="Normal 338 3 2 2" xfId="16965"/>
    <cellStyle name="Normal 338 3 2 2 2" xfId="34587"/>
    <cellStyle name="Normal 338 3 2 3" xfId="27550"/>
    <cellStyle name="Normal 338 3 3" xfId="13729"/>
    <cellStyle name="Normal 338 3 3 2" xfId="31355"/>
    <cellStyle name="Normal 338 3 4" xfId="24689"/>
    <cellStyle name="Normal 338 4" xfId="6509"/>
    <cellStyle name="Normal 338 4 2" xfId="9716"/>
    <cellStyle name="Normal 338 4 2 2" xfId="17504"/>
    <cellStyle name="Normal 338 4 2 2 2" xfId="35127"/>
    <cellStyle name="Normal 338 4 2 3" xfId="28086"/>
    <cellStyle name="Normal 338 4 3" xfId="14292"/>
    <cellStyle name="Normal 338 4 3 2" xfId="31913"/>
    <cellStyle name="Normal 338 4 4" xfId="25225"/>
    <cellStyle name="Normal 338 5" xfId="7284"/>
    <cellStyle name="Normal 338 5 2" xfId="10269"/>
    <cellStyle name="Normal 338 5 2 2" xfId="18056"/>
    <cellStyle name="Normal 338 5 2 2 2" xfId="35679"/>
    <cellStyle name="Normal 338 5 2 3" xfId="28622"/>
    <cellStyle name="Normal 338 5 3" xfId="15066"/>
    <cellStyle name="Normal 338 5 3 2" xfId="32687"/>
    <cellStyle name="Normal 338 5 4" xfId="25762"/>
    <cellStyle name="Normal 338 6" xfId="7882"/>
    <cellStyle name="Normal 338 6 2" xfId="15673"/>
    <cellStyle name="Normal 338 6 2 2" xfId="33294"/>
    <cellStyle name="Normal 338 6 3" xfId="26284"/>
    <cellStyle name="Normal 338 7" xfId="11826"/>
    <cellStyle name="Normal 338 7 2" xfId="29497"/>
    <cellStyle name="Normal 338 8" xfId="23423"/>
    <cellStyle name="Normal 338 9" xfId="52233"/>
    <cellStyle name="Normal 339" xfId="2609"/>
    <cellStyle name="Normal 339 2" xfId="4635"/>
    <cellStyle name="Normal 339 2 2" xfId="8564"/>
    <cellStyle name="Normal 339 2 2 2" xfId="16354"/>
    <cellStyle name="Normal 339 2 2 2 2" xfId="33975"/>
    <cellStyle name="Normal 339 2 2 3" xfId="26951"/>
    <cellStyle name="Normal 339 2 3" xfId="12830"/>
    <cellStyle name="Normal 339 2 3 2" xfId="30471"/>
    <cellStyle name="Normal 339 2 4" xfId="24090"/>
    <cellStyle name="Normal 339 3" xfId="5880"/>
    <cellStyle name="Normal 339 3 2" xfId="9177"/>
    <cellStyle name="Normal 339 3 2 2" xfId="16966"/>
    <cellStyle name="Normal 339 3 2 2 2" xfId="34588"/>
    <cellStyle name="Normal 339 3 2 3" xfId="27551"/>
    <cellStyle name="Normal 339 3 3" xfId="13730"/>
    <cellStyle name="Normal 339 3 3 2" xfId="31356"/>
    <cellStyle name="Normal 339 3 4" xfId="24690"/>
    <cellStyle name="Normal 339 4" xfId="6510"/>
    <cellStyle name="Normal 339 4 2" xfId="9717"/>
    <cellStyle name="Normal 339 4 2 2" xfId="17505"/>
    <cellStyle name="Normal 339 4 2 2 2" xfId="35128"/>
    <cellStyle name="Normal 339 4 2 3" xfId="28087"/>
    <cellStyle name="Normal 339 4 3" xfId="14293"/>
    <cellStyle name="Normal 339 4 3 2" xfId="31914"/>
    <cellStyle name="Normal 339 4 4" xfId="25226"/>
    <cellStyle name="Normal 339 5" xfId="7285"/>
    <cellStyle name="Normal 339 5 2" xfId="10270"/>
    <cellStyle name="Normal 339 5 2 2" xfId="18057"/>
    <cellStyle name="Normal 339 5 2 2 2" xfId="35680"/>
    <cellStyle name="Normal 339 5 2 3" xfId="28623"/>
    <cellStyle name="Normal 339 5 3" xfId="15067"/>
    <cellStyle name="Normal 339 5 3 2" xfId="32688"/>
    <cellStyle name="Normal 339 5 4" xfId="25763"/>
    <cellStyle name="Normal 339 6" xfId="7883"/>
    <cellStyle name="Normal 339 6 2" xfId="15674"/>
    <cellStyle name="Normal 339 6 2 2" xfId="33295"/>
    <cellStyle name="Normal 339 6 3" xfId="26285"/>
    <cellStyle name="Normal 339 7" xfId="11827"/>
    <cellStyle name="Normal 339 7 2" xfId="29498"/>
    <cellStyle name="Normal 339 8" xfId="23424"/>
    <cellStyle name="Normal 339 9" xfId="52234"/>
    <cellStyle name="Normal 34" xfId="2610"/>
    <cellStyle name="Normal 34 2" xfId="2611"/>
    <cellStyle name="Normal 34 2 2" xfId="4637"/>
    <cellStyle name="Normal 34 2 3" xfId="22760"/>
    <cellStyle name="Normal 34 2 3 2" xfId="38953"/>
    <cellStyle name="Normal 34 2 4" xfId="52236"/>
    <cellStyle name="Normal 34 3" xfId="4636"/>
    <cellStyle name="Normal 34 4" xfId="22551"/>
    <cellStyle name="Normal 34 4 2" xfId="38848"/>
    <cellStyle name="Normal 34 5" xfId="52235"/>
    <cellStyle name="Normal 340" xfId="2612"/>
    <cellStyle name="Normal 340 2" xfId="4638"/>
    <cellStyle name="Normal 340 2 2" xfId="8565"/>
    <cellStyle name="Normal 340 2 2 2" xfId="16355"/>
    <cellStyle name="Normal 340 2 2 2 2" xfId="33976"/>
    <cellStyle name="Normal 340 2 2 3" xfId="26952"/>
    <cellStyle name="Normal 340 2 3" xfId="12831"/>
    <cellStyle name="Normal 340 2 3 2" xfId="30472"/>
    <cellStyle name="Normal 340 2 4" xfId="24091"/>
    <cellStyle name="Normal 340 3" xfId="5881"/>
    <cellStyle name="Normal 340 3 2" xfId="9178"/>
    <cellStyle name="Normal 340 3 2 2" xfId="16967"/>
    <cellStyle name="Normal 340 3 2 2 2" xfId="34589"/>
    <cellStyle name="Normal 340 3 2 3" xfId="27552"/>
    <cellStyle name="Normal 340 3 3" xfId="13731"/>
    <cellStyle name="Normal 340 3 3 2" xfId="31357"/>
    <cellStyle name="Normal 340 3 4" xfId="24691"/>
    <cellStyle name="Normal 340 4" xfId="6511"/>
    <cellStyle name="Normal 340 4 2" xfId="9718"/>
    <cellStyle name="Normal 340 4 2 2" xfId="17506"/>
    <cellStyle name="Normal 340 4 2 2 2" xfId="35129"/>
    <cellStyle name="Normal 340 4 2 3" xfId="28088"/>
    <cellStyle name="Normal 340 4 3" xfId="14294"/>
    <cellStyle name="Normal 340 4 3 2" xfId="31915"/>
    <cellStyle name="Normal 340 4 4" xfId="25227"/>
    <cellStyle name="Normal 340 5" xfId="7286"/>
    <cellStyle name="Normal 340 5 2" xfId="10271"/>
    <cellStyle name="Normal 340 5 2 2" xfId="18058"/>
    <cellStyle name="Normal 340 5 2 2 2" xfId="35681"/>
    <cellStyle name="Normal 340 5 2 3" xfId="28624"/>
    <cellStyle name="Normal 340 5 3" xfId="15068"/>
    <cellStyle name="Normal 340 5 3 2" xfId="32689"/>
    <cellStyle name="Normal 340 5 4" xfId="25764"/>
    <cellStyle name="Normal 340 6" xfId="7884"/>
    <cellStyle name="Normal 340 6 2" xfId="15675"/>
    <cellStyle name="Normal 340 6 2 2" xfId="33296"/>
    <cellStyle name="Normal 340 6 3" xfId="26286"/>
    <cellStyle name="Normal 340 7" xfId="11828"/>
    <cellStyle name="Normal 340 7 2" xfId="29499"/>
    <cellStyle name="Normal 340 8" xfId="23425"/>
    <cellStyle name="Normal 340 9" xfId="52237"/>
    <cellStyle name="Normal 341" xfId="2613"/>
    <cellStyle name="Normal 341 2" xfId="4639"/>
    <cellStyle name="Normal 341 2 2" xfId="8566"/>
    <cellStyle name="Normal 341 2 2 2" xfId="16356"/>
    <cellStyle name="Normal 341 2 2 2 2" xfId="33977"/>
    <cellStyle name="Normal 341 2 2 3" xfId="26953"/>
    <cellStyle name="Normal 341 2 3" xfId="12832"/>
    <cellStyle name="Normal 341 2 3 2" xfId="30473"/>
    <cellStyle name="Normal 341 2 4" xfId="24092"/>
    <cellStyle name="Normal 341 3" xfId="5882"/>
    <cellStyle name="Normal 341 3 2" xfId="9179"/>
    <cellStyle name="Normal 341 3 2 2" xfId="16968"/>
    <cellStyle name="Normal 341 3 2 2 2" xfId="34590"/>
    <cellStyle name="Normal 341 3 2 3" xfId="27553"/>
    <cellStyle name="Normal 341 3 3" xfId="13732"/>
    <cellStyle name="Normal 341 3 3 2" xfId="31358"/>
    <cellStyle name="Normal 341 3 4" xfId="24692"/>
    <cellStyle name="Normal 341 4" xfId="6512"/>
    <cellStyle name="Normal 341 4 2" xfId="9719"/>
    <cellStyle name="Normal 341 4 2 2" xfId="17507"/>
    <cellStyle name="Normal 341 4 2 2 2" xfId="35130"/>
    <cellStyle name="Normal 341 4 2 3" xfId="28089"/>
    <cellStyle name="Normal 341 4 3" xfId="14295"/>
    <cellStyle name="Normal 341 4 3 2" xfId="31916"/>
    <cellStyle name="Normal 341 4 4" xfId="25228"/>
    <cellStyle name="Normal 341 5" xfId="7287"/>
    <cellStyle name="Normal 341 5 2" xfId="10272"/>
    <cellStyle name="Normal 341 5 2 2" xfId="18059"/>
    <cellStyle name="Normal 341 5 2 2 2" xfId="35682"/>
    <cellStyle name="Normal 341 5 2 3" xfId="28625"/>
    <cellStyle name="Normal 341 5 3" xfId="15069"/>
    <cellStyle name="Normal 341 5 3 2" xfId="32690"/>
    <cellStyle name="Normal 341 5 4" xfId="25765"/>
    <cellStyle name="Normal 341 6" xfId="7885"/>
    <cellStyle name="Normal 341 6 2" xfId="15676"/>
    <cellStyle name="Normal 341 6 2 2" xfId="33297"/>
    <cellStyle name="Normal 341 6 3" xfId="26287"/>
    <cellStyle name="Normal 341 7" xfId="11829"/>
    <cellStyle name="Normal 341 7 2" xfId="29500"/>
    <cellStyle name="Normal 341 8" xfId="23426"/>
    <cellStyle name="Normal 341 9" xfId="52238"/>
    <cellStyle name="Normal 342" xfId="2614"/>
    <cellStyle name="Normal 342 2" xfId="4640"/>
    <cellStyle name="Normal 342 2 2" xfId="8567"/>
    <cellStyle name="Normal 342 2 2 2" xfId="16357"/>
    <cellStyle name="Normal 342 2 2 2 2" xfId="33978"/>
    <cellStyle name="Normal 342 2 2 3" xfId="26954"/>
    <cellStyle name="Normal 342 2 3" xfId="12833"/>
    <cellStyle name="Normal 342 2 3 2" xfId="30474"/>
    <cellStyle name="Normal 342 2 4" xfId="24093"/>
    <cellStyle name="Normal 342 3" xfId="5883"/>
    <cellStyle name="Normal 342 3 2" xfId="9180"/>
    <cellStyle name="Normal 342 3 2 2" xfId="16969"/>
    <cellStyle name="Normal 342 3 2 2 2" xfId="34591"/>
    <cellStyle name="Normal 342 3 2 3" xfId="27554"/>
    <cellStyle name="Normal 342 3 3" xfId="13733"/>
    <cellStyle name="Normal 342 3 3 2" xfId="31359"/>
    <cellStyle name="Normal 342 3 4" xfId="24693"/>
    <cellStyle name="Normal 342 4" xfId="6513"/>
    <cellStyle name="Normal 342 4 2" xfId="9720"/>
    <cellStyle name="Normal 342 4 2 2" xfId="17508"/>
    <cellStyle name="Normal 342 4 2 2 2" xfId="35131"/>
    <cellStyle name="Normal 342 4 2 3" xfId="28090"/>
    <cellStyle name="Normal 342 4 3" xfId="14296"/>
    <cellStyle name="Normal 342 4 3 2" xfId="31917"/>
    <cellStyle name="Normal 342 4 4" xfId="25229"/>
    <cellStyle name="Normal 342 5" xfId="7288"/>
    <cellStyle name="Normal 342 5 2" xfId="10273"/>
    <cellStyle name="Normal 342 5 2 2" xfId="18060"/>
    <cellStyle name="Normal 342 5 2 2 2" xfId="35683"/>
    <cellStyle name="Normal 342 5 2 3" xfId="28626"/>
    <cellStyle name="Normal 342 5 3" xfId="15070"/>
    <cellStyle name="Normal 342 5 3 2" xfId="32691"/>
    <cellStyle name="Normal 342 5 4" xfId="25766"/>
    <cellStyle name="Normal 342 6" xfId="7886"/>
    <cellStyle name="Normal 342 6 2" xfId="15677"/>
    <cellStyle name="Normal 342 6 2 2" xfId="33298"/>
    <cellStyle name="Normal 342 6 3" xfId="26288"/>
    <cellStyle name="Normal 342 7" xfId="11830"/>
    <cellStyle name="Normal 342 7 2" xfId="29501"/>
    <cellStyle name="Normal 342 8" xfId="23427"/>
    <cellStyle name="Normal 342 9" xfId="52239"/>
    <cellStyle name="Normal 343" xfId="2615"/>
    <cellStyle name="Normal 343 2" xfId="4641"/>
    <cellStyle name="Normal 343 2 2" xfId="8568"/>
    <cellStyle name="Normal 343 2 2 2" xfId="16358"/>
    <cellStyle name="Normal 343 2 2 2 2" xfId="33979"/>
    <cellStyle name="Normal 343 2 2 3" xfId="26955"/>
    <cellStyle name="Normal 343 2 3" xfId="12834"/>
    <cellStyle name="Normal 343 2 3 2" xfId="30475"/>
    <cellStyle name="Normal 343 2 4" xfId="24094"/>
    <cellStyle name="Normal 343 3" xfId="5884"/>
    <cellStyle name="Normal 343 3 2" xfId="9181"/>
    <cellStyle name="Normal 343 3 2 2" xfId="16970"/>
    <cellStyle name="Normal 343 3 2 2 2" xfId="34592"/>
    <cellStyle name="Normal 343 3 2 3" xfId="27555"/>
    <cellStyle name="Normal 343 3 3" xfId="13734"/>
    <cellStyle name="Normal 343 3 3 2" xfId="31360"/>
    <cellStyle name="Normal 343 3 4" xfId="24694"/>
    <cellStyle name="Normal 343 4" xfId="6514"/>
    <cellStyle name="Normal 343 4 2" xfId="9721"/>
    <cellStyle name="Normal 343 4 2 2" xfId="17509"/>
    <cellStyle name="Normal 343 4 2 2 2" xfId="35132"/>
    <cellStyle name="Normal 343 4 2 3" xfId="28091"/>
    <cellStyle name="Normal 343 4 3" xfId="14297"/>
    <cellStyle name="Normal 343 4 3 2" xfId="31918"/>
    <cellStyle name="Normal 343 4 4" xfId="25230"/>
    <cellStyle name="Normal 343 5" xfId="7289"/>
    <cellStyle name="Normal 343 5 2" xfId="10274"/>
    <cellStyle name="Normal 343 5 2 2" xfId="18061"/>
    <cellStyle name="Normal 343 5 2 2 2" xfId="35684"/>
    <cellStyle name="Normal 343 5 2 3" xfId="28627"/>
    <cellStyle name="Normal 343 5 3" xfId="15071"/>
    <cellStyle name="Normal 343 5 3 2" xfId="32692"/>
    <cellStyle name="Normal 343 5 4" xfId="25767"/>
    <cellStyle name="Normal 343 6" xfId="7887"/>
    <cellStyle name="Normal 343 6 2" xfId="15678"/>
    <cellStyle name="Normal 343 6 2 2" xfId="33299"/>
    <cellStyle name="Normal 343 6 3" xfId="26289"/>
    <cellStyle name="Normal 343 7" xfId="11831"/>
    <cellStyle name="Normal 343 7 2" xfId="29502"/>
    <cellStyle name="Normal 343 8" xfId="23428"/>
    <cellStyle name="Normal 343 9" xfId="52240"/>
    <cellStyle name="Normal 344" xfId="2616"/>
    <cellStyle name="Normal 344 2" xfId="4642"/>
    <cellStyle name="Normal 344 2 2" xfId="8569"/>
    <cellStyle name="Normal 344 2 2 2" xfId="16359"/>
    <cellStyle name="Normal 344 2 2 2 2" xfId="33980"/>
    <cellStyle name="Normal 344 2 2 3" xfId="26956"/>
    <cellStyle name="Normal 344 2 3" xfId="12835"/>
    <cellStyle name="Normal 344 2 3 2" xfId="30476"/>
    <cellStyle name="Normal 344 2 4" xfId="24095"/>
    <cellStyle name="Normal 344 3" xfId="5885"/>
    <cellStyle name="Normal 344 3 2" xfId="9182"/>
    <cellStyle name="Normal 344 3 2 2" xfId="16971"/>
    <cellStyle name="Normal 344 3 2 2 2" xfId="34593"/>
    <cellStyle name="Normal 344 3 2 3" xfId="27556"/>
    <cellStyle name="Normal 344 3 3" xfId="13735"/>
    <cellStyle name="Normal 344 3 3 2" xfId="31361"/>
    <cellStyle name="Normal 344 3 4" xfId="24695"/>
    <cellStyle name="Normal 344 4" xfId="6515"/>
    <cellStyle name="Normal 344 4 2" xfId="9722"/>
    <cellStyle name="Normal 344 4 2 2" xfId="17510"/>
    <cellStyle name="Normal 344 4 2 2 2" xfId="35133"/>
    <cellStyle name="Normal 344 4 2 3" xfId="28092"/>
    <cellStyle name="Normal 344 4 3" xfId="14298"/>
    <cellStyle name="Normal 344 4 3 2" xfId="31919"/>
    <cellStyle name="Normal 344 4 4" xfId="25231"/>
    <cellStyle name="Normal 344 5" xfId="7290"/>
    <cellStyle name="Normal 344 5 2" xfId="10275"/>
    <cellStyle name="Normal 344 5 2 2" xfId="18062"/>
    <cellStyle name="Normal 344 5 2 2 2" xfId="35685"/>
    <cellStyle name="Normal 344 5 2 3" xfId="28628"/>
    <cellStyle name="Normal 344 5 3" xfId="15072"/>
    <cellStyle name="Normal 344 5 3 2" xfId="32693"/>
    <cellStyle name="Normal 344 5 4" xfId="25768"/>
    <cellStyle name="Normal 344 6" xfId="7888"/>
    <cellStyle name="Normal 344 6 2" xfId="15679"/>
    <cellStyle name="Normal 344 6 2 2" xfId="33300"/>
    <cellStyle name="Normal 344 6 3" xfId="26290"/>
    <cellStyle name="Normal 344 7" xfId="11832"/>
    <cellStyle name="Normal 344 7 2" xfId="29503"/>
    <cellStyle name="Normal 344 8" xfId="23429"/>
    <cellStyle name="Normal 344 9" xfId="52241"/>
    <cellStyle name="Normal 345" xfId="2617"/>
    <cellStyle name="Normal 345 2" xfId="4643"/>
    <cellStyle name="Normal 345 2 2" xfId="8570"/>
    <cellStyle name="Normal 345 2 2 2" xfId="16360"/>
    <cellStyle name="Normal 345 2 2 2 2" xfId="33981"/>
    <cellStyle name="Normal 345 2 2 3" xfId="26957"/>
    <cellStyle name="Normal 345 2 3" xfId="12836"/>
    <cellStyle name="Normal 345 2 3 2" xfId="30477"/>
    <cellStyle name="Normal 345 2 4" xfId="24096"/>
    <cellStyle name="Normal 345 3" xfId="5886"/>
    <cellStyle name="Normal 345 3 2" xfId="9183"/>
    <cellStyle name="Normal 345 3 2 2" xfId="16972"/>
    <cellStyle name="Normal 345 3 2 2 2" xfId="34594"/>
    <cellStyle name="Normal 345 3 2 3" xfId="27557"/>
    <cellStyle name="Normal 345 3 3" xfId="13736"/>
    <cellStyle name="Normal 345 3 3 2" xfId="31362"/>
    <cellStyle name="Normal 345 3 4" xfId="24696"/>
    <cellStyle name="Normal 345 4" xfId="6516"/>
    <cellStyle name="Normal 345 4 2" xfId="9723"/>
    <cellStyle name="Normal 345 4 2 2" xfId="17511"/>
    <cellStyle name="Normal 345 4 2 2 2" xfId="35134"/>
    <cellStyle name="Normal 345 4 2 3" xfId="28093"/>
    <cellStyle name="Normal 345 4 3" xfId="14299"/>
    <cellStyle name="Normal 345 4 3 2" xfId="31920"/>
    <cellStyle name="Normal 345 4 4" xfId="25232"/>
    <cellStyle name="Normal 345 5" xfId="7291"/>
    <cellStyle name="Normal 345 5 2" xfId="10276"/>
    <cellStyle name="Normal 345 5 2 2" xfId="18063"/>
    <cellStyle name="Normal 345 5 2 2 2" xfId="35686"/>
    <cellStyle name="Normal 345 5 2 3" xfId="28629"/>
    <cellStyle name="Normal 345 5 3" xfId="15073"/>
    <cellStyle name="Normal 345 5 3 2" xfId="32694"/>
    <cellStyle name="Normal 345 5 4" xfId="25769"/>
    <cellStyle name="Normal 345 6" xfId="7889"/>
    <cellStyle name="Normal 345 6 2" xfId="15680"/>
    <cellStyle name="Normal 345 6 2 2" xfId="33301"/>
    <cellStyle name="Normal 345 6 3" xfId="26291"/>
    <cellStyle name="Normal 345 7" xfId="11833"/>
    <cellStyle name="Normal 345 7 2" xfId="29504"/>
    <cellStyle name="Normal 345 8" xfId="23430"/>
    <cellStyle name="Normal 345 9" xfId="52242"/>
    <cellStyle name="Normal 346" xfId="2618"/>
    <cellStyle name="Normal 346 2" xfId="4644"/>
    <cellStyle name="Normal 346 2 2" xfId="8571"/>
    <cellStyle name="Normal 346 2 2 2" xfId="16361"/>
    <cellStyle name="Normal 346 2 2 2 2" xfId="33982"/>
    <cellStyle name="Normal 346 2 2 3" xfId="26958"/>
    <cellStyle name="Normal 346 2 3" xfId="12837"/>
    <cellStyle name="Normal 346 2 3 2" xfId="30478"/>
    <cellStyle name="Normal 346 2 4" xfId="24097"/>
    <cellStyle name="Normal 346 3" xfId="5887"/>
    <cellStyle name="Normal 346 3 2" xfId="9184"/>
    <cellStyle name="Normal 346 3 2 2" xfId="16973"/>
    <cellStyle name="Normal 346 3 2 2 2" xfId="34595"/>
    <cellStyle name="Normal 346 3 2 3" xfId="27558"/>
    <cellStyle name="Normal 346 3 3" xfId="13737"/>
    <cellStyle name="Normal 346 3 3 2" xfId="31363"/>
    <cellStyle name="Normal 346 3 4" xfId="24697"/>
    <cellStyle name="Normal 346 4" xfId="6517"/>
    <cellStyle name="Normal 346 4 2" xfId="9724"/>
    <cellStyle name="Normal 346 4 2 2" xfId="17512"/>
    <cellStyle name="Normal 346 4 2 2 2" xfId="35135"/>
    <cellStyle name="Normal 346 4 2 3" xfId="28094"/>
    <cellStyle name="Normal 346 4 3" xfId="14300"/>
    <cellStyle name="Normal 346 4 3 2" xfId="31921"/>
    <cellStyle name="Normal 346 4 4" xfId="25233"/>
    <cellStyle name="Normal 346 5" xfId="7292"/>
    <cellStyle name="Normal 346 5 2" xfId="10277"/>
    <cellStyle name="Normal 346 5 2 2" xfId="18064"/>
    <cellStyle name="Normal 346 5 2 2 2" xfId="35687"/>
    <cellStyle name="Normal 346 5 2 3" xfId="28630"/>
    <cellStyle name="Normal 346 5 3" xfId="15074"/>
    <cellStyle name="Normal 346 5 3 2" xfId="32695"/>
    <cellStyle name="Normal 346 5 4" xfId="25770"/>
    <cellStyle name="Normal 346 6" xfId="7890"/>
    <cellStyle name="Normal 346 6 2" xfId="15681"/>
    <cellStyle name="Normal 346 6 2 2" xfId="33302"/>
    <cellStyle name="Normal 346 6 3" xfId="26292"/>
    <cellStyle name="Normal 346 7" xfId="11834"/>
    <cellStyle name="Normal 346 7 2" xfId="29505"/>
    <cellStyle name="Normal 346 8" xfId="23431"/>
    <cellStyle name="Normal 346 9" xfId="52243"/>
    <cellStyle name="Normal 347" xfId="2619"/>
    <cellStyle name="Normal 347 2" xfId="4645"/>
    <cellStyle name="Normal 347 2 2" xfId="8572"/>
    <cellStyle name="Normal 347 2 2 2" xfId="16362"/>
    <cellStyle name="Normal 347 2 2 2 2" xfId="33983"/>
    <cellStyle name="Normal 347 2 2 3" xfId="26959"/>
    <cellStyle name="Normal 347 2 3" xfId="12838"/>
    <cellStyle name="Normal 347 2 3 2" xfId="30479"/>
    <cellStyle name="Normal 347 2 4" xfId="24098"/>
    <cellStyle name="Normal 347 3" xfId="5888"/>
    <cellStyle name="Normal 347 3 2" xfId="9185"/>
    <cellStyle name="Normal 347 3 2 2" xfId="16974"/>
    <cellStyle name="Normal 347 3 2 2 2" xfId="34596"/>
    <cellStyle name="Normal 347 3 2 3" xfId="27559"/>
    <cellStyle name="Normal 347 3 3" xfId="13738"/>
    <cellStyle name="Normal 347 3 3 2" xfId="31364"/>
    <cellStyle name="Normal 347 3 4" xfId="24698"/>
    <cellStyle name="Normal 347 4" xfId="6518"/>
    <cellStyle name="Normal 347 4 2" xfId="9725"/>
    <cellStyle name="Normal 347 4 2 2" xfId="17513"/>
    <cellStyle name="Normal 347 4 2 2 2" xfId="35136"/>
    <cellStyle name="Normal 347 4 2 3" xfId="28095"/>
    <cellStyle name="Normal 347 4 3" xfId="14301"/>
    <cellStyle name="Normal 347 4 3 2" xfId="31922"/>
    <cellStyle name="Normal 347 4 4" xfId="25234"/>
    <cellStyle name="Normal 347 5" xfId="7293"/>
    <cellStyle name="Normal 347 5 2" xfId="10278"/>
    <cellStyle name="Normal 347 5 2 2" xfId="18065"/>
    <cellStyle name="Normal 347 5 2 2 2" xfId="35688"/>
    <cellStyle name="Normal 347 5 2 3" xfId="28631"/>
    <cellStyle name="Normal 347 5 3" xfId="15075"/>
    <cellStyle name="Normal 347 5 3 2" xfId="32696"/>
    <cellStyle name="Normal 347 5 4" xfId="25771"/>
    <cellStyle name="Normal 347 6" xfId="7891"/>
    <cellStyle name="Normal 347 6 2" xfId="15682"/>
    <cellStyle name="Normal 347 6 2 2" xfId="33303"/>
    <cellStyle name="Normal 347 6 3" xfId="26293"/>
    <cellStyle name="Normal 347 7" xfId="11835"/>
    <cellStyle name="Normal 347 7 2" xfId="29506"/>
    <cellStyle name="Normal 347 8" xfId="23432"/>
    <cellStyle name="Normal 347 9" xfId="52244"/>
    <cellStyle name="Normal 348" xfId="2620"/>
    <cellStyle name="Normal 348 2" xfId="4646"/>
    <cellStyle name="Normal 348 2 2" xfId="8573"/>
    <cellStyle name="Normal 348 2 2 2" xfId="16363"/>
    <cellStyle name="Normal 348 2 2 2 2" xfId="33984"/>
    <cellStyle name="Normal 348 2 2 3" xfId="26960"/>
    <cellStyle name="Normal 348 2 3" xfId="12839"/>
    <cellStyle name="Normal 348 2 3 2" xfId="30480"/>
    <cellStyle name="Normal 348 2 4" xfId="24099"/>
    <cellStyle name="Normal 348 3" xfId="5889"/>
    <cellStyle name="Normal 348 3 2" xfId="9186"/>
    <cellStyle name="Normal 348 3 2 2" xfId="16975"/>
    <cellStyle name="Normal 348 3 2 2 2" xfId="34597"/>
    <cellStyle name="Normal 348 3 2 3" xfId="27560"/>
    <cellStyle name="Normal 348 3 3" xfId="13739"/>
    <cellStyle name="Normal 348 3 3 2" xfId="31365"/>
    <cellStyle name="Normal 348 3 4" xfId="24699"/>
    <cellStyle name="Normal 348 4" xfId="6519"/>
    <cellStyle name="Normal 348 4 2" xfId="9726"/>
    <cellStyle name="Normal 348 4 2 2" xfId="17514"/>
    <cellStyle name="Normal 348 4 2 2 2" xfId="35137"/>
    <cellStyle name="Normal 348 4 2 3" xfId="28096"/>
    <cellStyle name="Normal 348 4 3" xfId="14302"/>
    <cellStyle name="Normal 348 4 3 2" xfId="31923"/>
    <cellStyle name="Normal 348 4 4" xfId="25235"/>
    <cellStyle name="Normal 348 5" xfId="7294"/>
    <cellStyle name="Normal 348 5 2" xfId="10279"/>
    <cellStyle name="Normal 348 5 2 2" xfId="18066"/>
    <cellStyle name="Normal 348 5 2 2 2" xfId="35689"/>
    <cellStyle name="Normal 348 5 2 3" xfId="28632"/>
    <cellStyle name="Normal 348 5 3" xfId="15076"/>
    <cellStyle name="Normal 348 5 3 2" xfId="32697"/>
    <cellStyle name="Normal 348 5 4" xfId="25772"/>
    <cellStyle name="Normal 348 6" xfId="7892"/>
    <cellStyle name="Normal 348 6 2" xfId="15683"/>
    <cellStyle name="Normal 348 6 2 2" xfId="33304"/>
    <cellStyle name="Normal 348 6 3" xfId="26294"/>
    <cellStyle name="Normal 348 7" xfId="11836"/>
    <cellStyle name="Normal 348 7 2" xfId="29507"/>
    <cellStyle name="Normal 348 8" xfId="23433"/>
    <cellStyle name="Normal 348 9" xfId="52245"/>
    <cellStyle name="Normal 349" xfId="2621"/>
    <cellStyle name="Normal 349 2" xfId="4647"/>
    <cellStyle name="Normal 349 2 2" xfId="8574"/>
    <cellStyle name="Normal 349 2 2 2" xfId="16364"/>
    <cellStyle name="Normal 349 2 2 2 2" xfId="33985"/>
    <cellStyle name="Normal 349 2 2 3" xfId="26961"/>
    <cellStyle name="Normal 349 2 3" xfId="12840"/>
    <cellStyle name="Normal 349 2 3 2" xfId="30481"/>
    <cellStyle name="Normal 349 2 4" xfId="24100"/>
    <cellStyle name="Normal 349 3" xfId="5890"/>
    <cellStyle name="Normal 349 3 2" xfId="9187"/>
    <cellStyle name="Normal 349 3 2 2" xfId="16976"/>
    <cellStyle name="Normal 349 3 2 2 2" xfId="34598"/>
    <cellStyle name="Normal 349 3 2 3" xfId="27561"/>
    <cellStyle name="Normal 349 3 3" xfId="13740"/>
    <cellStyle name="Normal 349 3 3 2" xfId="31366"/>
    <cellStyle name="Normal 349 3 4" xfId="24700"/>
    <cellStyle name="Normal 349 4" xfId="6520"/>
    <cellStyle name="Normal 349 4 2" xfId="9727"/>
    <cellStyle name="Normal 349 4 2 2" xfId="17515"/>
    <cellStyle name="Normal 349 4 2 2 2" xfId="35138"/>
    <cellStyle name="Normal 349 4 2 3" xfId="28097"/>
    <cellStyle name="Normal 349 4 3" xfId="14303"/>
    <cellStyle name="Normal 349 4 3 2" xfId="31924"/>
    <cellStyle name="Normal 349 4 4" xfId="25236"/>
    <cellStyle name="Normal 349 5" xfId="7295"/>
    <cellStyle name="Normal 349 5 2" xfId="10280"/>
    <cellStyle name="Normal 349 5 2 2" xfId="18067"/>
    <cellStyle name="Normal 349 5 2 2 2" xfId="35690"/>
    <cellStyle name="Normal 349 5 2 3" xfId="28633"/>
    <cellStyle name="Normal 349 5 3" xfId="15077"/>
    <cellStyle name="Normal 349 5 3 2" xfId="32698"/>
    <cellStyle name="Normal 349 5 4" xfId="25773"/>
    <cellStyle name="Normal 349 6" xfId="7893"/>
    <cellStyle name="Normal 349 6 2" xfId="15684"/>
    <cellStyle name="Normal 349 6 2 2" xfId="33305"/>
    <cellStyle name="Normal 349 6 3" xfId="26295"/>
    <cellStyle name="Normal 349 7" xfId="11837"/>
    <cellStyle name="Normal 349 7 2" xfId="29508"/>
    <cellStyle name="Normal 349 8" xfId="23434"/>
    <cellStyle name="Normal 349 9" xfId="52246"/>
    <cellStyle name="Normal 35" xfId="2622"/>
    <cellStyle name="Normal 35 10" xfId="2623"/>
    <cellStyle name="Normal 35 10 2" xfId="2624"/>
    <cellStyle name="Normal 35 10 2 2" xfId="4649"/>
    <cellStyle name="Normal 35 10 2 3" xfId="52248"/>
    <cellStyle name="Normal 35 10 3" xfId="4648"/>
    <cellStyle name="Normal 35 10 4" xfId="52247"/>
    <cellStyle name="Normal 35 10 5" xfId="53228"/>
    <cellStyle name="Normal 35 11" xfId="2625"/>
    <cellStyle name="Normal 35 11 2" xfId="2626"/>
    <cellStyle name="Normal 35 11 2 2" xfId="4651"/>
    <cellStyle name="Normal 35 11 2 3" xfId="52250"/>
    <cellStyle name="Normal 35 11 3" xfId="4650"/>
    <cellStyle name="Normal 35 11 4" xfId="52249"/>
    <cellStyle name="Normal 35 12" xfId="2627"/>
    <cellStyle name="Normal 35 12 2" xfId="2628"/>
    <cellStyle name="Normal 35 12 2 2" xfId="4653"/>
    <cellStyle name="Normal 35 12 2 3" xfId="52252"/>
    <cellStyle name="Normal 35 12 3" xfId="2629"/>
    <cellStyle name="Normal 35 12 3 2" xfId="2630"/>
    <cellStyle name="Normal 35 12 3 2 2" xfId="4655"/>
    <cellStyle name="Normal 35 12 3 2 3" xfId="52254"/>
    <cellStyle name="Normal 35 12 3 3" xfId="2631"/>
    <cellStyle name="Normal 35 12 3 3 2" xfId="2632"/>
    <cellStyle name="Normal 35 12 3 3 2 2" xfId="4657"/>
    <cellStyle name="Normal 35 12 3 3 2 3" xfId="52256"/>
    <cellStyle name="Normal 35 12 3 3 3" xfId="4656"/>
    <cellStyle name="Normal 35 12 3 3 4" xfId="52255"/>
    <cellStyle name="Normal 35 12 3 4" xfId="4658"/>
    <cellStyle name="Normal 35 12 3 5" xfId="4654"/>
    <cellStyle name="Normal 35 12 3 6" xfId="52253"/>
    <cellStyle name="Normal 35 12 4" xfId="4652"/>
    <cellStyle name="Normal 35 12 5" xfId="52251"/>
    <cellStyle name="Normal 35 13" xfId="2633"/>
    <cellStyle name="Normal 35 13 2" xfId="2634"/>
    <cellStyle name="Normal 35 13 2 2" xfId="4660"/>
    <cellStyle name="Normal 35 13 2 3" xfId="52258"/>
    <cellStyle name="Normal 35 13 3" xfId="2635"/>
    <cellStyle name="Normal 35 13 3 2" xfId="4661"/>
    <cellStyle name="Normal 35 13 3 3" xfId="52259"/>
    <cellStyle name="Normal 35 13 4" xfId="2636"/>
    <cellStyle name="Normal 35 13 5" xfId="4662"/>
    <cellStyle name="Normal 35 13 6" xfId="4663"/>
    <cellStyle name="Normal 35 13 7" xfId="4659"/>
    <cellStyle name="Normal 35 13 8" xfId="52257"/>
    <cellStyle name="Normal 35 14" xfId="2637"/>
    <cellStyle name="Normal 35 14 2" xfId="2638"/>
    <cellStyle name="Normal 35 14 2 2" xfId="4664"/>
    <cellStyle name="Normal 35 14 2 3" xfId="52261"/>
    <cellStyle name="Normal 35 14 3" xfId="2639"/>
    <cellStyle name="Normal 35 14 3 2" xfId="4666"/>
    <cellStyle name="Normal 35 14 3 3" xfId="4665"/>
    <cellStyle name="Normal 35 14 3 4" xfId="52262"/>
    <cellStyle name="Normal 35 14 4" xfId="2640"/>
    <cellStyle name="Normal 35 14 5" xfId="52260"/>
    <cellStyle name="Normal 35 15" xfId="2641"/>
    <cellStyle name="Normal 35 15 2" xfId="2642"/>
    <cellStyle name="Normal 35 15 3" xfId="52263"/>
    <cellStyle name="Normal 35 16" xfId="2643"/>
    <cellStyle name="Normal 35 16 2" xfId="2644"/>
    <cellStyle name="Normal 35 16 2 2" xfId="52265"/>
    <cellStyle name="Normal 35 16 3" xfId="2645"/>
    <cellStyle name="Normal 35 16 3 2" xfId="2646"/>
    <cellStyle name="Normal 35 16 3 3" xfId="2647"/>
    <cellStyle name="Normal 35 16 3 4" xfId="2648"/>
    <cellStyle name="Normal 35 16 4" xfId="52264"/>
    <cellStyle name="Normal 35 17" xfId="2649"/>
    <cellStyle name="Normal 35 17 2" xfId="2650"/>
    <cellStyle name="Normal 35 17 3" xfId="2651"/>
    <cellStyle name="Normal 35 18" xfId="2652"/>
    <cellStyle name="Normal 35 19" xfId="2653"/>
    <cellStyle name="Normal 35 2" xfId="2654"/>
    <cellStyle name="Normal 35 2 2" xfId="2655"/>
    <cellStyle name="Normal 35 2 2 2" xfId="2656"/>
    <cellStyle name="Normal 35 2 2 2 2" xfId="4669"/>
    <cellStyle name="Normal 35 2 2 2 3" xfId="52268"/>
    <cellStyle name="Normal 35 2 2 3" xfId="4668"/>
    <cellStyle name="Normal 35 2 2 4" xfId="52267"/>
    <cellStyle name="Normal 35 2 2_BallGrid" xfId="2657"/>
    <cellStyle name="Normal 35 2 3" xfId="2658"/>
    <cellStyle name="Normal 35 2 3 2" xfId="4670"/>
    <cellStyle name="Normal 35 2 3 3" xfId="52269"/>
    <cellStyle name="Normal 35 2 4" xfId="4667"/>
    <cellStyle name="Normal 35 2 5" xfId="22761"/>
    <cellStyle name="Normal 35 2 5 2" xfId="38954"/>
    <cellStyle name="Normal 35 2 6" xfId="22840"/>
    <cellStyle name="Normal 35 2 6 2" xfId="38999"/>
    <cellStyle name="Normal 35 2 7" xfId="52266"/>
    <cellStyle name="Normal 35 20" xfId="2659"/>
    <cellStyle name="Normal 35 21" xfId="53227"/>
    <cellStyle name="Normal 35 3" xfId="2660"/>
    <cellStyle name="Normal 35 3 2" xfId="4671"/>
    <cellStyle name="Normal 35 3 3" xfId="52270"/>
    <cellStyle name="Normal 35 4" xfId="2661"/>
    <cellStyle name="Normal 35 4 2" xfId="4672"/>
    <cellStyle name="Normal 35 4 3" xfId="52271"/>
    <cellStyle name="Normal 35 5" xfId="2662"/>
    <cellStyle name="Normal 35 5 2" xfId="2663"/>
    <cellStyle name="Normal 35 5 2 2" xfId="4674"/>
    <cellStyle name="Normal 35 5 2 3" xfId="52273"/>
    <cellStyle name="Normal 35 5 3" xfId="4673"/>
    <cellStyle name="Normal 35 5 4" xfId="52272"/>
    <cellStyle name="Normal 35 5_BallGrid" xfId="2664"/>
    <cellStyle name="Normal 35 6" xfId="2665"/>
    <cellStyle name="Normal 35 6 2" xfId="2666"/>
    <cellStyle name="Normal 35 6 2 2" xfId="4676"/>
    <cellStyle name="Normal 35 6 2 3" xfId="52275"/>
    <cellStyle name="Normal 35 6 3" xfId="4675"/>
    <cellStyle name="Normal 35 6 4" xfId="52274"/>
    <cellStyle name="Normal 35 7" xfId="2667"/>
    <cellStyle name="Normal 35 7 2" xfId="2668"/>
    <cellStyle name="Normal 35 7 2 2" xfId="4678"/>
    <cellStyle name="Normal 35 7 2 3" xfId="52277"/>
    <cellStyle name="Normal 35 7 3" xfId="2669"/>
    <cellStyle name="Normal 35 7 3 2" xfId="4679"/>
    <cellStyle name="Normal 35 7 3 3" xfId="52278"/>
    <cellStyle name="Normal 35 7 4" xfId="2670"/>
    <cellStyle name="Normal 35 7 4 2" xfId="2671"/>
    <cellStyle name="Normal 35 7 4 2 2" xfId="4681"/>
    <cellStyle name="Normal 35 7 4 2 3" xfId="52280"/>
    <cellStyle name="Normal 35 7 4 3" xfId="4680"/>
    <cellStyle name="Normal 35 7 4 4" xfId="52279"/>
    <cellStyle name="Normal 35 7 5" xfId="2672"/>
    <cellStyle name="Normal 35 7 5 2" xfId="2673"/>
    <cellStyle name="Normal 35 7 5 2 2" xfId="4683"/>
    <cellStyle name="Normal 35 7 5 2 3" xfId="52282"/>
    <cellStyle name="Normal 35 7 5 3" xfId="2674"/>
    <cellStyle name="Normal 35 7 5 3 2" xfId="2675"/>
    <cellStyle name="Normal 35 7 5 3 2 2" xfId="4685"/>
    <cellStyle name="Normal 35 7 5 3 2 3" xfId="52284"/>
    <cellStyle name="Normal 35 7 5 3 3" xfId="2676"/>
    <cellStyle name="Normal 35 7 5 3 3 2" xfId="2677"/>
    <cellStyle name="Normal 35 7 5 3 3 2 2" xfId="4687"/>
    <cellStyle name="Normal 35 7 5 3 3 2 3" xfId="52286"/>
    <cellStyle name="Normal 35 7 5 3 3 3" xfId="4686"/>
    <cellStyle name="Normal 35 7 5 3 3 4" xfId="52285"/>
    <cellStyle name="Normal 35 7 5 3 4" xfId="4688"/>
    <cellStyle name="Normal 35 7 5 3 5" xfId="4684"/>
    <cellStyle name="Normal 35 7 5 3 6" xfId="52283"/>
    <cellStyle name="Normal 35 7 5 4" xfId="4682"/>
    <cellStyle name="Normal 35 7 5 5" xfId="52281"/>
    <cellStyle name="Normal 35 7 6" xfId="4677"/>
    <cellStyle name="Normal 35 7 7" xfId="22552"/>
    <cellStyle name="Normal 35 7 7 2" xfId="38849"/>
    <cellStyle name="Normal 35 7 8" xfId="52276"/>
    <cellStyle name="Normal 35 8" xfId="2678"/>
    <cellStyle name="Normal 35 8 2" xfId="2679"/>
    <cellStyle name="Normal 35 8 2 2" xfId="4690"/>
    <cellStyle name="Normal 35 8 2 3" xfId="52288"/>
    <cellStyle name="Normal 35 8 3" xfId="2680"/>
    <cellStyle name="Normal 35 8 3 2" xfId="2681"/>
    <cellStyle name="Normal 35 8 3 2 2" xfId="4692"/>
    <cellStyle name="Normal 35 8 3 2 3" xfId="52290"/>
    <cellStyle name="Normal 35 8 3 3" xfId="4691"/>
    <cellStyle name="Normal 35 8 3 4" xfId="52289"/>
    <cellStyle name="Normal 35 8 4" xfId="2682"/>
    <cellStyle name="Normal 35 8 4 2" xfId="2683"/>
    <cellStyle name="Normal 35 8 4 2 2" xfId="4694"/>
    <cellStyle name="Normal 35 8 4 2 3" xfId="52292"/>
    <cellStyle name="Normal 35 8 4 3" xfId="2684"/>
    <cellStyle name="Normal 35 8 4 3 2" xfId="2685"/>
    <cellStyle name="Normal 35 8 4 3 2 2" xfId="4696"/>
    <cellStyle name="Normal 35 8 4 3 2 3" xfId="52294"/>
    <cellStyle name="Normal 35 8 4 3 3" xfId="2686"/>
    <cellStyle name="Normal 35 8 4 3 3 2" xfId="2687"/>
    <cellStyle name="Normal 35 8 4 3 3 2 2" xfId="4698"/>
    <cellStyle name="Normal 35 8 4 3 3 2 3" xfId="52296"/>
    <cellStyle name="Normal 35 8 4 3 3 3" xfId="4697"/>
    <cellStyle name="Normal 35 8 4 3 3 4" xfId="52295"/>
    <cellStyle name="Normal 35 8 4 3 4" xfId="4699"/>
    <cellStyle name="Normal 35 8 4 3 5" xfId="4695"/>
    <cellStyle name="Normal 35 8 4 3 6" xfId="52293"/>
    <cellStyle name="Normal 35 8 4 4" xfId="4693"/>
    <cellStyle name="Normal 35 8 4 5" xfId="52291"/>
    <cellStyle name="Normal 35 8 5" xfId="4689"/>
    <cellStyle name="Normal 35 8 6" xfId="22306"/>
    <cellStyle name="Normal 35 8 6 2" xfId="38805"/>
    <cellStyle name="Normal 35 8 7" xfId="52287"/>
    <cellStyle name="Normal 35 9" xfId="2688"/>
    <cellStyle name="Normal 35 9 2" xfId="2689"/>
    <cellStyle name="Normal 35 9 2 2" xfId="4701"/>
    <cellStyle name="Normal 35 9 2 3" xfId="52298"/>
    <cellStyle name="Normal 35 9 3" xfId="2690"/>
    <cellStyle name="Normal 35 9 3 2" xfId="2691"/>
    <cellStyle name="Normal 35 9 3 2 2" xfId="4703"/>
    <cellStyle name="Normal 35 9 3 2 3" xfId="52300"/>
    <cellStyle name="Normal 35 9 3 3" xfId="4702"/>
    <cellStyle name="Normal 35 9 3 4" xfId="52299"/>
    <cellStyle name="Normal 35 9 4" xfId="2692"/>
    <cellStyle name="Normal 35 9 4 2" xfId="4704"/>
    <cellStyle name="Normal 35 9 4 3" xfId="52301"/>
    <cellStyle name="Normal 35 9 5" xfId="4700"/>
    <cellStyle name="Normal 35 9 6" xfId="52297"/>
    <cellStyle name="Normal 35_BallGrid" xfId="2693"/>
    <cellStyle name="Normal 350" xfId="2694"/>
    <cellStyle name="Normal 350 2" xfId="4705"/>
    <cellStyle name="Normal 350 2 2" xfId="8575"/>
    <cellStyle name="Normal 350 2 2 2" xfId="16365"/>
    <cellStyle name="Normal 350 2 2 2 2" xfId="33986"/>
    <cellStyle name="Normal 350 2 2 3" xfId="26962"/>
    <cellStyle name="Normal 350 2 3" xfId="12860"/>
    <cellStyle name="Normal 350 2 3 2" xfId="30496"/>
    <cellStyle name="Normal 350 2 4" xfId="24101"/>
    <cellStyle name="Normal 350 3" xfId="5891"/>
    <cellStyle name="Normal 350 3 2" xfId="9188"/>
    <cellStyle name="Normal 350 3 2 2" xfId="16977"/>
    <cellStyle name="Normal 350 3 2 2 2" xfId="34599"/>
    <cellStyle name="Normal 350 3 2 3" xfId="27562"/>
    <cellStyle name="Normal 350 3 3" xfId="13741"/>
    <cellStyle name="Normal 350 3 3 2" xfId="31367"/>
    <cellStyle name="Normal 350 3 4" xfId="24701"/>
    <cellStyle name="Normal 350 4" xfId="6521"/>
    <cellStyle name="Normal 350 4 2" xfId="9728"/>
    <cellStyle name="Normal 350 4 2 2" xfId="17516"/>
    <cellStyle name="Normal 350 4 2 2 2" xfId="35139"/>
    <cellStyle name="Normal 350 4 2 3" xfId="28098"/>
    <cellStyle name="Normal 350 4 3" xfId="14304"/>
    <cellStyle name="Normal 350 4 3 2" xfId="31925"/>
    <cellStyle name="Normal 350 4 4" xfId="25237"/>
    <cellStyle name="Normal 350 5" xfId="7296"/>
    <cellStyle name="Normal 350 5 2" xfId="10281"/>
    <cellStyle name="Normal 350 5 2 2" xfId="18068"/>
    <cellStyle name="Normal 350 5 2 2 2" xfId="35691"/>
    <cellStyle name="Normal 350 5 2 3" xfId="28634"/>
    <cellStyle name="Normal 350 5 3" xfId="15078"/>
    <cellStyle name="Normal 350 5 3 2" xfId="32699"/>
    <cellStyle name="Normal 350 5 4" xfId="25774"/>
    <cellStyle name="Normal 350 6" xfId="7894"/>
    <cellStyle name="Normal 350 6 2" xfId="15685"/>
    <cellStyle name="Normal 350 6 2 2" xfId="33306"/>
    <cellStyle name="Normal 350 6 3" xfId="26296"/>
    <cellStyle name="Normal 350 7" xfId="11848"/>
    <cellStyle name="Normal 350 7 2" xfId="29517"/>
    <cellStyle name="Normal 350 8" xfId="23435"/>
    <cellStyle name="Normal 350 9" xfId="52302"/>
    <cellStyle name="Normal 351" xfId="2695"/>
    <cellStyle name="Normal 351 2" xfId="4706"/>
    <cellStyle name="Normal 351 2 2" xfId="8576"/>
    <cellStyle name="Normal 351 2 2 2" xfId="16366"/>
    <cellStyle name="Normal 351 2 2 2 2" xfId="33987"/>
    <cellStyle name="Normal 351 2 2 3" xfId="26963"/>
    <cellStyle name="Normal 351 2 3" xfId="12861"/>
    <cellStyle name="Normal 351 2 3 2" xfId="30497"/>
    <cellStyle name="Normal 351 2 4" xfId="24102"/>
    <cellStyle name="Normal 351 3" xfId="5892"/>
    <cellStyle name="Normal 351 3 2" xfId="9189"/>
    <cellStyle name="Normal 351 3 2 2" xfId="16978"/>
    <cellStyle name="Normal 351 3 2 2 2" xfId="34600"/>
    <cellStyle name="Normal 351 3 2 3" xfId="27563"/>
    <cellStyle name="Normal 351 3 3" xfId="13742"/>
    <cellStyle name="Normal 351 3 3 2" xfId="31368"/>
    <cellStyle name="Normal 351 3 4" xfId="24702"/>
    <cellStyle name="Normal 351 4" xfId="6522"/>
    <cellStyle name="Normal 351 4 2" xfId="9729"/>
    <cellStyle name="Normal 351 4 2 2" xfId="17517"/>
    <cellStyle name="Normal 351 4 2 2 2" xfId="35140"/>
    <cellStyle name="Normal 351 4 2 3" xfId="28099"/>
    <cellStyle name="Normal 351 4 3" xfId="14305"/>
    <cellStyle name="Normal 351 4 3 2" xfId="31926"/>
    <cellStyle name="Normal 351 4 4" xfId="25238"/>
    <cellStyle name="Normal 351 5" xfId="7297"/>
    <cellStyle name="Normal 351 5 2" xfId="10282"/>
    <cellStyle name="Normal 351 5 2 2" xfId="18069"/>
    <cellStyle name="Normal 351 5 2 2 2" xfId="35692"/>
    <cellStyle name="Normal 351 5 2 3" xfId="28635"/>
    <cellStyle name="Normal 351 5 3" xfId="15079"/>
    <cellStyle name="Normal 351 5 3 2" xfId="32700"/>
    <cellStyle name="Normal 351 5 4" xfId="25775"/>
    <cellStyle name="Normal 351 6" xfId="7895"/>
    <cellStyle name="Normal 351 6 2" xfId="15686"/>
    <cellStyle name="Normal 351 6 2 2" xfId="33307"/>
    <cellStyle name="Normal 351 6 3" xfId="26297"/>
    <cellStyle name="Normal 351 7" xfId="11849"/>
    <cellStyle name="Normal 351 7 2" xfId="29518"/>
    <cellStyle name="Normal 351 8" xfId="23436"/>
    <cellStyle name="Normal 351 9" xfId="52303"/>
    <cellStyle name="Normal 352" xfId="2696"/>
    <cellStyle name="Normal 352 2" xfId="4707"/>
    <cellStyle name="Normal 352 2 2" xfId="8577"/>
    <cellStyle name="Normal 352 2 2 2" xfId="16367"/>
    <cellStyle name="Normal 352 2 2 2 2" xfId="33988"/>
    <cellStyle name="Normal 352 2 2 3" xfId="26964"/>
    <cellStyle name="Normal 352 2 3" xfId="12862"/>
    <cellStyle name="Normal 352 2 3 2" xfId="30498"/>
    <cellStyle name="Normal 352 2 4" xfId="24103"/>
    <cellStyle name="Normal 352 3" xfId="5893"/>
    <cellStyle name="Normal 352 3 2" xfId="9190"/>
    <cellStyle name="Normal 352 3 2 2" xfId="16979"/>
    <cellStyle name="Normal 352 3 2 2 2" xfId="34601"/>
    <cellStyle name="Normal 352 3 2 3" xfId="27564"/>
    <cellStyle name="Normal 352 3 3" xfId="13743"/>
    <cellStyle name="Normal 352 3 3 2" xfId="31369"/>
    <cellStyle name="Normal 352 3 4" xfId="24703"/>
    <cellStyle name="Normal 352 4" xfId="6523"/>
    <cellStyle name="Normal 352 4 2" xfId="9730"/>
    <cellStyle name="Normal 352 4 2 2" xfId="17518"/>
    <cellStyle name="Normal 352 4 2 2 2" xfId="35141"/>
    <cellStyle name="Normal 352 4 2 3" xfId="28100"/>
    <cellStyle name="Normal 352 4 3" xfId="14306"/>
    <cellStyle name="Normal 352 4 3 2" xfId="31927"/>
    <cellStyle name="Normal 352 4 4" xfId="25239"/>
    <cellStyle name="Normal 352 5" xfId="7298"/>
    <cellStyle name="Normal 352 5 2" xfId="10283"/>
    <cellStyle name="Normal 352 5 2 2" xfId="18070"/>
    <cellStyle name="Normal 352 5 2 2 2" xfId="35693"/>
    <cellStyle name="Normal 352 5 2 3" xfId="28636"/>
    <cellStyle name="Normal 352 5 3" xfId="15080"/>
    <cellStyle name="Normal 352 5 3 2" xfId="32701"/>
    <cellStyle name="Normal 352 5 4" xfId="25776"/>
    <cellStyle name="Normal 352 6" xfId="7896"/>
    <cellStyle name="Normal 352 6 2" xfId="15687"/>
    <cellStyle name="Normal 352 6 2 2" xfId="33308"/>
    <cellStyle name="Normal 352 6 3" xfId="26298"/>
    <cellStyle name="Normal 352 7" xfId="11850"/>
    <cellStyle name="Normal 352 7 2" xfId="29519"/>
    <cellStyle name="Normal 352 8" xfId="23437"/>
    <cellStyle name="Normal 352 9" xfId="52304"/>
    <cellStyle name="Normal 353" xfId="2697"/>
    <cellStyle name="Normal 353 2" xfId="4708"/>
    <cellStyle name="Normal 353 2 2" xfId="8578"/>
    <cellStyle name="Normal 353 2 2 2" xfId="16368"/>
    <cellStyle name="Normal 353 2 2 2 2" xfId="33989"/>
    <cellStyle name="Normal 353 2 2 3" xfId="26965"/>
    <cellStyle name="Normal 353 2 3" xfId="12863"/>
    <cellStyle name="Normal 353 2 3 2" xfId="30499"/>
    <cellStyle name="Normal 353 2 4" xfId="24104"/>
    <cellStyle name="Normal 353 3" xfId="5894"/>
    <cellStyle name="Normal 353 3 2" xfId="9191"/>
    <cellStyle name="Normal 353 3 2 2" xfId="16980"/>
    <cellStyle name="Normal 353 3 2 2 2" xfId="34602"/>
    <cellStyle name="Normal 353 3 2 3" xfId="27565"/>
    <cellStyle name="Normal 353 3 3" xfId="13744"/>
    <cellStyle name="Normal 353 3 3 2" xfId="31370"/>
    <cellStyle name="Normal 353 3 4" xfId="24704"/>
    <cellStyle name="Normal 353 4" xfId="6524"/>
    <cellStyle name="Normal 353 4 2" xfId="9731"/>
    <cellStyle name="Normal 353 4 2 2" xfId="17519"/>
    <cellStyle name="Normal 353 4 2 2 2" xfId="35142"/>
    <cellStyle name="Normal 353 4 2 3" xfId="28101"/>
    <cellStyle name="Normal 353 4 3" xfId="14307"/>
    <cellStyle name="Normal 353 4 3 2" xfId="31928"/>
    <cellStyle name="Normal 353 4 4" xfId="25240"/>
    <cellStyle name="Normal 353 5" xfId="7299"/>
    <cellStyle name="Normal 353 5 2" xfId="10284"/>
    <cellStyle name="Normal 353 5 2 2" xfId="18071"/>
    <cellStyle name="Normal 353 5 2 2 2" xfId="35694"/>
    <cellStyle name="Normal 353 5 2 3" xfId="28637"/>
    <cellStyle name="Normal 353 5 3" xfId="15081"/>
    <cellStyle name="Normal 353 5 3 2" xfId="32702"/>
    <cellStyle name="Normal 353 5 4" xfId="25777"/>
    <cellStyle name="Normal 353 6" xfId="7897"/>
    <cellStyle name="Normal 353 6 2" xfId="15688"/>
    <cellStyle name="Normal 353 6 2 2" xfId="33309"/>
    <cellStyle name="Normal 353 6 3" xfId="26299"/>
    <cellStyle name="Normal 353 7" xfId="11851"/>
    <cellStyle name="Normal 353 7 2" xfId="29520"/>
    <cellStyle name="Normal 353 8" xfId="23438"/>
    <cellStyle name="Normal 353 9" xfId="52305"/>
    <cellStyle name="Normal 354" xfId="2698"/>
    <cellStyle name="Normal 354 2" xfId="4709"/>
    <cellStyle name="Normal 354 2 2" xfId="8579"/>
    <cellStyle name="Normal 354 2 2 2" xfId="16369"/>
    <cellStyle name="Normal 354 2 2 2 2" xfId="33990"/>
    <cellStyle name="Normal 354 2 2 3" xfId="26966"/>
    <cellStyle name="Normal 354 2 3" xfId="12864"/>
    <cellStyle name="Normal 354 2 3 2" xfId="30500"/>
    <cellStyle name="Normal 354 2 4" xfId="24105"/>
    <cellStyle name="Normal 354 3" xfId="5895"/>
    <cellStyle name="Normal 354 3 2" xfId="9192"/>
    <cellStyle name="Normal 354 3 2 2" xfId="16981"/>
    <cellStyle name="Normal 354 3 2 2 2" xfId="34603"/>
    <cellStyle name="Normal 354 3 2 3" xfId="27566"/>
    <cellStyle name="Normal 354 3 3" xfId="13745"/>
    <cellStyle name="Normal 354 3 3 2" xfId="31371"/>
    <cellStyle name="Normal 354 3 4" xfId="24705"/>
    <cellStyle name="Normal 354 4" xfId="6525"/>
    <cellStyle name="Normal 354 4 2" xfId="9732"/>
    <cellStyle name="Normal 354 4 2 2" xfId="17520"/>
    <cellStyle name="Normal 354 4 2 2 2" xfId="35143"/>
    <cellStyle name="Normal 354 4 2 3" xfId="28102"/>
    <cellStyle name="Normal 354 4 3" xfId="14308"/>
    <cellStyle name="Normal 354 4 3 2" xfId="31929"/>
    <cellStyle name="Normal 354 4 4" xfId="25241"/>
    <cellStyle name="Normal 354 5" xfId="7300"/>
    <cellStyle name="Normal 354 5 2" xfId="10285"/>
    <cellStyle name="Normal 354 5 2 2" xfId="18072"/>
    <cellStyle name="Normal 354 5 2 2 2" xfId="35695"/>
    <cellStyle name="Normal 354 5 2 3" xfId="28638"/>
    <cellStyle name="Normal 354 5 3" xfId="15082"/>
    <cellStyle name="Normal 354 5 3 2" xfId="32703"/>
    <cellStyle name="Normal 354 5 4" xfId="25778"/>
    <cellStyle name="Normal 354 6" xfId="7898"/>
    <cellStyle name="Normal 354 6 2" xfId="15689"/>
    <cellStyle name="Normal 354 6 2 2" xfId="33310"/>
    <cellStyle name="Normal 354 6 3" xfId="26300"/>
    <cellStyle name="Normal 354 7" xfId="11852"/>
    <cellStyle name="Normal 354 7 2" xfId="29521"/>
    <cellStyle name="Normal 354 8" xfId="23439"/>
    <cellStyle name="Normal 354 9" xfId="52306"/>
    <cellStyle name="Normal 355" xfId="2699"/>
    <cellStyle name="Normal 355 2" xfId="4710"/>
    <cellStyle name="Normal 355 2 2" xfId="8580"/>
    <cellStyle name="Normal 355 2 2 2" xfId="16370"/>
    <cellStyle name="Normal 355 2 2 2 2" xfId="33991"/>
    <cellStyle name="Normal 355 2 2 3" xfId="26967"/>
    <cellStyle name="Normal 355 2 3" xfId="12865"/>
    <cellStyle name="Normal 355 2 3 2" xfId="30501"/>
    <cellStyle name="Normal 355 2 4" xfId="24106"/>
    <cellStyle name="Normal 355 3" xfId="5896"/>
    <cellStyle name="Normal 355 3 2" xfId="9193"/>
    <cellStyle name="Normal 355 3 2 2" xfId="16982"/>
    <cellStyle name="Normal 355 3 2 2 2" xfId="34604"/>
    <cellStyle name="Normal 355 3 2 3" xfId="27567"/>
    <cellStyle name="Normal 355 3 3" xfId="13746"/>
    <cellStyle name="Normal 355 3 3 2" xfId="31372"/>
    <cellStyle name="Normal 355 3 4" xfId="24706"/>
    <cellStyle name="Normal 355 4" xfId="6526"/>
    <cellStyle name="Normal 355 4 2" xfId="9733"/>
    <cellStyle name="Normal 355 4 2 2" xfId="17521"/>
    <cellStyle name="Normal 355 4 2 2 2" xfId="35144"/>
    <cellStyle name="Normal 355 4 2 3" xfId="28103"/>
    <cellStyle name="Normal 355 4 3" xfId="14309"/>
    <cellStyle name="Normal 355 4 3 2" xfId="31930"/>
    <cellStyle name="Normal 355 4 4" xfId="25242"/>
    <cellStyle name="Normal 355 5" xfId="7301"/>
    <cellStyle name="Normal 355 5 2" xfId="10286"/>
    <cellStyle name="Normal 355 5 2 2" xfId="18073"/>
    <cellStyle name="Normal 355 5 2 2 2" xfId="35696"/>
    <cellStyle name="Normal 355 5 2 3" xfId="28639"/>
    <cellStyle name="Normal 355 5 3" xfId="15083"/>
    <cellStyle name="Normal 355 5 3 2" xfId="32704"/>
    <cellStyle name="Normal 355 5 4" xfId="25779"/>
    <cellStyle name="Normal 355 6" xfId="7899"/>
    <cellStyle name="Normal 355 6 2" xfId="15690"/>
    <cellStyle name="Normal 355 6 2 2" xfId="33311"/>
    <cellStyle name="Normal 355 6 3" xfId="26301"/>
    <cellStyle name="Normal 355 7" xfId="11853"/>
    <cellStyle name="Normal 355 7 2" xfId="29522"/>
    <cellStyle name="Normal 355 8" xfId="23440"/>
    <cellStyle name="Normal 355 9" xfId="52307"/>
    <cellStyle name="Normal 356" xfId="2700"/>
    <cellStyle name="Normal 356 2" xfId="4711"/>
    <cellStyle name="Normal 356 2 2" xfId="8581"/>
    <cellStyle name="Normal 356 2 2 2" xfId="16371"/>
    <cellStyle name="Normal 356 2 2 2 2" xfId="33992"/>
    <cellStyle name="Normal 356 2 2 3" xfId="26968"/>
    <cellStyle name="Normal 356 2 3" xfId="12866"/>
    <cellStyle name="Normal 356 2 3 2" xfId="30502"/>
    <cellStyle name="Normal 356 2 4" xfId="24107"/>
    <cellStyle name="Normal 356 3" xfId="5897"/>
    <cellStyle name="Normal 356 3 2" xfId="9194"/>
    <cellStyle name="Normal 356 3 2 2" xfId="16983"/>
    <cellStyle name="Normal 356 3 2 2 2" xfId="34605"/>
    <cellStyle name="Normal 356 3 2 3" xfId="27568"/>
    <cellStyle name="Normal 356 3 3" xfId="13747"/>
    <cellStyle name="Normal 356 3 3 2" xfId="31373"/>
    <cellStyle name="Normal 356 3 4" xfId="24707"/>
    <cellStyle name="Normal 356 4" xfId="6527"/>
    <cellStyle name="Normal 356 4 2" xfId="9734"/>
    <cellStyle name="Normal 356 4 2 2" xfId="17522"/>
    <cellStyle name="Normal 356 4 2 2 2" xfId="35145"/>
    <cellStyle name="Normal 356 4 2 3" xfId="28104"/>
    <cellStyle name="Normal 356 4 3" xfId="14310"/>
    <cellStyle name="Normal 356 4 3 2" xfId="31931"/>
    <cellStyle name="Normal 356 4 4" xfId="25243"/>
    <cellStyle name="Normal 356 5" xfId="7302"/>
    <cellStyle name="Normal 356 5 2" xfId="10287"/>
    <cellStyle name="Normal 356 5 2 2" xfId="18074"/>
    <cellStyle name="Normal 356 5 2 2 2" xfId="35697"/>
    <cellStyle name="Normal 356 5 2 3" xfId="28640"/>
    <cellStyle name="Normal 356 5 3" xfId="15084"/>
    <cellStyle name="Normal 356 5 3 2" xfId="32705"/>
    <cellStyle name="Normal 356 5 4" xfId="25780"/>
    <cellStyle name="Normal 356 6" xfId="7900"/>
    <cellStyle name="Normal 356 6 2" xfId="15691"/>
    <cellStyle name="Normal 356 6 2 2" xfId="33312"/>
    <cellStyle name="Normal 356 6 3" xfId="26302"/>
    <cellStyle name="Normal 356 7" xfId="11854"/>
    <cellStyle name="Normal 356 7 2" xfId="29523"/>
    <cellStyle name="Normal 356 8" xfId="23441"/>
    <cellStyle name="Normal 356 9" xfId="52308"/>
    <cellStyle name="Normal 357" xfId="2701"/>
    <cellStyle name="Normal 357 2" xfId="4712"/>
    <cellStyle name="Normal 357 2 2" xfId="8582"/>
    <cellStyle name="Normal 357 2 2 2" xfId="16372"/>
    <cellStyle name="Normal 357 2 2 2 2" xfId="33993"/>
    <cellStyle name="Normal 357 2 2 3" xfId="26969"/>
    <cellStyle name="Normal 357 2 3" xfId="12867"/>
    <cellStyle name="Normal 357 2 3 2" xfId="30503"/>
    <cellStyle name="Normal 357 2 4" xfId="24108"/>
    <cellStyle name="Normal 357 3" xfId="5898"/>
    <cellStyle name="Normal 357 3 2" xfId="9195"/>
    <cellStyle name="Normal 357 3 2 2" xfId="16984"/>
    <cellStyle name="Normal 357 3 2 2 2" xfId="34606"/>
    <cellStyle name="Normal 357 3 2 3" xfId="27569"/>
    <cellStyle name="Normal 357 3 3" xfId="13748"/>
    <cellStyle name="Normal 357 3 3 2" xfId="31374"/>
    <cellStyle name="Normal 357 3 4" xfId="24708"/>
    <cellStyle name="Normal 357 4" xfId="6528"/>
    <cellStyle name="Normal 357 4 2" xfId="9735"/>
    <cellStyle name="Normal 357 4 2 2" xfId="17523"/>
    <cellStyle name="Normal 357 4 2 2 2" xfId="35146"/>
    <cellStyle name="Normal 357 4 2 3" xfId="28105"/>
    <cellStyle name="Normal 357 4 3" xfId="14311"/>
    <cellStyle name="Normal 357 4 3 2" xfId="31932"/>
    <cellStyle name="Normal 357 4 4" xfId="25244"/>
    <cellStyle name="Normal 357 5" xfId="7303"/>
    <cellStyle name="Normal 357 5 2" xfId="10288"/>
    <cellStyle name="Normal 357 5 2 2" xfId="18075"/>
    <cellStyle name="Normal 357 5 2 2 2" xfId="35698"/>
    <cellStyle name="Normal 357 5 2 3" xfId="28641"/>
    <cellStyle name="Normal 357 5 3" xfId="15085"/>
    <cellStyle name="Normal 357 5 3 2" xfId="32706"/>
    <cellStyle name="Normal 357 5 4" xfId="25781"/>
    <cellStyle name="Normal 357 6" xfId="7901"/>
    <cellStyle name="Normal 357 6 2" xfId="15692"/>
    <cellStyle name="Normal 357 6 2 2" xfId="33313"/>
    <cellStyle name="Normal 357 6 3" xfId="26303"/>
    <cellStyle name="Normal 357 7" xfId="11855"/>
    <cellStyle name="Normal 357 7 2" xfId="29524"/>
    <cellStyle name="Normal 357 8" xfId="23442"/>
    <cellStyle name="Normal 357 9" xfId="52309"/>
    <cellStyle name="Normal 358" xfId="2702"/>
    <cellStyle name="Normal 358 2" xfId="4713"/>
    <cellStyle name="Normal 358 2 2" xfId="8583"/>
    <cellStyle name="Normal 358 2 2 2" xfId="16373"/>
    <cellStyle name="Normal 358 2 2 2 2" xfId="33994"/>
    <cellStyle name="Normal 358 2 2 3" xfId="26970"/>
    <cellStyle name="Normal 358 2 3" xfId="12868"/>
    <cellStyle name="Normal 358 2 3 2" xfId="30504"/>
    <cellStyle name="Normal 358 2 4" xfId="24109"/>
    <cellStyle name="Normal 358 3" xfId="5899"/>
    <cellStyle name="Normal 358 3 2" xfId="9196"/>
    <cellStyle name="Normal 358 3 2 2" xfId="16985"/>
    <cellStyle name="Normal 358 3 2 2 2" xfId="34607"/>
    <cellStyle name="Normal 358 3 2 3" xfId="27570"/>
    <cellStyle name="Normal 358 3 3" xfId="13749"/>
    <cellStyle name="Normal 358 3 3 2" xfId="31375"/>
    <cellStyle name="Normal 358 3 4" xfId="24709"/>
    <cellStyle name="Normal 358 4" xfId="6529"/>
    <cellStyle name="Normal 358 4 2" xfId="9736"/>
    <cellStyle name="Normal 358 4 2 2" xfId="17524"/>
    <cellStyle name="Normal 358 4 2 2 2" xfId="35147"/>
    <cellStyle name="Normal 358 4 2 3" xfId="28106"/>
    <cellStyle name="Normal 358 4 3" xfId="14312"/>
    <cellStyle name="Normal 358 4 3 2" xfId="31933"/>
    <cellStyle name="Normal 358 4 4" xfId="25245"/>
    <cellStyle name="Normal 358 5" xfId="7304"/>
    <cellStyle name="Normal 358 5 2" xfId="10289"/>
    <cellStyle name="Normal 358 5 2 2" xfId="18076"/>
    <cellStyle name="Normal 358 5 2 2 2" xfId="35699"/>
    <cellStyle name="Normal 358 5 2 3" xfId="28642"/>
    <cellStyle name="Normal 358 5 3" xfId="15086"/>
    <cellStyle name="Normal 358 5 3 2" xfId="32707"/>
    <cellStyle name="Normal 358 5 4" xfId="25782"/>
    <cellStyle name="Normal 358 6" xfId="7902"/>
    <cellStyle name="Normal 358 6 2" xfId="15693"/>
    <cellStyle name="Normal 358 6 2 2" xfId="33314"/>
    <cellStyle name="Normal 358 6 3" xfId="26304"/>
    <cellStyle name="Normal 358 7" xfId="11856"/>
    <cellStyle name="Normal 358 7 2" xfId="29525"/>
    <cellStyle name="Normal 358 8" xfId="23443"/>
    <cellStyle name="Normal 358 9" xfId="52310"/>
    <cellStyle name="Normal 359" xfId="2703"/>
    <cellStyle name="Normal 359 2" xfId="4714"/>
    <cellStyle name="Normal 359 2 2" xfId="8584"/>
    <cellStyle name="Normal 359 2 2 2" xfId="16374"/>
    <cellStyle name="Normal 359 2 2 2 2" xfId="33995"/>
    <cellStyle name="Normal 359 2 2 3" xfId="26971"/>
    <cellStyle name="Normal 359 2 3" xfId="12869"/>
    <cellStyle name="Normal 359 2 3 2" xfId="30505"/>
    <cellStyle name="Normal 359 2 4" xfId="24110"/>
    <cellStyle name="Normal 359 3" xfId="5900"/>
    <cellStyle name="Normal 359 3 2" xfId="9197"/>
    <cellStyle name="Normal 359 3 2 2" xfId="16986"/>
    <cellStyle name="Normal 359 3 2 2 2" xfId="34608"/>
    <cellStyle name="Normal 359 3 2 3" xfId="27571"/>
    <cellStyle name="Normal 359 3 3" xfId="13750"/>
    <cellStyle name="Normal 359 3 3 2" xfId="31376"/>
    <cellStyle name="Normal 359 3 4" xfId="24710"/>
    <cellStyle name="Normal 359 4" xfId="6530"/>
    <cellStyle name="Normal 359 4 2" xfId="9737"/>
    <cellStyle name="Normal 359 4 2 2" xfId="17525"/>
    <cellStyle name="Normal 359 4 2 2 2" xfId="35148"/>
    <cellStyle name="Normal 359 4 2 3" xfId="28107"/>
    <cellStyle name="Normal 359 4 3" xfId="14313"/>
    <cellStyle name="Normal 359 4 3 2" xfId="31934"/>
    <cellStyle name="Normal 359 4 4" xfId="25246"/>
    <cellStyle name="Normal 359 5" xfId="7305"/>
    <cellStyle name="Normal 359 5 2" xfId="10290"/>
    <cellStyle name="Normal 359 5 2 2" xfId="18077"/>
    <cellStyle name="Normal 359 5 2 2 2" xfId="35700"/>
    <cellStyle name="Normal 359 5 2 3" xfId="28643"/>
    <cellStyle name="Normal 359 5 3" xfId="15087"/>
    <cellStyle name="Normal 359 5 3 2" xfId="32708"/>
    <cellStyle name="Normal 359 5 4" xfId="25783"/>
    <cellStyle name="Normal 359 6" xfId="7903"/>
    <cellStyle name="Normal 359 6 2" xfId="15694"/>
    <cellStyle name="Normal 359 6 2 2" xfId="33315"/>
    <cellStyle name="Normal 359 6 3" xfId="26305"/>
    <cellStyle name="Normal 359 7" xfId="11857"/>
    <cellStyle name="Normal 359 7 2" xfId="29526"/>
    <cellStyle name="Normal 359 8" xfId="23444"/>
    <cellStyle name="Normal 359 9" xfId="52311"/>
    <cellStyle name="Normal 36" xfId="2704"/>
    <cellStyle name="Normal 36 2" xfId="4715"/>
    <cellStyle name="Normal 36 2 2" xfId="22762"/>
    <cellStyle name="Normal 36 2 2 2" xfId="38955"/>
    <cellStyle name="Normal 36 3" xfId="22978"/>
    <cellStyle name="Normal 36 4" xfId="22553"/>
    <cellStyle name="Normal 36 4 2" xfId="38850"/>
    <cellStyle name="Normal 36 5" xfId="52312"/>
    <cellStyle name="Normal 360" xfId="2705"/>
    <cellStyle name="Normal 360 2" xfId="4716"/>
    <cellStyle name="Normal 360 2 2" xfId="8585"/>
    <cellStyle name="Normal 360 2 2 2" xfId="16375"/>
    <cellStyle name="Normal 360 2 2 2 2" xfId="33996"/>
    <cellStyle name="Normal 360 2 2 3" xfId="26972"/>
    <cellStyle name="Normal 360 2 3" xfId="12870"/>
    <cellStyle name="Normal 360 2 3 2" xfId="30506"/>
    <cellStyle name="Normal 360 2 4" xfId="24111"/>
    <cellStyle name="Normal 360 3" xfId="5901"/>
    <cellStyle name="Normal 360 3 2" xfId="9198"/>
    <cellStyle name="Normal 360 3 2 2" xfId="16987"/>
    <cellStyle name="Normal 360 3 2 2 2" xfId="34609"/>
    <cellStyle name="Normal 360 3 2 3" xfId="27572"/>
    <cellStyle name="Normal 360 3 3" xfId="13751"/>
    <cellStyle name="Normal 360 3 3 2" xfId="31377"/>
    <cellStyle name="Normal 360 3 4" xfId="24711"/>
    <cellStyle name="Normal 360 4" xfId="6531"/>
    <cellStyle name="Normal 360 4 2" xfId="9738"/>
    <cellStyle name="Normal 360 4 2 2" xfId="17526"/>
    <cellStyle name="Normal 360 4 2 2 2" xfId="35149"/>
    <cellStyle name="Normal 360 4 2 3" xfId="28108"/>
    <cellStyle name="Normal 360 4 3" xfId="14314"/>
    <cellStyle name="Normal 360 4 3 2" xfId="31935"/>
    <cellStyle name="Normal 360 4 4" xfId="25247"/>
    <cellStyle name="Normal 360 5" xfId="7306"/>
    <cellStyle name="Normal 360 5 2" xfId="10291"/>
    <cellStyle name="Normal 360 5 2 2" xfId="18078"/>
    <cellStyle name="Normal 360 5 2 2 2" xfId="35701"/>
    <cellStyle name="Normal 360 5 2 3" xfId="28644"/>
    <cellStyle name="Normal 360 5 3" xfId="15088"/>
    <cellStyle name="Normal 360 5 3 2" xfId="32709"/>
    <cellStyle name="Normal 360 5 4" xfId="25784"/>
    <cellStyle name="Normal 360 6" xfId="7904"/>
    <cellStyle name="Normal 360 6 2" xfId="15695"/>
    <cellStyle name="Normal 360 6 2 2" xfId="33316"/>
    <cellStyle name="Normal 360 6 3" xfId="26306"/>
    <cellStyle name="Normal 360 7" xfId="11858"/>
    <cellStyle name="Normal 360 7 2" xfId="29527"/>
    <cellStyle name="Normal 360 8" xfId="23445"/>
    <cellStyle name="Normal 360 9" xfId="52313"/>
    <cellStyle name="Normal 361" xfId="2706"/>
    <cellStyle name="Normal 361 2" xfId="4717"/>
    <cellStyle name="Normal 361 2 2" xfId="8586"/>
    <cellStyle name="Normal 361 2 2 2" xfId="16376"/>
    <cellStyle name="Normal 361 2 2 2 2" xfId="33997"/>
    <cellStyle name="Normal 361 2 2 3" xfId="26973"/>
    <cellStyle name="Normal 361 2 3" xfId="12871"/>
    <cellStyle name="Normal 361 2 3 2" xfId="30507"/>
    <cellStyle name="Normal 361 2 4" xfId="24112"/>
    <cellStyle name="Normal 361 3" xfId="5902"/>
    <cellStyle name="Normal 361 3 2" xfId="9199"/>
    <cellStyle name="Normal 361 3 2 2" xfId="16988"/>
    <cellStyle name="Normal 361 3 2 2 2" xfId="34610"/>
    <cellStyle name="Normal 361 3 2 3" xfId="27573"/>
    <cellStyle name="Normal 361 3 3" xfId="13752"/>
    <cellStyle name="Normal 361 3 3 2" xfId="31378"/>
    <cellStyle name="Normal 361 3 4" xfId="24712"/>
    <cellStyle name="Normal 361 4" xfId="6532"/>
    <cellStyle name="Normal 361 4 2" xfId="9739"/>
    <cellStyle name="Normal 361 4 2 2" xfId="17527"/>
    <cellStyle name="Normal 361 4 2 2 2" xfId="35150"/>
    <cellStyle name="Normal 361 4 2 3" xfId="28109"/>
    <cellStyle name="Normal 361 4 3" xfId="14315"/>
    <cellStyle name="Normal 361 4 3 2" xfId="31936"/>
    <cellStyle name="Normal 361 4 4" xfId="25248"/>
    <cellStyle name="Normal 361 5" xfId="7307"/>
    <cellStyle name="Normal 361 5 2" xfId="10292"/>
    <cellStyle name="Normal 361 5 2 2" xfId="18079"/>
    <cellStyle name="Normal 361 5 2 2 2" xfId="35702"/>
    <cellStyle name="Normal 361 5 2 3" xfId="28645"/>
    <cellStyle name="Normal 361 5 3" xfId="15089"/>
    <cellStyle name="Normal 361 5 3 2" xfId="32710"/>
    <cellStyle name="Normal 361 5 4" xfId="25785"/>
    <cellStyle name="Normal 361 6" xfId="7905"/>
    <cellStyle name="Normal 361 6 2" xfId="15696"/>
    <cellStyle name="Normal 361 6 2 2" xfId="33317"/>
    <cellStyle name="Normal 361 6 3" xfId="26307"/>
    <cellStyle name="Normal 361 7" xfId="11859"/>
    <cellStyle name="Normal 361 7 2" xfId="29528"/>
    <cellStyle name="Normal 361 8" xfId="23446"/>
    <cellStyle name="Normal 361 9" xfId="52314"/>
    <cellStyle name="Normal 362" xfId="2707"/>
    <cellStyle name="Normal 362 2" xfId="4718"/>
    <cellStyle name="Normal 362 2 2" xfId="8587"/>
    <cellStyle name="Normal 362 2 2 2" xfId="16377"/>
    <cellStyle name="Normal 362 2 2 2 2" xfId="33998"/>
    <cellStyle name="Normal 362 2 2 3" xfId="26974"/>
    <cellStyle name="Normal 362 2 3" xfId="12872"/>
    <cellStyle name="Normal 362 2 3 2" xfId="30508"/>
    <cellStyle name="Normal 362 2 4" xfId="24113"/>
    <cellStyle name="Normal 362 3" xfId="5903"/>
    <cellStyle name="Normal 362 3 2" xfId="9200"/>
    <cellStyle name="Normal 362 3 2 2" xfId="16989"/>
    <cellStyle name="Normal 362 3 2 2 2" xfId="34611"/>
    <cellStyle name="Normal 362 3 2 3" xfId="27574"/>
    <cellStyle name="Normal 362 3 3" xfId="13753"/>
    <cellStyle name="Normal 362 3 3 2" xfId="31379"/>
    <cellStyle name="Normal 362 3 4" xfId="24713"/>
    <cellStyle name="Normal 362 4" xfId="6533"/>
    <cellStyle name="Normal 362 4 2" xfId="9740"/>
    <cellStyle name="Normal 362 4 2 2" xfId="17528"/>
    <cellStyle name="Normal 362 4 2 2 2" xfId="35151"/>
    <cellStyle name="Normal 362 4 2 3" xfId="28110"/>
    <cellStyle name="Normal 362 4 3" xfId="14316"/>
    <cellStyle name="Normal 362 4 3 2" xfId="31937"/>
    <cellStyle name="Normal 362 4 4" xfId="25249"/>
    <cellStyle name="Normal 362 5" xfId="7308"/>
    <cellStyle name="Normal 362 5 2" xfId="10293"/>
    <cellStyle name="Normal 362 5 2 2" xfId="18080"/>
    <cellStyle name="Normal 362 5 2 2 2" xfId="35703"/>
    <cellStyle name="Normal 362 5 2 3" xfId="28646"/>
    <cellStyle name="Normal 362 5 3" xfId="15090"/>
    <cellStyle name="Normal 362 5 3 2" xfId="32711"/>
    <cellStyle name="Normal 362 5 4" xfId="25786"/>
    <cellStyle name="Normal 362 6" xfId="7906"/>
    <cellStyle name="Normal 362 6 2" xfId="15697"/>
    <cellStyle name="Normal 362 6 2 2" xfId="33318"/>
    <cellStyle name="Normal 362 6 3" xfId="26308"/>
    <cellStyle name="Normal 362 7" xfId="11860"/>
    <cellStyle name="Normal 362 7 2" xfId="29529"/>
    <cellStyle name="Normal 362 8" xfId="23447"/>
    <cellStyle name="Normal 362 9" xfId="52315"/>
    <cellStyle name="Normal 363" xfId="2708"/>
    <cellStyle name="Normal 363 2" xfId="4719"/>
    <cellStyle name="Normal 363 2 2" xfId="8588"/>
    <cellStyle name="Normal 363 2 2 2" xfId="16378"/>
    <cellStyle name="Normal 363 2 2 2 2" xfId="33999"/>
    <cellStyle name="Normal 363 2 2 3" xfId="26975"/>
    <cellStyle name="Normal 363 2 3" xfId="12873"/>
    <cellStyle name="Normal 363 2 3 2" xfId="30509"/>
    <cellStyle name="Normal 363 2 4" xfId="24114"/>
    <cellStyle name="Normal 363 3" xfId="5904"/>
    <cellStyle name="Normal 363 3 2" xfId="9201"/>
    <cellStyle name="Normal 363 3 2 2" xfId="16990"/>
    <cellStyle name="Normal 363 3 2 2 2" xfId="34612"/>
    <cellStyle name="Normal 363 3 2 3" xfId="27575"/>
    <cellStyle name="Normal 363 3 3" xfId="13754"/>
    <cellStyle name="Normal 363 3 3 2" xfId="31380"/>
    <cellStyle name="Normal 363 3 4" xfId="24714"/>
    <cellStyle name="Normal 363 4" xfId="6534"/>
    <cellStyle name="Normal 363 4 2" xfId="9741"/>
    <cellStyle name="Normal 363 4 2 2" xfId="17529"/>
    <cellStyle name="Normal 363 4 2 2 2" xfId="35152"/>
    <cellStyle name="Normal 363 4 2 3" xfId="28111"/>
    <cellStyle name="Normal 363 4 3" xfId="14317"/>
    <cellStyle name="Normal 363 4 3 2" xfId="31938"/>
    <cellStyle name="Normal 363 4 4" xfId="25250"/>
    <cellStyle name="Normal 363 5" xfId="7309"/>
    <cellStyle name="Normal 363 5 2" xfId="10294"/>
    <cellStyle name="Normal 363 5 2 2" xfId="18081"/>
    <cellStyle name="Normal 363 5 2 2 2" xfId="35704"/>
    <cellStyle name="Normal 363 5 2 3" xfId="28647"/>
    <cellStyle name="Normal 363 5 3" xfId="15091"/>
    <cellStyle name="Normal 363 5 3 2" xfId="32712"/>
    <cellStyle name="Normal 363 5 4" xfId="25787"/>
    <cellStyle name="Normal 363 6" xfId="7907"/>
    <cellStyle name="Normal 363 6 2" xfId="15698"/>
    <cellStyle name="Normal 363 6 2 2" xfId="33319"/>
    <cellStyle name="Normal 363 6 3" xfId="26309"/>
    <cellStyle name="Normal 363 7" xfId="11861"/>
    <cellStyle name="Normal 363 7 2" xfId="29530"/>
    <cellStyle name="Normal 363 8" xfId="23448"/>
    <cellStyle name="Normal 363 9" xfId="52316"/>
    <cellStyle name="Normal 364" xfId="2709"/>
    <cellStyle name="Normal 364 2" xfId="4720"/>
    <cellStyle name="Normal 364 2 2" xfId="8589"/>
    <cellStyle name="Normal 364 2 2 2" xfId="16379"/>
    <cellStyle name="Normal 364 2 2 2 2" xfId="34000"/>
    <cellStyle name="Normal 364 2 2 3" xfId="26976"/>
    <cellStyle name="Normal 364 2 3" xfId="12874"/>
    <cellStyle name="Normal 364 2 3 2" xfId="30510"/>
    <cellStyle name="Normal 364 2 4" xfId="24115"/>
    <cellStyle name="Normal 364 3" xfId="5905"/>
    <cellStyle name="Normal 364 3 2" xfId="9202"/>
    <cellStyle name="Normal 364 3 2 2" xfId="16991"/>
    <cellStyle name="Normal 364 3 2 2 2" xfId="34613"/>
    <cellStyle name="Normal 364 3 2 3" xfId="27576"/>
    <cellStyle name="Normal 364 3 3" xfId="13755"/>
    <cellStyle name="Normal 364 3 3 2" xfId="31381"/>
    <cellStyle name="Normal 364 3 4" xfId="24715"/>
    <cellStyle name="Normal 364 4" xfId="6535"/>
    <cellStyle name="Normal 364 4 2" xfId="9742"/>
    <cellStyle name="Normal 364 4 2 2" xfId="17530"/>
    <cellStyle name="Normal 364 4 2 2 2" xfId="35153"/>
    <cellStyle name="Normal 364 4 2 3" xfId="28112"/>
    <cellStyle name="Normal 364 4 3" xfId="14318"/>
    <cellStyle name="Normal 364 4 3 2" xfId="31939"/>
    <cellStyle name="Normal 364 4 4" xfId="25251"/>
    <cellStyle name="Normal 364 5" xfId="7310"/>
    <cellStyle name="Normal 364 5 2" xfId="10295"/>
    <cellStyle name="Normal 364 5 2 2" xfId="18082"/>
    <cellStyle name="Normal 364 5 2 2 2" xfId="35705"/>
    <cellStyle name="Normal 364 5 2 3" xfId="28648"/>
    <cellStyle name="Normal 364 5 3" xfId="15092"/>
    <cellStyle name="Normal 364 5 3 2" xfId="32713"/>
    <cellStyle name="Normal 364 5 4" xfId="25788"/>
    <cellStyle name="Normal 364 6" xfId="7908"/>
    <cellStyle name="Normal 364 6 2" xfId="15699"/>
    <cellStyle name="Normal 364 6 2 2" xfId="33320"/>
    <cellStyle name="Normal 364 6 3" xfId="26310"/>
    <cellStyle name="Normal 364 7" xfId="11862"/>
    <cellStyle name="Normal 364 7 2" xfId="29531"/>
    <cellStyle name="Normal 364 8" xfId="23449"/>
    <cellStyle name="Normal 364 9" xfId="52317"/>
    <cellStyle name="Normal 365" xfId="2710"/>
    <cellStyle name="Normal 365 2" xfId="4721"/>
    <cellStyle name="Normal 365 2 2" xfId="8590"/>
    <cellStyle name="Normal 365 2 2 2" xfId="16380"/>
    <cellStyle name="Normal 365 2 2 2 2" xfId="34001"/>
    <cellStyle name="Normal 365 2 2 3" xfId="26977"/>
    <cellStyle name="Normal 365 2 3" xfId="12875"/>
    <cellStyle name="Normal 365 2 3 2" xfId="30511"/>
    <cellStyle name="Normal 365 2 4" xfId="24116"/>
    <cellStyle name="Normal 365 3" xfId="5906"/>
    <cellStyle name="Normal 365 3 2" xfId="9203"/>
    <cellStyle name="Normal 365 3 2 2" xfId="16992"/>
    <cellStyle name="Normal 365 3 2 2 2" xfId="34614"/>
    <cellStyle name="Normal 365 3 2 3" xfId="27577"/>
    <cellStyle name="Normal 365 3 3" xfId="13756"/>
    <cellStyle name="Normal 365 3 3 2" xfId="31382"/>
    <cellStyle name="Normal 365 3 4" xfId="24716"/>
    <cellStyle name="Normal 365 4" xfId="6536"/>
    <cellStyle name="Normal 365 4 2" xfId="9743"/>
    <cellStyle name="Normal 365 4 2 2" xfId="17531"/>
    <cellStyle name="Normal 365 4 2 2 2" xfId="35154"/>
    <cellStyle name="Normal 365 4 2 3" xfId="28113"/>
    <cellStyle name="Normal 365 4 3" xfId="14319"/>
    <cellStyle name="Normal 365 4 3 2" xfId="31940"/>
    <cellStyle name="Normal 365 4 4" xfId="25252"/>
    <cellStyle name="Normal 365 5" xfId="7311"/>
    <cellStyle name="Normal 365 5 2" xfId="10296"/>
    <cellStyle name="Normal 365 5 2 2" xfId="18083"/>
    <cellStyle name="Normal 365 5 2 2 2" xfId="35706"/>
    <cellStyle name="Normal 365 5 2 3" xfId="28649"/>
    <cellStyle name="Normal 365 5 3" xfId="15093"/>
    <cellStyle name="Normal 365 5 3 2" xfId="32714"/>
    <cellStyle name="Normal 365 5 4" xfId="25789"/>
    <cellStyle name="Normal 365 6" xfId="7909"/>
    <cellStyle name="Normal 365 6 2" xfId="15700"/>
    <cellStyle name="Normal 365 6 2 2" xfId="33321"/>
    <cellStyle name="Normal 365 6 3" xfId="26311"/>
    <cellStyle name="Normal 365 7" xfId="11863"/>
    <cellStyle name="Normal 365 7 2" xfId="29532"/>
    <cellStyle name="Normal 365 8" xfId="23450"/>
    <cellStyle name="Normal 365 9" xfId="52318"/>
    <cellStyle name="Normal 366" xfId="2711"/>
    <cellStyle name="Normal 366 2" xfId="4722"/>
    <cellStyle name="Normal 366 2 2" xfId="8591"/>
    <cellStyle name="Normal 366 2 2 2" xfId="16381"/>
    <cellStyle name="Normal 366 2 2 2 2" xfId="34002"/>
    <cellStyle name="Normal 366 2 2 3" xfId="26978"/>
    <cellStyle name="Normal 366 2 3" xfId="12876"/>
    <cellStyle name="Normal 366 2 3 2" xfId="30512"/>
    <cellStyle name="Normal 366 2 4" xfId="24117"/>
    <cellStyle name="Normal 366 3" xfId="5907"/>
    <cellStyle name="Normal 366 3 2" xfId="9204"/>
    <cellStyle name="Normal 366 3 2 2" xfId="16993"/>
    <cellStyle name="Normal 366 3 2 2 2" xfId="34615"/>
    <cellStyle name="Normal 366 3 2 3" xfId="27578"/>
    <cellStyle name="Normal 366 3 3" xfId="13757"/>
    <cellStyle name="Normal 366 3 3 2" xfId="31383"/>
    <cellStyle name="Normal 366 3 4" xfId="24717"/>
    <cellStyle name="Normal 366 4" xfId="6537"/>
    <cellStyle name="Normal 366 4 2" xfId="9744"/>
    <cellStyle name="Normal 366 4 2 2" xfId="17532"/>
    <cellStyle name="Normal 366 4 2 2 2" xfId="35155"/>
    <cellStyle name="Normal 366 4 2 3" xfId="28114"/>
    <cellStyle name="Normal 366 4 3" xfId="14320"/>
    <cellStyle name="Normal 366 4 3 2" xfId="31941"/>
    <cellStyle name="Normal 366 4 4" xfId="25253"/>
    <cellStyle name="Normal 366 5" xfId="7312"/>
    <cellStyle name="Normal 366 5 2" xfId="10297"/>
    <cellStyle name="Normal 366 5 2 2" xfId="18084"/>
    <cellStyle name="Normal 366 5 2 2 2" xfId="35707"/>
    <cellStyle name="Normal 366 5 2 3" xfId="28650"/>
    <cellStyle name="Normal 366 5 3" xfId="15094"/>
    <cellStyle name="Normal 366 5 3 2" xfId="32715"/>
    <cellStyle name="Normal 366 5 4" xfId="25790"/>
    <cellStyle name="Normal 366 6" xfId="7910"/>
    <cellStyle name="Normal 366 6 2" xfId="15701"/>
    <cellStyle name="Normal 366 6 2 2" xfId="33322"/>
    <cellStyle name="Normal 366 6 3" xfId="26312"/>
    <cellStyle name="Normal 366 7" xfId="11864"/>
    <cellStyle name="Normal 366 7 2" xfId="29533"/>
    <cellStyle name="Normal 366 8" xfId="23451"/>
    <cellStyle name="Normal 366 9" xfId="52319"/>
    <cellStyle name="Normal 367" xfId="2712"/>
    <cellStyle name="Normal 367 2" xfId="4723"/>
    <cellStyle name="Normal 367 2 2" xfId="8592"/>
    <cellStyle name="Normal 367 2 2 2" xfId="16382"/>
    <cellStyle name="Normal 367 2 2 2 2" xfId="34003"/>
    <cellStyle name="Normal 367 2 2 3" xfId="26979"/>
    <cellStyle name="Normal 367 2 3" xfId="12877"/>
    <cellStyle name="Normal 367 2 3 2" xfId="30513"/>
    <cellStyle name="Normal 367 2 4" xfId="24118"/>
    <cellStyle name="Normal 367 3" xfId="5908"/>
    <cellStyle name="Normal 367 3 2" xfId="9205"/>
    <cellStyle name="Normal 367 3 2 2" xfId="16994"/>
    <cellStyle name="Normal 367 3 2 2 2" xfId="34616"/>
    <cellStyle name="Normal 367 3 2 3" xfId="27579"/>
    <cellStyle name="Normal 367 3 3" xfId="13758"/>
    <cellStyle name="Normal 367 3 3 2" xfId="31384"/>
    <cellStyle name="Normal 367 3 4" xfId="24718"/>
    <cellStyle name="Normal 367 4" xfId="6538"/>
    <cellStyle name="Normal 367 4 2" xfId="9745"/>
    <cellStyle name="Normal 367 4 2 2" xfId="17533"/>
    <cellStyle name="Normal 367 4 2 2 2" xfId="35156"/>
    <cellStyle name="Normal 367 4 2 3" xfId="28115"/>
    <cellStyle name="Normal 367 4 3" xfId="14321"/>
    <cellStyle name="Normal 367 4 3 2" xfId="31942"/>
    <cellStyle name="Normal 367 4 4" xfId="25254"/>
    <cellStyle name="Normal 367 5" xfId="7313"/>
    <cellStyle name="Normal 367 5 2" xfId="10298"/>
    <cellStyle name="Normal 367 5 2 2" xfId="18085"/>
    <cellStyle name="Normal 367 5 2 2 2" xfId="35708"/>
    <cellStyle name="Normal 367 5 2 3" xfId="28651"/>
    <cellStyle name="Normal 367 5 3" xfId="15095"/>
    <cellStyle name="Normal 367 5 3 2" xfId="32716"/>
    <cellStyle name="Normal 367 5 4" xfId="25791"/>
    <cellStyle name="Normal 367 6" xfId="7911"/>
    <cellStyle name="Normal 367 6 2" xfId="15702"/>
    <cellStyle name="Normal 367 6 2 2" xfId="33323"/>
    <cellStyle name="Normal 367 6 3" xfId="26313"/>
    <cellStyle name="Normal 367 7" xfId="11865"/>
    <cellStyle name="Normal 367 7 2" xfId="29534"/>
    <cellStyle name="Normal 367 8" xfId="23452"/>
    <cellStyle name="Normal 367 9" xfId="52320"/>
    <cellStyle name="Normal 368" xfId="2713"/>
    <cellStyle name="Normal 368 2" xfId="4724"/>
    <cellStyle name="Normal 368 2 2" xfId="8593"/>
    <cellStyle name="Normal 368 2 2 2" xfId="16383"/>
    <cellStyle name="Normal 368 2 2 2 2" xfId="34004"/>
    <cellStyle name="Normal 368 2 2 3" xfId="26980"/>
    <cellStyle name="Normal 368 2 3" xfId="12878"/>
    <cellStyle name="Normal 368 2 3 2" xfId="30514"/>
    <cellStyle name="Normal 368 2 4" xfId="24119"/>
    <cellStyle name="Normal 368 3" xfId="5909"/>
    <cellStyle name="Normal 368 3 2" xfId="9206"/>
    <cellStyle name="Normal 368 3 2 2" xfId="16995"/>
    <cellStyle name="Normal 368 3 2 2 2" xfId="34617"/>
    <cellStyle name="Normal 368 3 2 3" xfId="27580"/>
    <cellStyle name="Normal 368 3 3" xfId="13759"/>
    <cellStyle name="Normal 368 3 3 2" xfId="31385"/>
    <cellStyle name="Normal 368 3 4" xfId="24719"/>
    <cellStyle name="Normal 368 4" xfId="6539"/>
    <cellStyle name="Normal 368 4 2" xfId="9746"/>
    <cellStyle name="Normal 368 4 2 2" xfId="17534"/>
    <cellStyle name="Normal 368 4 2 2 2" xfId="35157"/>
    <cellStyle name="Normal 368 4 2 3" xfId="28116"/>
    <cellStyle name="Normal 368 4 3" xfId="14322"/>
    <cellStyle name="Normal 368 4 3 2" xfId="31943"/>
    <cellStyle name="Normal 368 4 4" xfId="25255"/>
    <cellStyle name="Normal 368 5" xfId="7314"/>
    <cellStyle name="Normal 368 5 2" xfId="10299"/>
    <cellStyle name="Normal 368 5 2 2" xfId="18086"/>
    <cellStyle name="Normal 368 5 2 2 2" xfId="35709"/>
    <cellStyle name="Normal 368 5 2 3" xfId="28652"/>
    <cellStyle name="Normal 368 5 3" xfId="15096"/>
    <cellStyle name="Normal 368 5 3 2" xfId="32717"/>
    <cellStyle name="Normal 368 5 4" xfId="25792"/>
    <cellStyle name="Normal 368 6" xfId="7912"/>
    <cellStyle name="Normal 368 6 2" xfId="15703"/>
    <cellStyle name="Normal 368 6 2 2" xfId="33324"/>
    <cellStyle name="Normal 368 6 3" xfId="26314"/>
    <cellStyle name="Normal 368 7" xfId="11866"/>
    <cellStyle name="Normal 368 7 2" xfId="29535"/>
    <cellStyle name="Normal 368 8" xfId="23453"/>
    <cellStyle name="Normal 368 9" xfId="52321"/>
    <cellStyle name="Normal 369" xfId="2714"/>
    <cellStyle name="Normal 369 2" xfId="4725"/>
    <cellStyle name="Normal 369 2 2" xfId="8594"/>
    <cellStyle name="Normal 369 2 2 2" xfId="16384"/>
    <cellStyle name="Normal 369 2 2 2 2" xfId="34005"/>
    <cellStyle name="Normal 369 2 2 3" xfId="26981"/>
    <cellStyle name="Normal 369 2 3" xfId="12879"/>
    <cellStyle name="Normal 369 2 3 2" xfId="30515"/>
    <cellStyle name="Normal 369 2 4" xfId="24120"/>
    <cellStyle name="Normal 369 3" xfId="5910"/>
    <cellStyle name="Normal 369 3 2" xfId="9207"/>
    <cellStyle name="Normal 369 3 2 2" xfId="16996"/>
    <cellStyle name="Normal 369 3 2 2 2" xfId="34618"/>
    <cellStyle name="Normal 369 3 2 3" xfId="27581"/>
    <cellStyle name="Normal 369 3 3" xfId="13760"/>
    <cellStyle name="Normal 369 3 3 2" xfId="31386"/>
    <cellStyle name="Normal 369 3 4" xfId="24720"/>
    <cellStyle name="Normal 369 4" xfId="6540"/>
    <cellStyle name="Normal 369 4 2" xfId="9747"/>
    <cellStyle name="Normal 369 4 2 2" xfId="17535"/>
    <cellStyle name="Normal 369 4 2 2 2" xfId="35158"/>
    <cellStyle name="Normal 369 4 2 3" xfId="28117"/>
    <cellStyle name="Normal 369 4 3" xfId="14323"/>
    <cellStyle name="Normal 369 4 3 2" xfId="31944"/>
    <cellStyle name="Normal 369 4 4" xfId="25256"/>
    <cellStyle name="Normal 369 5" xfId="7315"/>
    <cellStyle name="Normal 369 5 2" xfId="10300"/>
    <cellStyle name="Normal 369 5 2 2" xfId="18087"/>
    <cellStyle name="Normal 369 5 2 2 2" xfId="35710"/>
    <cellStyle name="Normal 369 5 2 3" xfId="28653"/>
    <cellStyle name="Normal 369 5 3" xfId="15097"/>
    <cellStyle name="Normal 369 5 3 2" xfId="32718"/>
    <cellStyle name="Normal 369 5 4" xfId="25793"/>
    <cellStyle name="Normal 369 6" xfId="7913"/>
    <cellStyle name="Normal 369 6 2" xfId="15704"/>
    <cellStyle name="Normal 369 6 2 2" xfId="33325"/>
    <cellStyle name="Normal 369 6 3" xfId="26315"/>
    <cellStyle name="Normal 369 7" xfId="11867"/>
    <cellStyle name="Normal 369 7 2" xfId="29536"/>
    <cellStyle name="Normal 369 8" xfId="23454"/>
    <cellStyle name="Normal 369 9" xfId="52322"/>
    <cellStyle name="Normal 37" xfId="2715"/>
    <cellStyle name="Normal 37 2" xfId="4726"/>
    <cellStyle name="Normal 37 2 2" xfId="22763"/>
    <cellStyle name="Normal 37 2 2 2" xfId="38956"/>
    <cellStyle name="Normal 37 3" xfId="22979"/>
    <cellStyle name="Normal 37 4" xfId="22554"/>
    <cellStyle name="Normal 37 4 2" xfId="38851"/>
    <cellStyle name="Normal 37 5" xfId="52323"/>
    <cellStyle name="Normal 370" xfId="2716"/>
    <cellStyle name="Normal 370 2" xfId="4727"/>
    <cellStyle name="Normal 370 2 2" xfId="8595"/>
    <cellStyle name="Normal 370 2 2 2" xfId="16385"/>
    <cellStyle name="Normal 370 2 2 2 2" xfId="34006"/>
    <cellStyle name="Normal 370 2 2 3" xfId="26982"/>
    <cellStyle name="Normal 370 2 3" xfId="12880"/>
    <cellStyle name="Normal 370 2 3 2" xfId="30516"/>
    <cellStyle name="Normal 370 2 4" xfId="24121"/>
    <cellStyle name="Normal 370 3" xfId="5911"/>
    <cellStyle name="Normal 370 3 2" xfId="9208"/>
    <cellStyle name="Normal 370 3 2 2" xfId="16997"/>
    <cellStyle name="Normal 370 3 2 2 2" xfId="34619"/>
    <cellStyle name="Normal 370 3 2 3" xfId="27582"/>
    <cellStyle name="Normal 370 3 3" xfId="13761"/>
    <cellStyle name="Normal 370 3 3 2" xfId="31387"/>
    <cellStyle name="Normal 370 3 4" xfId="24721"/>
    <cellStyle name="Normal 370 4" xfId="6541"/>
    <cellStyle name="Normal 370 4 2" xfId="9748"/>
    <cellStyle name="Normal 370 4 2 2" xfId="17536"/>
    <cellStyle name="Normal 370 4 2 2 2" xfId="35159"/>
    <cellStyle name="Normal 370 4 2 3" xfId="28118"/>
    <cellStyle name="Normal 370 4 3" xfId="14324"/>
    <cellStyle name="Normal 370 4 3 2" xfId="31945"/>
    <cellStyle name="Normal 370 4 4" xfId="25257"/>
    <cellStyle name="Normal 370 5" xfId="7316"/>
    <cellStyle name="Normal 370 5 2" xfId="10301"/>
    <cellStyle name="Normal 370 5 2 2" xfId="18088"/>
    <cellStyle name="Normal 370 5 2 2 2" xfId="35711"/>
    <cellStyle name="Normal 370 5 2 3" xfId="28654"/>
    <cellStyle name="Normal 370 5 3" xfId="15098"/>
    <cellStyle name="Normal 370 5 3 2" xfId="32719"/>
    <cellStyle name="Normal 370 5 4" xfId="25794"/>
    <cellStyle name="Normal 370 6" xfId="7914"/>
    <cellStyle name="Normal 370 6 2" xfId="15705"/>
    <cellStyle name="Normal 370 6 2 2" xfId="33326"/>
    <cellStyle name="Normal 370 6 3" xfId="26316"/>
    <cellStyle name="Normal 370 7" xfId="11868"/>
    <cellStyle name="Normal 370 7 2" xfId="29537"/>
    <cellStyle name="Normal 370 8" xfId="23455"/>
    <cellStyle name="Normal 370 9" xfId="52324"/>
    <cellStyle name="Normal 371" xfId="2717"/>
    <cellStyle name="Normal 371 2" xfId="4728"/>
    <cellStyle name="Normal 371 2 2" xfId="8596"/>
    <cellStyle name="Normal 371 2 2 2" xfId="16386"/>
    <cellStyle name="Normal 371 2 2 2 2" xfId="34007"/>
    <cellStyle name="Normal 371 2 2 3" xfId="26983"/>
    <cellStyle name="Normal 371 2 3" xfId="12881"/>
    <cellStyle name="Normal 371 2 3 2" xfId="30517"/>
    <cellStyle name="Normal 371 2 4" xfId="24122"/>
    <cellStyle name="Normal 371 3" xfId="5912"/>
    <cellStyle name="Normal 371 3 2" xfId="9209"/>
    <cellStyle name="Normal 371 3 2 2" xfId="16998"/>
    <cellStyle name="Normal 371 3 2 2 2" xfId="34620"/>
    <cellStyle name="Normal 371 3 2 3" xfId="27583"/>
    <cellStyle name="Normal 371 3 3" xfId="13762"/>
    <cellStyle name="Normal 371 3 3 2" xfId="31388"/>
    <cellStyle name="Normal 371 3 4" xfId="24722"/>
    <cellStyle name="Normal 371 4" xfId="6542"/>
    <cellStyle name="Normal 371 4 2" xfId="9749"/>
    <cellStyle name="Normal 371 4 2 2" xfId="17537"/>
    <cellStyle name="Normal 371 4 2 2 2" xfId="35160"/>
    <cellStyle name="Normal 371 4 2 3" xfId="28119"/>
    <cellStyle name="Normal 371 4 3" xfId="14325"/>
    <cellStyle name="Normal 371 4 3 2" xfId="31946"/>
    <cellStyle name="Normal 371 4 4" xfId="25258"/>
    <cellStyle name="Normal 371 5" xfId="7317"/>
    <cellStyle name="Normal 371 5 2" xfId="10302"/>
    <cellStyle name="Normal 371 5 2 2" xfId="18089"/>
    <cellStyle name="Normal 371 5 2 2 2" xfId="35712"/>
    <cellStyle name="Normal 371 5 2 3" xfId="28655"/>
    <cellStyle name="Normal 371 5 3" xfId="15099"/>
    <cellStyle name="Normal 371 5 3 2" xfId="32720"/>
    <cellStyle name="Normal 371 5 4" xfId="25795"/>
    <cellStyle name="Normal 371 6" xfId="7915"/>
    <cellStyle name="Normal 371 6 2" xfId="15706"/>
    <cellStyle name="Normal 371 6 2 2" xfId="33327"/>
    <cellStyle name="Normal 371 6 3" xfId="26317"/>
    <cellStyle name="Normal 371 7" xfId="11869"/>
    <cellStyle name="Normal 371 7 2" xfId="29538"/>
    <cellStyle name="Normal 371 8" xfId="23456"/>
    <cellStyle name="Normal 371 9" xfId="52325"/>
    <cellStyle name="Normal 372" xfId="2718"/>
    <cellStyle name="Normal 372 2" xfId="4729"/>
    <cellStyle name="Normal 372 2 2" xfId="8597"/>
    <cellStyle name="Normal 372 2 2 2" xfId="16387"/>
    <cellStyle name="Normal 372 2 2 2 2" xfId="34008"/>
    <cellStyle name="Normal 372 2 2 3" xfId="26984"/>
    <cellStyle name="Normal 372 2 3" xfId="12882"/>
    <cellStyle name="Normal 372 2 3 2" xfId="30518"/>
    <cellStyle name="Normal 372 2 4" xfId="24123"/>
    <cellStyle name="Normal 372 3" xfId="5913"/>
    <cellStyle name="Normal 372 3 2" xfId="9210"/>
    <cellStyle name="Normal 372 3 2 2" xfId="16999"/>
    <cellStyle name="Normal 372 3 2 2 2" xfId="34621"/>
    <cellStyle name="Normal 372 3 2 3" xfId="27584"/>
    <cellStyle name="Normal 372 3 3" xfId="13763"/>
    <cellStyle name="Normal 372 3 3 2" xfId="31389"/>
    <cellStyle name="Normal 372 3 4" xfId="24723"/>
    <cellStyle name="Normal 372 4" xfId="6543"/>
    <cellStyle name="Normal 372 4 2" xfId="9750"/>
    <cellStyle name="Normal 372 4 2 2" xfId="17538"/>
    <cellStyle name="Normal 372 4 2 2 2" xfId="35161"/>
    <cellStyle name="Normal 372 4 2 3" xfId="28120"/>
    <cellStyle name="Normal 372 4 3" xfId="14326"/>
    <cellStyle name="Normal 372 4 3 2" xfId="31947"/>
    <cellStyle name="Normal 372 4 4" xfId="25259"/>
    <cellStyle name="Normal 372 5" xfId="7318"/>
    <cellStyle name="Normal 372 5 2" xfId="10303"/>
    <cellStyle name="Normal 372 5 2 2" xfId="18090"/>
    <cellStyle name="Normal 372 5 2 2 2" xfId="35713"/>
    <cellStyle name="Normal 372 5 2 3" xfId="28656"/>
    <cellStyle name="Normal 372 5 3" xfId="15100"/>
    <cellStyle name="Normal 372 5 3 2" xfId="32721"/>
    <cellStyle name="Normal 372 5 4" xfId="25796"/>
    <cellStyle name="Normal 372 6" xfId="7916"/>
    <cellStyle name="Normal 372 6 2" xfId="15707"/>
    <cellStyle name="Normal 372 6 2 2" xfId="33328"/>
    <cellStyle name="Normal 372 6 3" xfId="26318"/>
    <cellStyle name="Normal 372 7" xfId="11870"/>
    <cellStyle name="Normal 372 7 2" xfId="29539"/>
    <cellStyle name="Normal 372 8" xfId="23457"/>
    <cellStyle name="Normal 372 9" xfId="52326"/>
    <cellStyle name="Normal 373" xfId="2719"/>
    <cellStyle name="Normal 373 2" xfId="4730"/>
    <cellStyle name="Normal 373 2 2" xfId="8598"/>
    <cellStyle name="Normal 373 2 2 2" xfId="16388"/>
    <cellStyle name="Normal 373 2 2 2 2" xfId="34009"/>
    <cellStyle name="Normal 373 2 2 3" xfId="26985"/>
    <cellStyle name="Normal 373 2 3" xfId="12883"/>
    <cellStyle name="Normal 373 2 3 2" xfId="30519"/>
    <cellStyle name="Normal 373 2 4" xfId="24124"/>
    <cellStyle name="Normal 373 3" xfId="5914"/>
    <cellStyle name="Normal 373 3 2" xfId="9211"/>
    <cellStyle name="Normal 373 3 2 2" xfId="17000"/>
    <cellStyle name="Normal 373 3 2 2 2" xfId="34622"/>
    <cellStyle name="Normal 373 3 2 3" xfId="27585"/>
    <cellStyle name="Normal 373 3 3" xfId="13764"/>
    <cellStyle name="Normal 373 3 3 2" xfId="31390"/>
    <cellStyle name="Normal 373 3 4" xfId="24724"/>
    <cellStyle name="Normal 373 4" xfId="6544"/>
    <cellStyle name="Normal 373 4 2" xfId="9751"/>
    <cellStyle name="Normal 373 4 2 2" xfId="17539"/>
    <cellStyle name="Normal 373 4 2 2 2" xfId="35162"/>
    <cellStyle name="Normal 373 4 2 3" xfId="28121"/>
    <cellStyle name="Normal 373 4 3" xfId="14327"/>
    <cellStyle name="Normal 373 4 3 2" xfId="31948"/>
    <cellStyle name="Normal 373 4 4" xfId="25260"/>
    <cellStyle name="Normal 373 5" xfId="7319"/>
    <cellStyle name="Normal 373 5 2" xfId="10304"/>
    <cellStyle name="Normal 373 5 2 2" xfId="18091"/>
    <cellStyle name="Normal 373 5 2 2 2" xfId="35714"/>
    <cellStyle name="Normal 373 5 2 3" xfId="28657"/>
    <cellStyle name="Normal 373 5 3" xfId="15101"/>
    <cellStyle name="Normal 373 5 3 2" xfId="32722"/>
    <cellStyle name="Normal 373 5 4" xfId="25797"/>
    <cellStyle name="Normal 373 6" xfId="7917"/>
    <cellStyle name="Normal 373 6 2" xfId="15708"/>
    <cellStyle name="Normal 373 6 2 2" xfId="33329"/>
    <cellStyle name="Normal 373 6 3" xfId="26319"/>
    <cellStyle name="Normal 373 7" xfId="11871"/>
    <cellStyle name="Normal 373 7 2" xfId="29540"/>
    <cellStyle name="Normal 373 8" xfId="23458"/>
    <cellStyle name="Normal 373 9" xfId="52327"/>
    <cellStyle name="Normal 374" xfId="2720"/>
    <cellStyle name="Normal 374 2" xfId="4731"/>
    <cellStyle name="Normal 374 2 2" xfId="8599"/>
    <cellStyle name="Normal 374 2 2 2" xfId="16389"/>
    <cellStyle name="Normal 374 2 2 2 2" xfId="34010"/>
    <cellStyle name="Normal 374 2 2 3" xfId="26986"/>
    <cellStyle name="Normal 374 2 3" xfId="12884"/>
    <cellStyle name="Normal 374 2 3 2" xfId="30520"/>
    <cellStyle name="Normal 374 2 4" xfId="24125"/>
    <cellStyle name="Normal 374 3" xfId="5915"/>
    <cellStyle name="Normal 374 3 2" xfId="9212"/>
    <cellStyle name="Normal 374 3 2 2" xfId="17001"/>
    <cellStyle name="Normal 374 3 2 2 2" xfId="34623"/>
    <cellStyle name="Normal 374 3 2 3" xfId="27586"/>
    <cellStyle name="Normal 374 3 3" xfId="13765"/>
    <cellStyle name="Normal 374 3 3 2" xfId="31391"/>
    <cellStyle name="Normal 374 3 4" xfId="24725"/>
    <cellStyle name="Normal 374 4" xfId="6545"/>
    <cellStyle name="Normal 374 4 2" xfId="9752"/>
    <cellStyle name="Normal 374 4 2 2" xfId="17540"/>
    <cellStyle name="Normal 374 4 2 2 2" xfId="35163"/>
    <cellStyle name="Normal 374 4 2 3" xfId="28122"/>
    <cellStyle name="Normal 374 4 3" xfId="14328"/>
    <cellStyle name="Normal 374 4 3 2" xfId="31949"/>
    <cellStyle name="Normal 374 4 4" xfId="25261"/>
    <cellStyle name="Normal 374 5" xfId="7320"/>
    <cellStyle name="Normal 374 5 2" xfId="10305"/>
    <cellStyle name="Normal 374 5 2 2" xfId="18092"/>
    <cellStyle name="Normal 374 5 2 2 2" xfId="35715"/>
    <cellStyle name="Normal 374 5 2 3" xfId="28658"/>
    <cellStyle name="Normal 374 5 3" xfId="15102"/>
    <cellStyle name="Normal 374 5 3 2" xfId="32723"/>
    <cellStyle name="Normal 374 5 4" xfId="25798"/>
    <cellStyle name="Normal 374 6" xfId="7918"/>
    <cellStyle name="Normal 374 6 2" xfId="15709"/>
    <cellStyle name="Normal 374 6 2 2" xfId="33330"/>
    <cellStyle name="Normal 374 6 3" xfId="26320"/>
    <cellStyle name="Normal 374 7" xfId="11872"/>
    <cellStyle name="Normal 374 7 2" xfId="29541"/>
    <cellStyle name="Normal 374 8" xfId="23459"/>
    <cellStyle name="Normal 374 9" xfId="52328"/>
    <cellStyle name="Normal 375" xfId="2721"/>
    <cellStyle name="Normal 375 2" xfId="4732"/>
    <cellStyle name="Normal 375 2 2" xfId="8600"/>
    <cellStyle name="Normal 375 2 2 2" xfId="16390"/>
    <cellStyle name="Normal 375 2 2 2 2" xfId="34011"/>
    <cellStyle name="Normal 375 2 2 3" xfId="26987"/>
    <cellStyle name="Normal 375 2 3" xfId="12885"/>
    <cellStyle name="Normal 375 2 3 2" xfId="30521"/>
    <cellStyle name="Normal 375 2 4" xfId="24126"/>
    <cellStyle name="Normal 375 3" xfId="5916"/>
    <cellStyle name="Normal 375 3 2" xfId="9213"/>
    <cellStyle name="Normal 375 3 2 2" xfId="17002"/>
    <cellStyle name="Normal 375 3 2 2 2" xfId="34624"/>
    <cellStyle name="Normal 375 3 2 3" xfId="27587"/>
    <cellStyle name="Normal 375 3 3" xfId="13766"/>
    <cellStyle name="Normal 375 3 3 2" xfId="31392"/>
    <cellStyle name="Normal 375 3 4" xfId="24726"/>
    <cellStyle name="Normal 375 4" xfId="6546"/>
    <cellStyle name="Normal 375 4 2" xfId="9753"/>
    <cellStyle name="Normal 375 4 2 2" xfId="17541"/>
    <cellStyle name="Normal 375 4 2 2 2" xfId="35164"/>
    <cellStyle name="Normal 375 4 2 3" xfId="28123"/>
    <cellStyle name="Normal 375 4 3" xfId="14329"/>
    <cellStyle name="Normal 375 4 3 2" xfId="31950"/>
    <cellStyle name="Normal 375 4 4" xfId="25262"/>
    <cellStyle name="Normal 375 5" xfId="7321"/>
    <cellStyle name="Normal 375 5 2" xfId="10306"/>
    <cellStyle name="Normal 375 5 2 2" xfId="18093"/>
    <cellStyle name="Normal 375 5 2 2 2" xfId="35716"/>
    <cellStyle name="Normal 375 5 2 3" xfId="28659"/>
    <cellStyle name="Normal 375 5 3" xfId="15103"/>
    <cellStyle name="Normal 375 5 3 2" xfId="32724"/>
    <cellStyle name="Normal 375 5 4" xfId="25799"/>
    <cellStyle name="Normal 375 6" xfId="7919"/>
    <cellStyle name="Normal 375 6 2" xfId="15710"/>
    <cellStyle name="Normal 375 6 2 2" xfId="33331"/>
    <cellStyle name="Normal 375 6 3" xfId="26321"/>
    <cellStyle name="Normal 375 7" xfId="11873"/>
    <cellStyle name="Normal 375 7 2" xfId="29542"/>
    <cellStyle name="Normal 375 8" xfId="23460"/>
    <cellStyle name="Normal 375 9" xfId="52329"/>
    <cellStyle name="Normal 376" xfId="2722"/>
    <cellStyle name="Normal 376 2" xfId="4733"/>
    <cellStyle name="Normal 376 2 2" xfId="8601"/>
    <cellStyle name="Normal 376 2 2 2" xfId="16391"/>
    <cellStyle name="Normal 376 2 2 2 2" xfId="34012"/>
    <cellStyle name="Normal 376 2 2 3" xfId="26988"/>
    <cellStyle name="Normal 376 2 3" xfId="12886"/>
    <cellStyle name="Normal 376 2 3 2" xfId="30522"/>
    <cellStyle name="Normal 376 2 4" xfId="24127"/>
    <cellStyle name="Normal 376 3" xfId="5917"/>
    <cellStyle name="Normal 376 3 2" xfId="9214"/>
    <cellStyle name="Normal 376 3 2 2" xfId="17003"/>
    <cellStyle name="Normal 376 3 2 2 2" xfId="34625"/>
    <cellStyle name="Normal 376 3 2 3" xfId="27588"/>
    <cellStyle name="Normal 376 3 3" xfId="13767"/>
    <cellStyle name="Normal 376 3 3 2" xfId="31393"/>
    <cellStyle name="Normal 376 3 4" xfId="24727"/>
    <cellStyle name="Normal 376 4" xfId="6547"/>
    <cellStyle name="Normal 376 4 2" xfId="9754"/>
    <cellStyle name="Normal 376 4 2 2" xfId="17542"/>
    <cellStyle name="Normal 376 4 2 2 2" xfId="35165"/>
    <cellStyle name="Normal 376 4 2 3" xfId="28124"/>
    <cellStyle name="Normal 376 4 3" xfId="14330"/>
    <cellStyle name="Normal 376 4 3 2" xfId="31951"/>
    <cellStyle name="Normal 376 4 4" xfId="25263"/>
    <cellStyle name="Normal 376 5" xfId="7322"/>
    <cellStyle name="Normal 376 5 2" xfId="10307"/>
    <cellStyle name="Normal 376 5 2 2" xfId="18094"/>
    <cellStyle name="Normal 376 5 2 2 2" xfId="35717"/>
    <cellStyle name="Normal 376 5 2 3" xfId="28660"/>
    <cellStyle name="Normal 376 5 3" xfId="15104"/>
    <cellStyle name="Normal 376 5 3 2" xfId="32725"/>
    <cellStyle name="Normal 376 5 4" xfId="25800"/>
    <cellStyle name="Normal 376 6" xfId="7920"/>
    <cellStyle name="Normal 376 6 2" xfId="15711"/>
    <cellStyle name="Normal 376 6 2 2" xfId="33332"/>
    <cellStyle name="Normal 376 6 3" xfId="26322"/>
    <cellStyle name="Normal 376 7" xfId="11874"/>
    <cellStyle name="Normal 376 7 2" xfId="29543"/>
    <cellStyle name="Normal 376 8" xfId="23461"/>
    <cellStyle name="Normal 376 9" xfId="52330"/>
    <cellStyle name="Normal 377" xfId="2723"/>
    <cellStyle name="Normal 377 2" xfId="4734"/>
    <cellStyle name="Normal 377 3" xfId="52331"/>
    <cellStyle name="Normal 378" xfId="2724"/>
    <cellStyle name="Normal 378 2" xfId="4735"/>
    <cellStyle name="Normal 378 3" xfId="52332"/>
    <cellStyle name="Normal 379" xfId="2725"/>
    <cellStyle name="Normal 379 2" xfId="4736"/>
    <cellStyle name="Normal 379 3" xfId="52333"/>
    <cellStyle name="Normal 38" xfId="2726"/>
    <cellStyle name="Normal 38 2" xfId="4737"/>
    <cellStyle name="Normal 38 2 2" xfId="22764"/>
    <cellStyle name="Normal 38 2 2 2" xfId="38957"/>
    <cellStyle name="Normal 38 3" xfId="22980"/>
    <cellStyle name="Normal 38 4" xfId="22555"/>
    <cellStyle name="Normal 38 4 2" xfId="38852"/>
    <cellStyle name="Normal 38 5" xfId="52334"/>
    <cellStyle name="Normal 380" xfId="2727"/>
    <cellStyle name="Normal 380 2" xfId="4738"/>
    <cellStyle name="Normal 380 3" xfId="52335"/>
    <cellStyle name="Normal 381" xfId="2728"/>
    <cellStyle name="Normal 381 2" xfId="4739"/>
    <cellStyle name="Normal 381 3" xfId="52336"/>
    <cellStyle name="Normal 382" xfId="2729"/>
    <cellStyle name="Normal 382 2" xfId="4740"/>
    <cellStyle name="Normal 382 3" xfId="52337"/>
    <cellStyle name="Normal 383" xfId="2730"/>
    <cellStyle name="Normal 383 2" xfId="4741"/>
    <cellStyle name="Normal 383 3" xfId="52338"/>
    <cellStyle name="Normal 384" xfId="2731"/>
    <cellStyle name="Normal 384 2" xfId="4742"/>
    <cellStyle name="Normal 384 2 2" xfId="8602"/>
    <cellStyle name="Normal 384 2 2 2" xfId="16392"/>
    <cellStyle name="Normal 384 2 2 2 2" xfId="34013"/>
    <cellStyle name="Normal 384 2 2 3" xfId="26989"/>
    <cellStyle name="Normal 384 2 3" xfId="12888"/>
    <cellStyle name="Normal 384 2 3 2" xfId="30524"/>
    <cellStyle name="Normal 384 2 4" xfId="24128"/>
    <cellStyle name="Normal 384 3" xfId="5918"/>
    <cellStyle name="Normal 384 3 2" xfId="9215"/>
    <cellStyle name="Normal 384 3 2 2" xfId="17004"/>
    <cellStyle name="Normal 384 3 2 2 2" xfId="34626"/>
    <cellStyle name="Normal 384 3 2 3" xfId="27589"/>
    <cellStyle name="Normal 384 3 3" xfId="13768"/>
    <cellStyle name="Normal 384 3 3 2" xfId="31394"/>
    <cellStyle name="Normal 384 3 4" xfId="24728"/>
    <cellStyle name="Normal 384 4" xfId="6548"/>
    <cellStyle name="Normal 384 4 2" xfId="9755"/>
    <cellStyle name="Normal 384 4 2 2" xfId="17543"/>
    <cellStyle name="Normal 384 4 2 2 2" xfId="35166"/>
    <cellStyle name="Normal 384 4 2 3" xfId="28125"/>
    <cellStyle name="Normal 384 4 3" xfId="14331"/>
    <cellStyle name="Normal 384 4 3 2" xfId="31952"/>
    <cellStyle name="Normal 384 4 4" xfId="25264"/>
    <cellStyle name="Normal 384 5" xfId="7323"/>
    <cellStyle name="Normal 384 5 2" xfId="10308"/>
    <cellStyle name="Normal 384 5 2 2" xfId="18095"/>
    <cellStyle name="Normal 384 5 2 2 2" xfId="35718"/>
    <cellStyle name="Normal 384 5 2 3" xfId="28661"/>
    <cellStyle name="Normal 384 5 3" xfId="15105"/>
    <cellStyle name="Normal 384 5 3 2" xfId="32726"/>
    <cellStyle name="Normal 384 5 4" xfId="25801"/>
    <cellStyle name="Normal 384 6" xfId="7921"/>
    <cellStyle name="Normal 384 6 2" xfId="15712"/>
    <cellStyle name="Normal 384 6 2 2" xfId="33333"/>
    <cellStyle name="Normal 384 6 3" xfId="26323"/>
    <cellStyle name="Normal 384 7" xfId="11875"/>
    <cellStyle name="Normal 384 7 2" xfId="29544"/>
    <cellStyle name="Normal 384 8" xfId="23462"/>
    <cellStyle name="Normal 384 9" xfId="52339"/>
    <cellStyle name="Normal 385" xfId="2732"/>
    <cellStyle name="Normal 385 2" xfId="4743"/>
    <cellStyle name="Normal 385 3" xfId="52340"/>
    <cellStyle name="Normal 386" xfId="2733"/>
    <cellStyle name="Normal 386 2" xfId="4744"/>
    <cellStyle name="Normal 386 3" xfId="52341"/>
    <cellStyle name="Normal 387" xfId="2734"/>
    <cellStyle name="Normal 387 2" xfId="4745"/>
    <cellStyle name="Normal 387 3" xfId="52342"/>
    <cellStyle name="Normal 388" xfId="2735"/>
    <cellStyle name="Normal 388 2" xfId="4746"/>
    <cellStyle name="Normal 388 3" xfId="52343"/>
    <cellStyle name="Normal 389" xfId="2736"/>
    <cellStyle name="Normal 389 2" xfId="4747"/>
    <cellStyle name="Normal 389 3" xfId="52344"/>
    <cellStyle name="Normal 39" xfId="2737"/>
    <cellStyle name="Normal 39 2" xfId="4748"/>
    <cellStyle name="Normal 39 2 2" xfId="22765"/>
    <cellStyle name="Normal 39 2 2 2" xfId="38958"/>
    <cellStyle name="Normal 39 3" xfId="22981"/>
    <cellStyle name="Normal 39 4" xfId="22556"/>
    <cellStyle name="Normal 39 4 2" xfId="38853"/>
    <cellStyle name="Normal 39 5" xfId="52345"/>
    <cellStyle name="Normal 390" xfId="2738"/>
    <cellStyle name="Normal 390 2" xfId="4749"/>
    <cellStyle name="Normal 390 2 2" xfId="8603"/>
    <cellStyle name="Normal 390 2 2 2" xfId="16393"/>
    <cellStyle name="Normal 390 2 2 2 2" xfId="34014"/>
    <cellStyle name="Normal 390 2 2 3" xfId="26990"/>
    <cellStyle name="Normal 390 2 3" xfId="12891"/>
    <cellStyle name="Normal 390 2 3 2" xfId="30527"/>
    <cellStyle name="Normal 390 2 4" xfId="24129"/>
    <cellStyle name="Normal 390 3" xfId="5919"/>
    <cellStyle name="Normal 390 3 2" xfId="9216"/>
    <cellStyle name="Normal 390 3 2 2" xfId="17005"/>
    <cellStyle name="Normal 390 3 2 2 2" xfId="34627"/>
    <cellStyle name="Normal 390 3 2 3" xfId="27590"/>
    <cellStyle name="Normal 390 3 3" xfId="13769"/>
    <cellStyle name="Normal 390 3 3 2" xfId="31395"/>
    <cellStyle name="Normal 390 3 4" xfId="24729"/>
    <cellStyle name="Normal 390 4" xfId="6549"/>
    <cellStyle name="Normal 390 4 2" xfId="9756"/>
    <cellStyle name="Normal 390 4 2 2" xfId="17544"/>
    <cellStyle name="Normal 390 4 2 2 2" xfId="35167"/>
    <cellStyle name="Normal 390 4 2 3" xfId="28126"/>
    <cellStyle name="Normal 390 4 3" xfId="14332"/>
    <cellStyle name="Normal 390 4 3 2" xfId="31953"/>
    <cellStyle name="Normal 390 4 4" xfId="25265"/>
    <cellStyle name="Normal 390 5" xfId="7324"/>
    <cellStyle name="Normal 390 5 2" xfId="10309"/>
    <cellStyle name="Normal 390 5 2 2" xfId="18096"/>
    <cellStyle name="Normal 390 5 2 2 2" xfId="35719"/>
    <cellStyle name="Normal 390 5 2 3" xfId="28662"/>
    <cellStyle name="Normal 390 5 3" xfId="15106"/>
    <cellStyle name="Normal 390 5 3 2" xfId="32727"/>
    <cellStyle name="Normal 390 5 4" xfId="25802"/>
    <cellStyle name="Normal 390 6" xfId="7922"/>
    <cellStyle name="Normal 390 6 2" xfId="15713"/>
    <cellStyle name="Normal 390 6 2 2" xfId="33334"/>
    <cellStyle name="Normal 390 6 3" xfId="26324"/>
    <cellStyle name="Normal 390 7" xfId="11878"/>
    <cellStyle name="Normal 390 7 2" xfId="29547"/>
    <cellStyle name="Normal 390 8" xfId="23463"/>
    <cellStyle name="Normal 390 9" xfId="52346"/>
    <cellStyle name="Normal 391" xfId="2739"/>
    <cellStyle name="Normal 391 2" xfId="4750"/>
    <cellStyle name="Normal 391 3" xfId="52347"/>
    <cellStyle name="Normal 392" xfId="2740"/>
    <cellStyle name="Normal 392 2" xfId="4751"/>
    <cellStyle name="Normal 392 3" xfId="52348"/>
    <cellStyle name="Normal 393" xfId="2741"/>
    <cellStyle name="Normal 393 2" xfId="4752"/>
    <cellStyle name="Normal 393 3" xfId="52349"/>
    <cellStyle name="Normal 394" xfId="2742"/>
    <cellStyle name="Normal 394 2" xfId="4753"/>
    <cellStyle name="Normal 394 3" xfId="52350"/>
    <cellStyle name="Normal 395" xfId="2743"/>
    <cellStyle name="Normal 395 2" xfId="4754"/>
    <cellStyle name="Normal 395 3" xfId="52351"/>
    <cellStyle name="Normal 396" xfId="2744"/>
    <cellStyle name="Normal 396 2" xfId="4755"/>
    <cellStyle name="Normal 396 2 2" xfId="8604"/>
    <cellStyle name="Normal 396 2 2 2" xfId="16394"/>
    <cellStyle name="Normal 396 2 2 2 2" xfId="34015"/>
    <cellStyle name="Normal 396 2 2 3" xfId="26991"/>
    <cellStyle name="Normal 396 2 3" xfId="12892"/>
    <cellStyle name="Normal 396 2 3 2" xfId="30528"/>
    <cellStyle name="Normal 396 2 4" xfId="24130"/>
    <cellStyle name="Normal 396 3" xfId="5920"/>
    <cellStyle name="Normal 396 3 2" xfId="9217"/>
    <cellStyle name="Normal 396 3 2 2" xfId="17006"/>
    <cellStyle name="Normal 396 3 2 2 2" xfId="34628"/>
    <cellStyle name="Normal 396 3 2 3" xfId="27591"/>
    <cellStyle name="Normal 396 3 3" xfId="13770"/>
    <cellStyle name="Normal 396 3 3 2" xfId="31396"/>
    <cellStyle name="Normal 396 3 4" xfId="24730"/>
    <cellStyle name="Normal 396 4" xfId="6550"/>
    <cellStyle name="Normal 396 4 2" xfId="9757"/>
    <cellStyle name="Normal 396 4 2 2" xfId="17545"/>
    <cellStyle name="Normal 396 4 2 2 2" xfId="35168"/>
    <cellStyle name="Normal 396 4 2 3" xfId="28127"/>
    <cellStyle name="Normal 396 4 3" xfId="14333"/>
    <cellStyle name="Normal 396 4 3 2" xfId="31954"/>
    <cellStyle name="Normal 396 4 4" xfId="25266"/>
    <cellStyle name="Normal 396 5" xfId="7325"/>
    <cellStyle name="Normal 396 5 2" xfId="10310"/>
    <cellStyle name="Normal 396 5 2 2" xfId="18097"/>
    <cellStyle name="Normal 396 5 2 2 2" xfId="35720"/>
    <cellStyle name="Normal 396 5 2 3" xfId="28663"/>
    <cellStyle name="Normal 396 5 3" xfId="15107"/>
    <cellStyle name="Normal 396 5 3 2" xfId="32728"/>
    <cellStyle name="Normal 396 5 4" xfId="25803"/>
    <cellStyle name="Normal 396 6" xfId="7923"/>
    <cellStyle name="Normal 396 6 2" xfId="15714"/>
    <cellStyle name="Normal 396 6 2 2" xfId="33335"/>
    <cellStyle name="Normal 396 6 3" xfId="26325"/>
    <cellStyle name="Normal 396 7" xfId="11879"/>
    <cellStyle name="Normal 396 7 2" xfId="29548"/>
    <cellStyle name="Normal 396 8" xfId="23464"/>
    <cellStyle name="Normal 396 9" xfId="52352"/>
    <cellStyle name="Normal 397" xfId="2745"/>
    <cellStyle name="Normal 397 2" xfId="4756"/>
    <cellStyle name="Normal 397 3" xfId="52353"/>
    <cellStyle name="Normal 398" xfId="2746"/>
    <cellStyle name="Normal 398 2" xfId="4757"/>
    <cellStyle name="Normal 398 3" xfId="52354"/>
    <cellStyle name="Normal 399" xfId="2747"/>
    <cellStyle name="Normal 399 2" xfId="4758"/>
    <cellStyle name="Normal 399 2 2" xfId="8605"/>
    <cellStyle name="Normal 399 2 2 2" xfId="16395"/>
    <cellStyle name="Normal 399 2 2 2 2" xfId="34016"/>
    <cellStyle name="Normal 399 2 2 3" xfId="26992"/>
    <cellStyle name="Normal 399 2 3" xfId="12893"/>
    <cellStyle name="Normal 399 2 3 2" xfId="30529"/>
    <cellStyle name="Normal 399 2 4" xfId="24131"/>
    <cellStyle name="Normal 399 3" xfId="5921"/>
    <cellStyle name="Normal 399 3 2" xfId="9218"/>
    <cellStyle name="Normal 399 3 2 2" xfId="17007"/>
    <cellStyle name="Normal 399 3 2 2 2" xfId="34629"/>
    <cellStyle name="Normal 399 3 2 3" xfId="27592"/>
    <cellStyle name="Normal 399 3 3" xfId="13771"/>
    <cellStyle name="Normal 399 3 3 2" xfId="31397"/>
    <cellStyle name="Normal 399 3 4" xfId="24731"/>
    <cellStyle name="Normal 399 4" xfId="6551"/>
    <cellStyle name="Normal 399 4 2" xfId="9758"/>
    <cellStyle name="Normal 399 4 2 2" xfId="17546"/>
    <cellStyle name="Normal 399 4 2 2 2" xfId="35169"/>
    <cellStyle name="Normal 399 4 2 3" xfId="28128"/>
    <cellStyle name="Normal 399 4 3" xfId="14334"/>
    <cellStyle name="Normal 399 4 3 2" xfId="31955"/>
    <cellStyle name="Normal 399 4 4" xfId="25267"/>
    <cellStyle name="Normal 399 5" xfId="7326"/>
    <cellStyle name="Normal 399 5 2" xfId="10311"/>
    <cellStyle name="Normal 399 5 2 2" xfId="18098"/>
    <cellStyle name="Normal 399 5 2 2 2" xfId="35721"/>
    <cellStyle name="Normal 399 5 2 3" xfId="28664"/>
    <cellStyle name="Normal 399 5 3" xfId="15108"/>
    <cellStyle name="Normal 399 5 3 2" xfId="32729"/>
    <cellStyle name="Normal 399 5 4" xfId="25804"/>
    <cellStyle name="Normal 399 6" xfId="7924"/>
    <cellStyle name="Normal 399 6 2" xfId="15715"/>
    <cellStyle name="Normal 399 6 2 2" xfId="33336"/>
    <cellStyle name="Normal 399 6 3" xfId="26326"/>
    <cellStyle name="Normal 399 7" xfId="11880"/>
    <cellStyle name="Normal 399 7 2" xfId="29549"/>
    <cellStyle name="Normal 399 8" xfId="23465"/>
    <cellStyle name="Normal 399 9" xfId="52355"/>
    <cellStyle name="Normal 4" xfId="121"/>
    <cellStyle name="Normal 4 2" xfId="122"/>
    <cellStyle name="Normal 4 2 2" xfId="123"/>
    <cellStyle name="Normal 4 2 3" xfId="52357"/>
    <cellStyle name="Normal 4 3" xfId="124"/>
    <cellStyle name="Normal 4 3 2" xfId="125"/>
    <cellStyle name="Normal 4 4" xfId="126"/>
    <cellStyle name="Normal 4 5" xfId="52356"/>
    <cellStyle name="Normal 40" xfId="2748"/>
    <cellStyle name="Normal 40 2" xfId="4759"/>
    <cellStyle name="Normal 40 2 2" xfId="22766"/>
    <cellStyle name="Normal 40 2 2 2" xfId="38959"/>
    <cellStyle name="Normal 40 3" xfId="22982"/>
    <cellStyle name="Normal 40 4" xfId="22557"/>
    <cellStyle name="Normal 40 4 2" xfId="38854"/>
    <cellStyle name="Normal 40 5" xfId="52358"/>
    <cellStyle name="Normal 400" xfId="2749"/>
    <cellStyle name="Normal 400 2" xfId="4760"/>
    <cellStyle name="Normal 400 2 2" xfId="8606"/>
    <cellStyle name="Normal 400 2 2 2" xfId="16396"/>
    <cellStyle name="Normal 400 2 2 2 2" xfId="34017"/>
    <cellStyle name="Normal 400 2 2 3" xfId="26993"/>
    <cellStyle name="Normal 400 2 3" xfId="12894"/>
    <cellStyle name="Normal 400 2 3 2" xfId="30530"/>
    <cellStyle name="Normal 400 2 4" xfId="24132"/>
    <cellStyle name="Normal 400 3" xfId="5922"/>
    <cellStyle name="Normal 400 3 2" xfId="9219"/>
    <cellStyle name="Normal 400 3 2 2" xfId="17008"/>
    <cellStyle name="Normal 400 3 2 2 2" xfId="34630"/>
    <cellStyle name="Normal 400 3 2 3" xfId="27593"/>
    <cellStyle name="Normal 400 3 3" xfId="13772"/>
    <cellStyle name="Normal 400 3 3 2" xfId="31398"/>
    <cellStyle name="Normal 400 3 4" xfId="24732"/>
    <cellStyle name="Normal 400 4" xfId="6552"/>
    <cellStyle name="Normal 400 4 2" xfId="9759"/>
    <cellStyle name="Normal 400 4 2 2" xfId="17547"/>
    <cellStyle name="Normal 400 4 2 2 2" xfId="35170"/>
    <cellStyle name="Normal 400 4 2 3" xfId="28129"/>
    <cellStyle name="Normal 400 4 3" xfId="14335"/>
    <cellStyle name="Normal 400 4 3 2" xfId="31956"/>
    <cellStyle name="Normal 400 4 4" xfId="25268"/>
    <cellStyle name="Normal 400 5" xfId="7327"/>
    <cellStyle name="Normal 400 5 2" xfId="10312"/>
    <cellStyle name="Normal 400 5 2 2" xfId="18099"/>
    <cellStyle name="Normal 400 5 2 2 2" xfId="35722"/>
    <cellStyle name="Normal 400 5 2 3" xfId="28665"/>
    <cellStyle name="Normal 400 5 3" xfId="15109"/>
    <cellStyle name="Normal 400 5 3 2" xfId="32730"/>
    <cellStyle name="Normal 400 5 4" xfId="25805"/>
    <cellStyle name="Normal 400 6" xfId="7925"/>
    <cellStyle name="Normal 400 6 2" xfId="15716"/>
    <cellStyle name="Normal 400 6 2 2" xfId="33337"/>
    <cellStyle name="Normal 400 6 3" xfId="26327"/>
    <cellStyle name="Normal 400 7" xfId="11881"/>
    <cellStyle name="Normal 400 7 2" xfId="29550"/>
    <cellStyle name="Normal 400 8" xfId="23466"/>
    <cellStyle name="Normal 400 9" xfId="52359"/>
    <cellStyle name="Normal 401" xfId="2750"/>
    <cellStyle name="Normal 401 2" xfId="4761"/>
    <cellStyle name="Normal 401 3" xfId="52360"/>
    <cellStyle name="Normal 402" xfId="2751"/>
    <cellStyle name="Normal 402 2" xfId="4762"/>
    <cellStyle name="Normal 402 2 2" xfId="8607"/>
    <cellStyle name="Normal 402 2 2 2" xfId="16397"/>
    <cellStyle name="Normal 402 2 2 2 2" xfId="34018"/>
    <cellStyle name="Normal 402 2 2 3" xfId="26994"/>
    <cellStyle name="Normal 402 2 3" xfId="12895"/>
    <cellStyle name="Normal 402 2 3 2" xfId="30531"/>
    <cellStyle name="Normal 402 2 4" xfId="24133"/>
    <cellStyle name="Normal 402 3" xfId="5923"/>
    <cellStyle name="Normal 402 3 2" xfId="9220"/>
    <cellStyle name="Normal 402 3 2 2" xfId="17009"/>
    <cellStyle name="Normal 402 3 2 2 2" xfId="34631"/>
    <cellStyle name="Normal 402 3 2 3" xfId="27594"/>
    <cellStyle name="Normal 402 3 3" xfId="13773"/>
    <cellStyle name="Normal 402 3 3 2" xfId="31399"/>
    <cellStyle name="Normal 402 3 4" xfId="24733"/>
    <cellStyle name="Normal 402 4" xfId="6553"/>
    <cellStyle name="Normal 402 4 2" xfId="9760"/>
    <cellStyle name="Normal 402 4 2 2" xfId="17548"/>
    <cellStyle name="Normal 402 4 2 2 2" xfId="35171"/>
    <cellStyle name="Normal 402 4 2 3" xfId="28130"/>
    <cellStyle name="Normal 402 4 3" xfId="14336"/>
    <cellStyle name="Normal 402 4 3 2" xfId="31957"/>
    <cellStyle name="Normal 402 4 4" xfId="25269"/>
    <cellStyle name="Normal 402 5" xfId="7328"/>
    <cellStyle name="Normal 402 5 2" xfId="10313"/>
    <cellStyle name="Normal 402 5 2 2" xfId="18100"/>
    <cellStyle name="Normal 402 5 2 2 2" xfId="35723"/>
    <cellStyle name="Normal 402 5 2 3" xfId="28666"/>
    <cellStyle name="Normal 402 5 3" xfId="15110"/>
    <cellStyle name="Normal 402 5 3 2" xfId="32731"/>
    <cellStyle name="Normal 402 5 4" xfId="25806"/>
    <cellStyle name="Normal 402 6" xfId="7926"/>
    <cellStyle name="Normal 402 6 2" xfId="15717"/>
    <cellStyle name="Normal 402 6 2 2" xfId="33338"/>
    <cellStyle name="Normal 402 6 3" xfId="26328"/>
    <cellStyle name="Normal 402 7" xfId="11882"/>
    <cellStyle name="Normal 402 7 2" xfId="29551"/>
    <cellStyle name="Normal 402 8" xfId="23467"/>
    <cellStyle name="Normal 402 9" xfId="52361"/>
    <cellStyle name="Normal 403" xfId="2752"/>
    <cellStyle name="Normal 403 2" xfId="4763"/>
    <cellStyle name="Normal 403 2 2" xfId="8608"/>
    <cellStyle name="Normal 403 2 2 2" xfId="16398"/>
    <cellStyle name="Normal 403 2 2 2 2" xfId="34019"/>
    <cellStyle name="Normal 403 2 2 3" xfId="26995"/>
    <cellStyle name="Normal 403 2 3" xfId="12896"/>
    <cellStyle name="Normal 403 2 3 2" xfId="30532"/>
    <cellStyle name="Normal 403 2 4" xfId="24134"/>
    <cellStyle name="Normal 403 3" xfId="5924"/>
    <cellStyle name="Normal 403 3 2" xfId="9221"/>
    <cellStyle name="Normal 403 3 2 2" xfId="17010"/>
    <cellStyle name="Normal 403 3 2 2 2" xfId="34632"/>
    <cellStyle name="Normal 403 3 2 3" xfId="27595"/>
    <cellStyle name="Normal 403 3 3" xfId="13774"/>
    <cellStyle name="Normal 403 3 3 2" xfId="31400"/>
    <cellStyle name="Normal 403 3 4" xfId="24734"/>
    <cellStyle name="Normal 403 4" xfId="6554"/>
    <cellStyle name="Normal 403 4 2" xfId="9761"/>
    <cellStyle name="Normal 403 4 2 2" xfId="17549"/>
    <cellStyle name="Normal 403 4 2 2 2" xfId="35172"/>
    <cellStyle name="Normal 403 4 2 3" xfId="28131"/>
    <cellStyle name="Normal 403 4 3" xfId="14337"/>
    <cellStyle name="Normal 403 4 3 2" xfId="31958"/>
    <cellStyle name="Normal 403 4 4" xfId="25270"/>
    <cellStyle name="Normal 403 5" xfId="7329"/>
    <cellStyle name="Normal 403 5 2" xfId="10314"/>
    <cellStyle name="Normal 403 5 2 2" xfId="18101"/>
    <cellStyle name="Normal 403 5 2 2 2" xfId="35724"/>
    <cellStyle name="Normal 403 5 2 3" xfId="28667"/>
    <cellStyle name="Normal 403 5 3" xfId="15111"/>
    <cellStyle name="Normal 403 5 3 2" xfId="32732"/>
    <cellStyle name="Normal 403 5 4" xfId="25807"/>
    <cellStyle name="Normal 403 6" xfId="7927"/>
    <cellStyle name="Normal 403 6 2" xfId="15718"/>
    <cellStyle name="Normal 403 6 2 2" xfId="33339"/>
    <cellStyle name="Normal 403 6 3" xfId="26329"/>
    <cellStyle name="Normal 403 7" xfId="11883"/>
    <cellStyle name="Normal 403 7 2" xfId="29552"/>
    <cellStyle name="Normal 403 8" xfId="23468"/>
    <cellStyle name="Normal 403 9" xfId="52362"/>
    <cellStyle name="Normal 404" xfId="2753"/>
    <cellStyle name="Normal 404 2" xfId="4764"/>
    <cellStyle name="Normal 404 2 2" xfId="8609"/>
    <cellStyle name="Normal 404 2 2 2" xfId="16399"/>
    <cellStyle name="Normal 404 2 2 2 2" xfId="34020"/>
    <cellStyle name="Normal 404 2 2 3" xfId="26996"/>
    <cellStyle name="Normal 404 2 3" xfId="12897"/>
    <cellStyle name="Normal 404 2 3 2" xfId="30533"/>
    <cellStyle name="Normal 404 2 4" xfId="24135"/>
    <cellStyle name="Normal 404 3" xfId="5925"/>
    <cellStyle name="Normal 404 3 2" xfId="9222"/>
    <cellStyle name="Normal 404 3 2 2" xfId="17011"/>
    <cellStyle name="Normal 404 3 2 2 2" xfId="34633"/>
    <cellStyle name="Normal 404 3 2 3" xfId="27596"/>
    <cellStyle name="Normal 404 3 3" xfId="13775"/>
    <cellStyle name="Normal 404 3 3 2" xfId="31401"/>
    <cellStyle name="Normal 404 3 4" xfId="24735"/>
    <cellStyle name="Normal 404 4" xfId="6555"/>
    <cellStyle name="Normal 404 4 2" xfId="9762"/>
    <cellStyle name="Normal 404 4 2 2" xfId="17550"/>
    <cellStyle name="Normal 404 4 2 2 2" xfId="35173"/>
    <cellStyle name="Normal 404 4 2 3" xfId="28132"/>
    <cellStyle name="Normal 404 4 3" xfId="14338"/>
    <cellStyle name="Normal 404 4 3 2" xfId="31959"/>
    <cellStyle name="Normal 404 4 4" xfId="25271"/>
    <cellStyle name="Normal 404 5" xfId="7330"/>
    <cellStyle name="Normal 404 5 2" xfId="10315"/>
    <cellStyle name="Normal 404 5 2 2" xfId="18102"/>
    <cellStyle name="Normal 404 5 2 2 2" xfId="35725"/>
    <cellStyle name="Normal 404 5 2 3" xfId="28668"/>
    <cellStyle name="Normal 404 5 3" xfId="15112"/>
    <cellStyle name="Normal 404 5 3 2" xfId="32733"/>
    <cellStyle name="Normal 404 5 4" xfId="25808"/>
    <cellStyle name="Normal 404 6" xfId="7928"/>
    <cellStyle name="Normal 404 6 2" xfId="15719"/>
    <cellStyle name="Normal 404 6 2 2" xfId="33340"/>
    <cellStyle name="Normal 404 6 3" xfId="26330"/>
    <cellStyle name="Normal 404 7" xfId="11884"/>
    <cellStyle name="Normal 404 7 2" xfId="29553"/>
    <cellStyle name="Normal 404 8" xfId="23469"/>
    <cellStyle name="Normal 404 9" xfId="52363"/>
    <cellStyle name="Normal 405" xfId="2754"/>
    <cellStyle name="Normal 405 2" xfId="4765"/>
    <cellStyle name="Normal 405 2 2" xfId="8610"/>
    <cellStyle name="Normal 405 2 2 2" xfId="16400"/>
    <cellStyle name="Normal 405 2 2 2 2" xfId="34021"/>
    <cellStyle name="Normal 405 2 2 3" xfId="26997"/>
    <cellStyle name="Normal 405 2 3" xfId="12898"/>
    <cellStyle name="Normal 405 2 3 2" xfId="30534"/>
    <cellStyle name="Normal 405 2 4" xfId="24136"/>
    <cellStyle name="Normal 405 3" xfId="5926"/>
    <cellStyle name="Normal 405 3 2" xfId="9223"/>
    <cellStyle name="Normal 405 3 2 2" xfId="17012"/>
    <cellStyle name="Normal 405 3 2 2 2" xfId="34634"/>
    <cellStyle name="Normal 405 3 2 3" xfId="27597"/>
    <cellStyle name="Normal 405 3 3" xfId="13776"/>
    <cellStyle name="Normal 405 3 3 2" xfId="31402"/>
    <cellStyle name="Normal 405 3 4" xfId="24736"/>
    <cellStyle name="Normal 405 4" xfId="6556"/>
    <cellStyle name="Normal 405 4 2" xfId="9763"/>
    <cellStyle name="Normal 405 4 2 2" xfId="17551"/>
    <cellStyle name="Normal 405 4 2 2 2" xfId="35174"/>
    <cellStyle name="Normal 405 4 2 3" xfId="28133"/>
    <cellStyle name="Normal 405 4 3" xfId="14339"/>
    <cellStyle name="Normal 405 4 3 2" xfId="31960"/>
    <cellStyle name="Normal 405 4 4" xfId="25272"/>
    <cellStyle name="Normal 405 5" xfId="7331"/>
    <cellStyle name="Normal 405 5 2" xfId="10316"/>
    <cellStyle name="Normal 405 5 2 2" xfId="18103"/>
    <cellStyle name="Normal 405 5 2 2 2" xfId="35726"/>
    <cellStyle name="Normal 405 5 2 3" xfId="28669"/>
    <cellStyle name="Normal 405 5 3" xfId="15113"/>
    <cellStyle name="Normal 405 5 3 2" xfId="32734"/>
    <cellStyle name="Normal 405 5 4" xfId="25809"/>
    <cellStyle name="Normal 405 6" xfId="7929"/>
    <cellStyle name="Normal 405 6 2" xfId="15720"/>
    <cellStyle name="Normal 405 6 2 2" xfId="33341"/>
    <cellStyle name="Normal 405 6 3" xfId="26331"/>
    <cellStyle name="Normal 405 7" xfId="11885"/>
    <cellStyle name="Normal 405 7 2" xfId="29554"/>
    <cellStyle name="Normal 405 8" xfId="23470"/>
    <cellStyle name="Normal 405 9" xfId="52364"/>
    <cellStyle name="Normal 406" xfId="2755"/>
    <cellStyle name="Normal 406 2" xfId="4766"/>
    <cellStyle name="Normal 406 2 2" xfId="8611"/>
    <cellStyle name="Normal 406 2 2 2" xfId="16401"/>
    <cellStyle name="Normal 406 2 2 2 2" xfId="34022"/>
    <cellStyle name="Normal 406 2 2 3" xfId="26998"/>
    <cellStyle name="Normal 406 2 3" xfId="12899"/>
    <cellStyle name="Normal 406 2 3 2" xfId="30535"/>
    <cellStyle name="Normal 406 2 4" xfId="24137"/>
    <cellStyle name="Normal 406 3" xfId="5927"/>
    <cellStyle name="Normal 406 3 2" xfId="9224"/>
    <cellStyle name="Normal 406 3 2 2" xfId="17013"/>
    <cellStyle name="Normal 406 3 2 2 2" xfId="34635"/>
    <cellStyle name="Normal 406 3 2 3" xfId="27598"/>
    <cellStyle name="Normal 406 3 3" xfId="13777"/>
    <cellStyle name="Normal 406 3 3 2" xfId="31403"/>
    <cellStyle name="Normal 406 3 4" xfId="24737"/>
    <cellStyle name="Normal 406 4" xfId="6557"/>
    <cellStyle name="Normal 406 4 2" xfId="9764"/>
    <cellStyle name="Normal 406 4 2 2" xfId="17552"/>
    <cellStyle name="Normal 406 4 2 2 2" xfId="35175"/>
    <cellStyle name="Normal 406 4 2 3" xfId="28134"/>
    <cellStyle name="Normal 406 4 3" xfId="14340"/>
    <cellStyle name="Normal 406 4 3 2" xfId="31961"/>
    <cellStyle name="Normal 406 4 4" xfId="25273"/>
    <cellStyle name="Normal 406 5" xfId="7332"/>
    <cellStyle name="Normal 406 5 2" xfId="10317"/>
    <cellStyle name="Normal 406 5 2 2" xfId="18104"/>
    <cellStyle name="Normal 406 5 2 2 2" xfId="35727"/>
    <cellStyle name="Normal 406 5 2 3" xfId="28670"/>
    <cellStyle name="Normal 406 5 3" xfId="15114"/>
    <cellStyle name="Normal 406 5 3 2" xfId="32735"/>
    <cellStyle name="Normal 406 5 4" xfId="25810"/>
    <cellStyle name="Normal 406 6" xfId="7930"/>
    <cellStyle name="Normal 406 6 2" xfId="15721"/>
    <cellStyle name="Normal 406 6 2 2" xfId="33342"/>
    <cellStyle name="Normal 406 6 3" xfId="26332"/>
    <cellStyle name="Normal 406 7" xfId="11886"/>
    <cellStyle name="Normal 406 7 2" xfId="29555"/>
    <cellStyle name="Normal 406 8" xfId="23471"/>
    <cellStyle name="Normal 406 9" xfId="52365"/>
    <cellStyle name="Normal 407" xfId="2756"/>
    <cellStyle name="Normal 407 2" xfId="4767"/>
    <cellStyle name="Normal 407 2 2" xfId="8612"/>
    <cellStyle name="Normal 407 2 2 2" xfId="16402"/>
    <cellStyle name="Normal 407 2 2 2 2" xfId="34023"/>
    <cellStyle name="Normal 407 2 2 3" xfId="26999"/>
    <cellStyle name="Normal 407 2 3" xfId="12900"/>
    <cellStyle name="Normal 407 2 3 2" xfId="30536"/>
    <cellStyle name="Normal 407 2 4" xfId="24138"/>
    <cellStyle name="Normal 407 3" xfId="5928"/>
    <cellStyle name="Normal 407 3 2" xfId="9225"/>
    <cellStyle name="Normal 407 3 2 2" xfId="17014"/>
    <cellStyle name="Normal 407 3 2 2 2" xfId="34636"/>
    <cellStyle name="Normal 407 3 2 3" xfId="27599"/>
    <cellStyle name="Normal 407 3 3" xfId="13778"/>
    <cellStyle name="Normal 407 3 3 2" xfId="31404"/>
    <cellStyle name="Normal 407 3 4" xfId="24738"/>
    <cellStyle name="Normal 407 4" xfId="6558"/>
    <cellStyle name="Normal 407 4 2" xfId="9765"/>
    <cellStyle name="Normal 407 4 2 2" xfId="17553"/>
    <cellStyle name="Normal 407 4 2 2 2" xfId="35176"/>
    <cellStyle name="Normal 407 4 2 3" xfId="28135"/>
    <cellStyle name="Normal 407 4 3" xfId="14341"/>
    <cellStyle name="Normal 407 4 3 2" xfId="31962"/>
    <cellStyle name="Normal 407 4 4" xfId="25274"/>
    <cellStyle name="Normal 407 5" xfId="7333"/>
    <cellStyle name="Normal 407 5 2" xfId="10318"/>
    <cellStyle name="Normal 407 5 2 2" xfId="18105"/>
    <cellStyle name="Normal 407 5 2 2 2" xfId="35728"/>
    <cellStyle name="Normal 407 5 2 3" xfId="28671"/>
    <cellStyle name="Normal 407 5 3" xfId="15115"/>
    <cellStyle name="Normal 407 5 3 2" xfId="32736"/>
    <cellStyle name="Normal 407 5 4" xfId="25811"/>
    <cellStyle name="Normal 407 6" xfId="7931"/>
    <cellStyle name="Normal 407 6 2" xfId="15722"/>
    <cellStyle name="Normal 407 6 2 2" xfId="33343"/>
    <cellStyle name="Normal 407 6 3" xfId="26333"/>
    <cellStyle name="Normal 407 7" xfId="11887"/>
    <cellStyle name="Normal 407 7 2" xfId="29556"/>
    <cellStyle name="Normal 407 8" xfId="23472"/>
    <cellStyle name="Normal 407 9" xfId="52366"/>
    <cellStyle name="Normal 408" xfId="2757"/>
    <cellStyle name="Normal 408 2" xfId="4768"/>
    <cellStyle name="Normal 408 2 2" xfId="8613"/>
    <cellStyle name="Normal 408 2 2 2" xfId="16403"/>
    <cellStyle name="Normal 408 2 2 2 2" xfId="34024"/>
    <cellStyle name="Normal 408 2 2 3" xfId="27000"/>
    <cellStyle name="Normal 408 2 3" xfId="12901"/>
    <cellStyle name="Normal 408 2 3 2" xfId="30537"/>
    <cellStyle name="Normal 408 2 4" xfId="24139"/>
    <cellStyle name="Normal 408 3" xfId="5929"/>
    <cellStyle name="Normal 408 3 2" xfId="9226"/>
    <cellStyle name="Normal 408 3 2 2" xfId="17015"/>
    <cellStyle name="Normal 408 3 2 2 2" xfId="34637"/>
    <cellStyle name="Normal 408 3 2 3" xfId="27600"/>
    <cellStyle name="Normal 408 3 3" xfId="13779"/>
    <cellStyle name="Normal 408 3 3 2" xfId="31405"/>
    <cellStyle name="Normal 408 3 4" xfId="24739"/>
    <cellStyle name="Normal 408 4" xfId="6559"/>
    <cellStyle name="Normal 408 4 2" xfId="9766"/>
    <cellStyle name="Normal 408 4 2 2" xfId="17554"/>
    <cellStyle name="Normal 408 4 2 2 2" xfId="35177"/>
    <cellStyle name="Normal 408 4 2 3" xfId="28136"/>
    <cellStyle name="Normal 408 4 3" xfId="14342"/>
    <cellStyle name="Normal 408 4 3 2" xfId="31963"/>
    <cellStyle name="Normal 408 4 4" xfId="25275"/>
    <cellStyle name="Normal 408 5" xfId="7334"/>
    <cellStyle name="Normal 408 5 2" xfId="10319"/>
    <cellStyle name="Normal 408 5 2 2" xfId="18106"/>
    <cellStyle name="Normal 408 5 2 2 2" xfId="35729"/>
    <cellStyle name="Normal 408 5 2 3" xfId="28672"/>
    <cellStyle name="Normal 408 5 3" xfId="15116"/>
    <cellStyle name="Normal 408 5 3 2" xfId="32737"/>
    <cellStyle name="Normal 408 5 4" xfId="25812"/>
    <cellStyle name="Normal 408 6" xfId="7932"/>
    <cellStyle name="Normal 408 6 2" xfId="15723"/>
    <cellStyle name="Normal 408 6 2 2" xfId="33344"/>
    <cellStyle name="Normal 408 6 3" xfId="26334"/>
    <cellStyle name="Normal 408 7" xfId="11888"/>
    <cellStyle name="Normal 408 7 2" xfId="29557"/>
    <cellStyle name="Normal 408 8" xfId="23473"/>
    <cellStyle name="Normal 408 9" xfId="52367"/>
    <cellStyle name="Normal 409" xfId="2758"/>
    <cellStyle name="Normal 409 2" xfId="4769"/>
    <cellStyle name="Normal 409 2 2" xfId="8614"/>
    <cellStyle name="Normal 409 2 2 2" xfId="16404"/>
    <cellStyle name="Normal 409 2 2 2 2" xfId="34025"/>
    <cellStyle name="Normal 409 2 2 3" xfId="27001"/>
    <cellStyle name="Normal 409 2 3" xfId="12902"/>
    <cellStyle name="Normal 409 2 3 2" xfId="30538"/>
    <cellStyle name="Normal 409 2 4" xfId="24140"/>
    <cellStyle name="Normal 409 3" xfId="5930"/>
    <cellStyle name="Normal 409 3 2" xfId="9227"/>
    <cellStyle name="Normal 409 3 2 2" xfId="17016"/>
    <cellStyle name="Normal 409 3 2 2 2" xfId="34638"/>
    <cellStyle name="Normal 409 3 2 3" xfId="27601"/>
    <cellStyle name="Normal 409 3 3" xfId="13780"/>
    <cellStyle name="Normal 409 3 3 2" xfId="31406"/>
    <cellStyle name="Normal 409 3 4" xfId="24740"/>
    <cellStyle name="Normal 409 4" xfId="6560"/>
    <cellStyle name="Normal 409 4 2" xfId="9767"/>
    <cellStyle name="Normal 409 4 2 2" xfId="17555"/>
    <cellStyle name="Normal 409 4 2 2 2" xfId="35178"/>
    <cellStyle name="Normal 409 4 2 3" xfId="28137"/>
    <cellStyle name="Normal 409 4 3" xfId="14343"/>
    <cellStyle name="Normal 409 4 3 2" xfId="31964"/>
    <cellStyle name="Normal 409 4 4" xfId="25276"/>
    <cellStyle name="Normal 409 5" xfId="7335"/>
    <cellStyle name="Normal 409 5 2" xfId="10320"/>
    <cellStyle name="Normal 409 5 2 2" xfId="18107"/>
    <cellStyle name="Normal 409 5 2 2 2" xfId="35730"/>
    <cellStyle name="Normal 409 5 2 3" xfId="28673"/>
    <cellStyle name="Normal 409 5 3" xfId="15117"/>
    <cellStyle name="Normal 409 5 3 2" xfId="32738"/>
    <cellStyle name="Normal 409 5 4" xfId="25813"/>
    <cellStyle name="Normal 409 6" xfId="7933"/>
    <cellStyle name="Normal 409 6 2" xfId="15724"/>
    <cellStyle name="Normal 409 6 2 2" xfId="33345"/>
    <cellStyle name="Normal 409 6 3" xfId="26335"/>
    <cellStyle name="Normal 409 7" xfId="11889"/>
    <cellStyle name="Normal 409 7 2" xfId="29558"/>
    <cellStyle name="Normal 409 8" xfId="23474"/>
    <cellStyle name="Normal 409 9" xfId="52368"/>
    <cellStyle name="Normal 41" xfId="2759"/>
    <cellStyle name="Normal 41 2" xfId="4770"/>
    <cellStyle name="Normal 41 2 2" xfId="22767"/>
    <cellStyle name="Normal 41 2 2 2" xfId="38960"/>
    <cellStyle name="Normal 41 3" xfId="22983"/>
    <cellStyle name="Normal 41 4" xfId="22558"/>
    <cellStyle name="Normal 41 4 2" xfId="38855"/>
    <cellStyle name="Normal 41 5" xfId="52369"/>
    <cellStyle name="Normal 410" xfId="2760"/>
    <cellStyle name="Normal 410 2" xfId="4771"/>
    <cellStyle name="Normal 410 2 2" xfId="8615"/>
    <cellStyle name="Normal 410 2 2 2" xfId="16405"/>
    <cellStyle name="Normal 410 2 2 2 2" xfId="34026"/>
    <cellStyle name="Normal 410 2 2 3" xfId="27002"/>
    <cellStyle name="Normal 410 2 3" xfId="12904"/>
    <cellStyle name="Normal 410 2 3 2" xfId="30540"/>
    <cellStyle name="Normal 410 2 4" xfId="24141"/>
    <cellStyle name="Normal 410 3" xfId="5931"/>
    <cellStyle name="Normal 410 3 2" xfId="9228"/>
    <cellStyle name="Normal 410 3 2 2" xfId="17017"/>
    <cellStyle name="Normal 410 3 2 2 2" xfId="34639"/>
    <cellStyle name="Normal 410 3 2 3" xfId="27602"/>
    <cellStyle name="Normal 410 3 3" xfId="13781"/>
    <cellStyle name="Normal 410 3 3 2" xfId="31407"/>
    <cellStyle name="Normal 410 3 4" xfId="24741"/>
    <cellStyle name="Normal 410 4" xfId="6561"/>
    <cellStyle name="Normal 410 4 2" xfId="9768"/>
    <cellStyle name="Normal 410 4 2 2" xfId="17556"/>
    <cellStyle name="Normal 410 4 2 2 2" xfId="35179"/>
    <cellStyle name="Normal 410 4 2 3" xfId="28138"/>
    <cellStyle name="Normal 410 4 3" xfId="14344"/>
    <cellStyle name="Normal 410 4 3 2" xfId="31965"/>
    <cellStyle name="Normal 410 4 4" xfId="25277"/>
    <cellStyle name="Normal 410 5" xfId="7336"/>
    <cellStyle name="Normal 410 5 2" xfId="10321"/>
    <cellStyle name="Normal 410 5 2 2" xfId="18108"/>
    <cellStyle name="Normal 410 5 2 2 2" xfId="35731"/>
    <cellStyle name="Normal 410 5 2 3" xfId="28674"/>
    <cellStyle name="Normal 410 5 3" xfId="15118"/>
    <cellStyle name="Normal 410 5 3 2" xfId="32739"/>
    <cellStyle name="Normal 410 5 4" xfId="25814"/>
    <cellStyle name="Normal 410 6" xfId="7934"/>
    <cellStyle name="Normal 410 6 2" xfId="15725"/>
    <cellStyle name="Normal 410 6 2 2" xfId="33346"/>
    <cellStyle name="Normal 410 6 3" xfId="26336"/>
    <cellStyle name="Normal 410 7" xfId="11890"/>
    <cellStyle name="Normal 410 7 2" xfId="29559"/>
    <cellStyle name="Normal 410 8" xfId="23475"/>
    <cellStyle name="Normal 410 9" xfId="52370"/>
    <cellStyle name="Normal 411" xfId="2761"/>
    <cellStyle name="Normal 411 2" xfId="4772"/>
    <cellStyle name="Normal 411 2 2" xfId="8616"/>
    <cellStyle name="Normal 411 2 2 2" xfId="16406"/>
    <cellStyle name="Normal 411 2 2 2 2" xfId="34027"/>
    <cellStyle name="Normal 411 2 2 3" xfId="27003"/>
    <cellStyle name="Normal 411 2 3" xfId="12905"/>
    <cellStyle name="Normal 411 2 3 2" xfId="30541"/>
    <cellStyle name="Normal 411 2 4" xfId="24142"/>
    <cellStyle name="Normal 411 3" xfId="5932"/>
    <cellStyle name="Normal 411 3 2" xfId="9229"/>
    <cellStyle name="Normal 411 3 2 2" xfId="17018"/>
    <cellStyle name="Normal 411 3 2 2 2" xfId="34640"/>
    <cellStyle name="Normal 411 3 2 3" xfId="27603"/>
    <cellStyle name="Normal 411 3 3" xfId="13782"/>
    <cellStyle name="Normal 411 3 3 2" xfId="31408"/>
    <cellStyle name="Normal 411 3 4" xfId="24742"/>
    <cellStyle name="Normal 411 4" xfId="6562"/>
    <cellStyle name="Normal 411 4 2" xfId="9769"/>
    <cellStyle name="Normal 411 4 2 2" xfId="17557"/>
    <cellStyle name="Normal 411 4 2 2 2" xfId="35180"/>
    <cellStyle name="Normal 411 4 2 3" xfId="28139"/>
    <cellStyle name="Normal 411 4 3" xfId="14345"/>
    <cellStyle name="Normal 411 4 3 2" xfId="31966"/>
    <cellStyle name="Normal 411 4 4" xfId="25278"/>
    <cellStyle name="Normal 411 5" xfId="7337"/>
    <cellStyle name="Normal 411 5 2" xfId="10322"/>
    <cellStyle name="Normal 411 5 2 2" xfId="18109"/>
    <cellStyle name="Normal 411 5 2 2 2" xfId="35732"/>
    <cellStyle name="Normal 411 5 2 3" xfId="28675"/>
    <cellStyle name="Normal 411 5 3" xfId="15119"/>
    <cellStyle name="Normal 411 5 3 2" xfId="32740"/>
    <cellStyle name="Normal 411 5 4" xfId="25815"/>
    <cellStyle name="Normal 411 6" xfId="7935"/>
    <cellStyle name="Normal 411 6 2" xfId="15726"/>
    <cellStyle name="Normal 411 6 2 2" xfId="33347"/>
    <cellStyle name="Normal 411 6 3" xfId="26337"/>
    <cellStyle name="Normal 411 7" xfId="11891"/>
    <cellStyle name="Normal 411 7 2" xfId="29560"/>
    <cellStyle name="Normal 411 8" xfId="23476"/>
    <cellStyle name="Normal 411 9" xfId="52371"/>
    <cellStyle name="Normal 412" xfId="2762"/>
    <cellStyle name="Normal 412 2" xfId="4773"/>
    <cellStyle name="Normal 412 2 2" xfId="8617"/>
    <cellStyle name="Normal 412 2 2 2" xfId="16407"/>
    <cellStyle name="Normal 412 2 2 2 2" xfId="34028"/>
    <cellStyle name="Normal 412 2 2 3" xfId="27004"/>
    <cellStyle name="Normal 412 2 3" xfId="12906"/>
    <cellStyle name="Normal 412 2 3 2" xfId="30542"/>
    <cellStyle name="Normal 412 2 4" xfId="24143"/>
    <cellStyle name="Normal 412 3" xfId="5933"/>
    <cellStyle name="Normal 412 3 2" xfId="9230"/>
    <cellStyle name="Normal 412 3 2 2" xfId="17019"/>
    <cellStyle name="Normal 412 3 2 2 2" xfId="34641"/>
    <cellStyle name="Normal 412 3 2 3" xfId="27604"/>
    <cellStyle name="Normal 412 3 3" xfId="13783"/>
    <cellStyle name="Normal 412 3 3 2" xfId="31409"/>
    <cellStyle name="Normal 412 3 4" xfId="24743"/>
    <cellStyle name="Normal 412 4" xfId="6563"/>
    <cellStyle name="Normal 412 4 2" xfId="9770"/>
    <cellStyle name="Normal 412 4 2 2" xfId="17558"/>
    <cellStyle name="Normal 412 4 2 2 2" xfId="35181"/>
    <cellStyle name="Normal 412 4 2 3" xfId="28140"/>
    <cellStyle name="Normal 412 4 3" xfId="14346"/>
    <cellStyle name="Normal 412 4 3 2" xfId="31967"/>
    <cellStyle name="Normal 412 4 4" xfId="25279"/>
    <cellStyle name="Normal 412 5" xfId="7338"/>
    <cellStyle name="Normal 412 5 2" xfId="10323"/>
    <cellStyle name="Normal 412 5 2 2" xfId="18110"/>
    <cellStyle name="Normal 412 5 2 2 2" xfId="35733"/>
    <cellStyle name="Normal 412 5 2 3" xfId="28676"/>
    <cellStyle name="Normal 412 5 3" xfId="15120"/>
    <cellStyle name="Normal 412 5 3 2" xfId="32741"/>
    <cellStyle name="Normal 412 5 4" xfId="25816"/>
    <cellStyle name="Normal 412 6" xfId="7936"/>
    <cellStyle name="Normal 412 6 2" xfId="15727"/>
    <cellStyle name="Normal 412 6 2 2" xfId="33348"/>
    <cellStyle name="Normal 412 6 3" xfId="26338"/>
    <cellStyle name="Normal 412 7" xfId="11892"/>
    <cellStyle name="Normal 412 7 2" xfId="29561"/>
    <cellStyle name="Normal 412 8" xfId="23477"/>
    <cellStyle name="Normal 412 9" xfId="52372"/>
    <cellStyle name="Normal 413" xfId="2763"/>
    <cellStyle name="Normal 413 2" xfId="4774"/>
    <cellStyle name="Normal 413 2 2" xfId="8618"/>
    <cellStyle name="Normal 413 2 2 2" xfId="16408"/>
    <cellStyle name="Normal 413 2 2 2 2" xfId="34029"/>
    <cellStyle name="Normal 413 2 2 3" xfId="27005"/>
    <cellStyle name="Normal 413 2 3" xfId="12907"/>
    <cellStyle name="Normal 413 2 3 2" xfId="30543"/>
    <cellStyle name="Normal 413 2 4" xfId="24144"/>
    <cellStyle name="Normal 413 3" xfId="5934"/>
    <cellStyle name="Normal 413 3 2" xfId="9231"/>
    <cellStyle name="Normal 413 3 2 2" xfId="17020"/>
    <cellStyle name="Normal 413 3 2 2 2" xfId="34642"/>
    <cellStyle name="Normal 413 3 2 3" xfId="27605"/>
    <cellStyle name="Normal 413 3 3" xfId="13784"/>
    <cellStyle name="Normal 413 3 3 2" xfId="31410"/>
    <cellStyle name="Normal 413 3 4" xfId="24744"/>
    <cellStyle name="Normal 413 4" xfId="6564"/>
    <cellStyle name="Normal 413 4 2" xfId="9771"/>
    <cellStyle name="Normal 413 4 2 2" xfId="17559"/>
    <cellStyle name="Normal 413 4 2 2 2" xfId="35182"/>
    <cellStyle name="Normal 413 4 2 3" xfId="28141"/>
    <cellStyle name="Normal 413 4 3" xfId="14347"/>
    <cellStyle name="Normal 413 4 3 2" xfId="31968"/>
    <cellStyle name="Normal 413 4 4" xfId="25280"/>
    <cellStyle name="Normal 413 5" xfId="7339"/>
    <cellStyle name="Normal 413 5 2" xfId="10324"/>
    <cellStyle name="Normal 413 5 2 2" xfId="18111"/>
    <cellStyle name="Normal 413 5 2 2 2" xfId="35734"/>
    <cellStyle name="Normal 413 5 2 3" xfId="28677"/>
    <cellStyle name="Normal 413 5 3" xfId="15121"/>
    <cellStyle name="Normal 413 5 3 2" xfId="32742"/>
    <cellStyle name="Normal 413 5 4" xfId="25817"/>
    <cellStyle name="Normal 413 6" xfId="7937"/>
    <cellStyle name="Normal 413 6 2" xfId="15728"/>
    <cellStyle name="Normal 413 6 2 2" xfId="33349"/>
    <cellStyle name="Normal 413 6 3" xfId="26339"/>
    <cellStyle name="Normal 413 7" xfId="11893"/>
    <cellStyle name="Normal 413 7 2" xfId="29562"/>
    <cellStyle name="Normal 413 8" xfId="23478"/>
    <cellStyle name="Normal 413 9" xfId="52373"/>
    <cellStyle name="Normal 414" xfId="2764"/>
    <cellStyle name="Normal 414 2" xfId="4775"/>
    <cellStyle name="Normal 414 2 2" xfId="8619"/>
    <cellStyle name="Normal 414 2 2 2" xfId="16409"/>
    <cellStyle name="Normal 414 2 2 2 2" xfId="34030"/>
    <cellStyle name="Normal 414 2 2 3" xfId="27006"/>
    <cellStyle name="Normal 414 2 3" xfId="12908"/>
    <cellStyle name="Normal 414 2 3 2" xfId="30544"/>
    <cellStyle name="Normal 414 2 4" xfId="24145"/>
    <cellStyle name="Normal 414 3" xfId="5935"/>
    <cellStyle name="Normal 414 3 2" xfId="9232"/>
    <cellStyle name="Normal 414 3 2 2" xfId="17021"/>
    <cellStyle name="Normal 414 3 2 2 2" xfId="34643"/>
    <cellStyle name="Normal 414 3 2 3" xfId="27606"/>
    <cellStyle name="Normal 414 3 3" xfId="13785"/>
    <cellStyle name="Normal 414 3 3 2" xfId="31411"/>
    <cellStyle name="Normal 414 3 4" xfId="24745"/>
    <cellStyle name="Normal 414 4" xfId="6565"/>
    <cellStyle name="Normal 414 4 2" xfId="9772"/>
    <cellStyle name="Normal 414 4 2 2" xfId="17560"/>
    <cellStyle name="Normal 414 4 2 2 2" xfId="35183"/>
    <cellStyle name="Normal 414 4 2 3" xfId="28142"/>
    <cellStyle name="Normal 414 4 3" xfId="14348"/>
    <cellStyle name="Normal 414 4 3 2" xfId="31969"/>
    <cellStyle name="Normal 414 4 4" xfId="25281"/>
    <cellStyle name="Normal 414 5" xfId="7340"/>
    <cellStyle name="Normal 414 5 2" xfId="10325"/>
    <cellStyle name="Normal 414 5 2 2" xfId="18112"/>
    <cellStyle name="Normal 414 5 2 2 2" xfId="35735"/>
    <cellStyle name="Normal 414 5 2 3" xfId="28678"/>
    <cellStyle name="Normal 414 5 3" xfId="15122"/>
    <cellStyle name="Normal 414 5 3 2" xfId="32743"/>
    <cellStyle name="Normal 414 5 4" xfId="25818"/>
    <cellStyle name="Normal 414 6" xfId="7938"/>
    <cellStyle name="Normal 414 6 2" xfId="15729"/>
    <cellStyle name="Normal 414 6 2 2" xfId="33350"/>
    <cellStyle name="Normal 414 6 3" xfId="26340"/>
    <cellStyle name="Normal 414 7" xfId="11894"/>
    <cellStyle name="Normal 414 7 2" xfId="29563"/>
    <cellStyle name="Normal 414 8" xfId="23479"/>
    <cellStyle name="Normal 414 9" xfId="52374"/>
    <cellStyle name="Normal 415" xfId="2765"/>
    <cellStyle name="Normal 415 2" xfId="4776"/>
    <cellStyle name="Normal 415 2 2" xfId="8620"/>
    <cellStyle name="Normal 415 2 2 2" xfId="16410"/>
    <cellStyle name="Normal 415 2 2 2 2" xfId="34031"/>
    <cellStyle name="Normal 415 2 2 3" xfId="27007"/>
    <cellStyle name="Normal 415 2 3" xfId="12909"/>
    <cellStyle name="Normal 415 2 3 2" xfId="30545"/>
    <cellStyle name="Normal 415 2 4" xfId="24146"/>
    <cellStyle name="Normal 415 3" xfId="5936"/>
    <cellStyle name="Normal 415 3 2" xfId="9233"/>
    <cellStyle name="Normal 415 3 2 2" xfId="17022"/>
    <cellStyle name="Normal 415 3 2 2 2" xfId="34644"/>
    <cellStyle name="Normal 415 3 2 3" xfId="27607"/>
    <cellStyle name="Normal 415 3 3" xfId="13786"/>
    <cellStyle name="Normal 415 3 3 2" xfId="31412"/>
    <cellStyle name="Normal 415 3 4" xfId="24746"/>
    <cellStyle name="Normal 415 4" xfId="6566"/>
    <cellStyle name="Normal 415 4 2" xfId="9773"/>
    <cellStyle name="Normal 415 4 2 2" xfId="17561"/>
    <cellStyle name="Normal 415 4 2 2 2" xfId="35184"/>
    <cellStyle name="Normal 415 4 2 3" xfId="28143"/>
    <cellStyle name="Normal 415 4 3" xfId="14349"/>
    <cellStyle name="Normal 415 4 3 2" xfId="31970"/>
    <cellStyle name="Normal 415 4 4" xfId="25282"/>
    <cellStyle name="Normal 415 5" xfId="7341"/>
    <cellStyle name="Normal 415 5 2" xfId="10326"/>
    <cellStyle name="Normal 415 5 2 2" xfId="18113"/>
    <cellStyle name="Normal 415 5 2 2 2" xfId="35736"/>
    <cellStyle name="Normal 415 5 2 3" xfId="28679"/>
    <cellStyle name="Normal 415 5 3" xfId="15123"/>
    <cellStyle name="Normal 415 5 3 2" xfId="32744"/>
    <cellStyle name="Normal 415 5 4" xfId="25819"/>
    <cellStyle name="Normal 415 6" xfId="7939"/>
    <cellStyle name="Normal 415 6 2" xfId="15730"/>
    <cellStyle name="Normal 415 6 2 2" xfId="33351"/>
    <cellStyle name="Normal 415 6 3" xfId="26341"/>
    <cellStyle name="Normal 415 7" xfId="11895"/>
    <cellStyle name="Normal 415 7 2" xfId="29564"/>
    <cellStyle name="Normal 415 8" xfId="23480"/>
    <cellStyle name="Normal 415 9" xfId="52375"/>
    <cellStyle name="Normal 416" xfId="2766"/>
    <cellStyle name="Normal 416 2" xfId="4777"/>
    <cellStyle name="Normal 416 3" xfId="52376"/>
    <cellStyle name="Normal 417" xfId="2767"/>
    <cellStyle name="Normal 417 2" xfId="4778"/>
    <cellStyle name="Normal 417 3" xfId="52377"/>
    <cellStyle name="Normal 418" xfId="2768"/>
    <cellStyle name="Normal 418 2" xfId="4779"/>
    <cellStyle name="Normal 418 2 2" xfId="8621"/>
    <cellStyle name="Normal 418 2 2 2" xfId="16411"/>
    <cellStyle name="Normal 418 2 2 2 2" xfId="34032"/>
    <cellStyle name="Normal 418 2 2 3" xfId="27008"/>
    <cellStyle name="Normal 418 2 3" xfId="12910"/>
    <cellStyle name="Normal 418 2 3 2" xfId="30546"/>
    <cellStyle name="Normal 418 2 4" xfId="24147"/>
    <cellStyle name="Normal 418 3" xfId="5937"/>
    <cellStyle name="Normal 418 3 2" xfId="9234"/>
    <cellStyle name="Normal 418 3 2 2" xfId="17023"/>
    <cellStyle name="Normal 418 3 2 2 2" xfId="34645"/>
    <cellStyle name="Normal 418 3 2 3" xfId="27608"/>
    <cellStyle name="Normal 418 3 3" xfId="13787"/>
    <cellStyle name="Normal 418 3 3 2" xfId="31413"/>
    <cellStyle name="Normal 418 3 4" xfId="24747"/>
    <cellStyle name="Normal 418 4" xfId="6567"/>
    <cellStyle name="Normal 418 4 2" xfId="9774"/>
    <cellStyle name="Normal 418 4 2 2" xfId="17562"/>
    <cellStyle name="Normal 418 4 2 2 2" xfId="35185"/>
    <cellStyle name="Normal 418 4 2 3" xfId="28144"/>
    <cellStyle name="Normal 418 4 3" xfId="14350"/>
    <cellStyle name="Normal 418 4 3 2" xfId="31971"/>
    <cellStyle name="Normal 418 4 4" xfId="25283"/>
    <cellStyle name="Normal 418 5" xfId="7342"/>
    <cellStyle name="Normal 418 5 2" xfId="10327"/>
    <cellStyle name="Normal 418 5 2 2" xfId="18114"/>
    <cellStyle name="Normal 418 5 2 2 2" xfId="35737"/>
    <cellStyle name="Normal 418 5 2 3" xfId="28680"/>
    <cellStyle name="Normal 418 5 3" xfId="15124"/>
    <cellStyle name="Normal 418 5 3 2" xfId="32745"/>
    <cellStyle name="Normal 418 5 4" xfId="25820"/>
    <cellStyle name="Normal 418 6" xfId="7940"/>
    <cellStyle name="Normal 418 6 2" xfId="15731"/>
    <cellStyle name="Normal 418 6 2 2" xfId="33352"/>
    <cellStyle name="Normal 418 6 3" xfId="26342"/>
    <cellStyle name="Normal 418 7" xfId="11896"/>
    <cellStyle name="Normal 418 7 2" xfId="29565"/>
    <cellStyle name="Normal 418 8" xfId="23481"/>
    <cellStyle name="Normal 418 9" xfId="52378"/>
    <cellStyle name="Normal 419" xfId="2769"/>
    <cellStyle name="Normal 419 2" xfId="4780"/>
    <cellStyle name="Normal 419 2 2" xfId="8622"/>
    <cellStyle name="Normal 419 2 2 2" xfId="16412"/>
    <cellStyle name="Normal 419 2 2 2 2" xfId="34033"/>
    <cellStyle name="Normal 419 2 2 3" xfId="27009"/>
    <cellStyle name="Normal 419 2 3" xfId="12911"/>
    <cellStyle name="Normal 419 2 3 2" xfId="30547"/>
    <cellStyle name="Normal 419 2 4" xfId="24148"/>
    <cellStyle name="Normal 419 3" xfId="5938"/>
    <cellStyle name="Normal 419 3 2" xfId="9235"/>
    <cellStyle name="Normal 419 3 2 2" xfId="17024"/>
    <cellStyle name="Normal 419 3 2 2 2" xfId="34646"/>
    <cellStyle name="Normal 419 3 2 3" xfId="27609"/>
    <cellStyle name="Normal 419 3 3" xfId="13788"/>
    <cellStyle name="Normal 419 3 3 2" xfId="31414"/>
    <cellStyle name="Normal 419 3 4" xfId="24748"/>
    <cellStyle name="Normal 419 4" xfId="6568"/>
    <cellStyle name="Normal 419 4 2" xfId="9775"/>
    <cellStyle name="Normal 419 4 2 2" xfId="17563"/>
    <cellStyle name="Normal 419 4 2 2 2" xfId="35186"/>
    <cellStyle name="Normal 419 4 2 3" xfId="28145"/>
    <cellStyle name="Normal 419 4 3" xfId="14351"/>
    <cellStyle name="Normal 419 4 3 2" xfId="31972"/>
    <cellStyle name="Normal 419 4 4" xfId="25284"/>
    <cellStyle name="Normal 419 5" xfId="7343"/>
    <cellStyle name="Normal 419 5 2" xfId="10328"/>
    <cellStyle name="Normal 419 5 2 2" xfId="18115"/>
    <cellStyle name="Normal 419 5 2 2 2" xfId="35738"/>
    <cellStyle name="Normal 419 5 2 3" xfId="28681"/>
    <cellStyle name="Normal 419 5 3" xfId="15125"/>
    <cellStyle name="Normal 419 5 3 2" xfId="32746"/>
    <cellStyle name="Normal 419 5 4" xfId="25821"/>
    <cellStyle name="Normal 419 6" xfId="7941"/>
    <cellStyle name="Normal 419 6 2" xfId="15732"/>
    <cellStyle name="Normal 419 6 2 2" xfId="33353"/>
    <cellStyle name="Normal 419 6 3" xfId="26343"/>
    <cellStyle name="Normal 419 7" xfId="11897"/>
    <cellStyle name="Normal 419 7 2" xfId="29566"/>
    <cellStyle name="Normal 419 8" xfId="23482"/>
    <cellStyle name="Normal 419 9" xfId="52379"/>
    <cellStyle name="Normal 42" xfId="2770"/>
    <cellStyle name="Normal 42 2" xfId="4781"/>
    <cellStyle name="Normal 42 2 2" xfId="22768"/>
    <cellStyle name="Normal 42 2 2 2" xfId="38961"/>
    <cellStyle name="Normal 42 3" xfId="22984"/>
    <cellStyle name="Normal 42 4" xfId="22559"/>
    <cellStyle name="Normal 42 4 2" xfId="38856"/>
    <cellStyle name="Normal 42 5" xfId="52380"/>
    <cellStyle name="Normal 420" xfId="2771"/>
    <cellStyle name="Normal 420 2" xfId="4782"/>
    <cellStyle name="Normal 420 2 2" xfId="8623"/>
    <cellStyle name="Normal 420 2 2 2" xfId="16413"/>
    <cellStyle name="Normal 420 2 2 2 2" xfId="34034"/>
    <cellStyle name="Normal 420 2 2 3" xfId="27010"/>
    <cellStyle name="Normal 420 2 3" xfId="12912"/>
    <cellStyle name="Normal 420 2 3 2" xfId="30548"/>
    <cellStyle name="Normal 420 2 4" xfId="24149"/>
    <cellStyle name="Normal 420 3" xfId="5939"/>
    <cellStyle name="Normal 420 3 2" xfId="9236"/>
    <cellStyle name="Normal 420 3 2 2" xfId="17025"/>
    <cellStyle name="Normal 420 3 2 2 2" xfId="34647"/>
    <cellStyle name="Normal 420 3 2 3" xfId="27610"/>
    <cellStyle name="Normal 420 3 3" xfId="13789"/>
    <cellStyle name="Normal 420 3 3 2" xfId="31415"/>
    <cellStyle name="Normal 420 3 4" xfId="24749"/>
    <cellStyle name="Normal 420 4" xfId="6569"/>
    <cellStyle name="Normal 420 4 2" xfId="9776"/>
    <cellStyle name="Normal 420 4 2 2" xfId="17564"/>
    <cellStyle name="Normal 420 4 2 2 2" xfId="35187"/>
    <cellStyle name="Normal 420 4 2 3" xfId="28146"/>
    <cellStyle name="Normal 420 4 3" xfId="14352"/>
    <cellStyle name="Normal 420 4 3 2" xfId="31973"/>
    <cellStyle name="Normal 420 4 4" xfId="25285"/>
    <cellStyle name="Normal 420 5" xfId="7344"/>
    <cellStyle name="Normal 420 5 2" xfId="10329"/>
    <cellStyle name="Normal 420 5 2 2" xfId="18116"/>
    <cellStyle name="Normal 420 5 2 2 2" xfId="35739"/>
    <cellStyle name="Normal 420 5 2 3" xfId="28682"/>
    <cellStyle name="Normal 420 5 3" xfId="15126"/>
    <cellStyle name="Normal 420 5 3 2" xfId="32747"/>
    <cellStyle name="Normal 420 5 4" xfId="25822"/>
    <cellStyle name="Normal 420 6" xfId="7942"/>
    <cellStyle name="Normal 420 6 2" xfId="15733"/>
    <cellStyle name="Normal 420 6 2 2" xfId="33354"/>
    <cellStyle name="Normal 420 6 3" xfId="26344"/>
    <cellStyle name="Normal 420 7" xfId="11898"/>
    <cellStyle name="Normal 420 7 2" xfId="29567"/>
    <cellStyle name="Normal 420 8" xfId="23483"/>
    <cellStyle name="Normal 420 9" xfId="52381"/>
    <cellStyle name="Normal 421" xfId="2772"/>
    <cellStyle name="Normal 421 2" xfId="4783"/>
    <cellStyle name="Normal 421 2 2" xfId="8624"/>
    <cellStyle name="Normal 421 2 2 2" xfId="16414"/>
    <cellStyle name="Normal 421 2 2 2 2" xfId="34035"/>
    <cellStyle name="Normal 421 2 2 3" xfId="27011"/>
    <cellStyle name="Normal 421 2 3" xfId="12913"/>
    <cellStyle name="Normal 421 2 3 2" xfId="30549"/>
    <cellStyle name="Normal 421 2 4" xfId="24150"/>
    <cellStyle name="Normal 421 3" xfId="5940"/>
    <cellStyle name="Normal 421 3 2" xfId="9237"/>
    <cellStyle name="Normal 421 3 2 2" xfId="17026"/>
    <cellStyle name="Normal 421 3 2 2 2" xfId="34648"/>
    <cellStyle name="Normal 421 3 2 3" xfId="27611"/>
    <cellStyle name="Normal 421 3 3" xfId="13790"/>
    <cellStyle name="Normal 421 3 3 2" xfId="31416"/>
    <cellStyle name="Normal 421 3 4" xfId="24750"/>
    <cellStyle name="Normal 421 4" xfId="6570"/>
    <cellStyle name="Normal 421 4 2" xfId="9777"/>
    <cellStyle name="Normal 421 4 2 2" xfId="17565"/>
    <cellStyle name="Normal 421 4 2 2 2" xfId="35188"/>
    <cellStyle name="Normal 421 4 2 3" xfId="28147"/>
    <cellStyle name="Normal 421 4 3" xfId="14353"/>
    <cellStyle name="Normal 421 4 3 2" xfId="31974"/>
    <cellStyle name="Normal 421 4 4" xfId="25286"/>
    <cellStyle name="Normal 421 5" xfId="7345"/>
    <cellStyle name="Normal 421 5 2" xfId="10330"/>
    <cellStyle name="Normal 421 5 2 2" xfId="18117"/>
    <cellStyle name="Normal 421 5 2 2 2" xfId="35740"/>
    <cellStyle name="Normal 421 5 2 3" xfId="28683"/>
    <cellStyle name="Normal 421 5 3" xfId="15127"/>
    <cellStyle name="Normal 421 5 3 2" xfId="32748"/>
    <cellStyle name="Normal 421 5 4" xfId="25823"/>
    <cellStyle name="Normal 421 6" xfId="7943"/>
    <cellStyle name="Normal 421 6 2" xfId="15734"/>
    <cellStyle name="Normal 421 6 2 2" xfId="33355"/>
    <cellStyle name="Normal 421 6 3" xfId="26345"/>
    <cellStyle name="Normal 421 7" xfId="11899"/>
    <cellStyle name="Normal 421 7 2" xfId="29568"/>
    <cellStyle name="Normal 421 8" xfId="23484"/>
    <cellStyle name="Normal 421 9" xfId="52382"/>
    <cellStyle name="Normal 422" xfId="2773"/>
    <cellStyle name="Normal 422 2" xfId="4784"/>
    <cellStyle name="Normal 422 2 2" xfId="8625"/>
    <cellStyle name="Normal 422 2 2 2" xfId="16415"/>
    <cellStyle name="Normal 422 2 2 2 2" xfId="34036"/>
    <cellStyle name="Normal 422 2 2 3" xfId="27012"/>
    <cellStyle name="Normal 422 2 3" xfId="12914"/>
    <cellStyle name="Normal 422 2 3 2" xfId="30550"/>
    <cellStyle name="Normal 422 2 4" xfId="24151"/>
    <cellStyle name="Normal 422 3" xfId="5941"/>
    <cellStyle name="Normal 422 3 2" xfId="9238"/>
    <cellStyle name="Normal 422 3 2 2" xfId="17027"/>
    <cellStyle name="Normal 422 3 2 2 2" xfId="34649"/>
    <cellStyle name="Normal 422 3 2 3" xfId="27612"/>
    <cellStyle name="Normal 422 3 3" xfId="13791"/>
    <cellStyle name="Normal 422 3 3 2" xfId="31417"/>
    <cellStyle name="Normal 422 3 4" xfId="24751"/>
    <cellStyle name="Normal 422 4" xfId="6571"/>
    <cellStyle name="Normal 422 4 2" xfId="9778"/>
    <cellStyle name="Normal 422 4 2 2" xfId="17566"/>
    <cellStyle name="Normal 422 4 2 2 2" xfId="35189"/>
    <cellStyle name="Normal 422 4 2 3" xfId="28148"/>
    <cellStyle name="Normal 422 4 3" xfId="14354"/>
    <cellStyle name="Normal 422 4 3 2" xfId="31975"/>
    <cellStyle name="Normal 422 4 4" xfId="25287"/>
    <cellStyle name="Normal 422 5" xfId="7346"/>
    <cellStyle name="Normal 422 5 2" xfId="10331"/>
    <cellStyle name="Normal 422 5 2 2" xfId="18118"/>
    <cellStyle name="Normal 422 5 2 2 2" xfId="35741"/>
    <cellStyle name="Normal 422 5 2 3" xfId="28684"/>
    <cellStyle name="Normal 422 5 3" xfId="15128"/>
    <cellStyle name="Normal 422 5 3 2" xfId="32749"/>
    <cellStyle name="Normal 422 5 4" xfId="25824"/>
    <cellStyle name="Normal 422 6" xfId="7944"/>
    <cellStyle name="Normal 422 6 2" xfId="15735"/>
    <cellStyle name="Normal 422 6 2 2" xfId="33356"/>
    <cellStyle name="Normal 422 6 3" xfId="26346"/>
    <cellStyle name="Normal 422 7" xfId="11900"/>
    <cellStyle name="Normal 422 7 2" xfId="29569"/>
    <cellStyle name="Normal 422 8" xfId="23485"/>
    <cellStyle name="Normal 422 9" xfId="52383"/>
    <cellStyle name="Normal 423" xfId="2774"/>
    <cellStyle name="Normal 423 2" xfId="4785"/>
    <cellStyle name="Normal 423 2 2" xfId="8626"/>
    <cellStyle name="Normal 423 2 2 2" xfId="16416"/>
    <cellStyle name="Normal 423 2 2 2 2" xfId="34037"/>
    <cellStyle name="Normal 423 2 2 3" xfId="27013"/>
    <cellStyle name="Normal 423 2 3" xfId="12915"/>
    <cellStyle name="Normal 423 2 3 2" xfId="30551"/>
    <cellStyle name="Normal 423 2 4" xfId="24152"/>
    <cellStyle name="Normal 423 3" xfId="5942"/>
    <cellStyle name="Normal 423 3 2" xfId="9239"/>
    <cellStyle name="Normal 423 3 2 2" xfId="17028"/>
    <cellStyle name="Normal 423 3 2 2 2" xfId="34650"/>
    <cellStyle name="Normal 423 3 2 3" xfId="27613"/>
    <cellStyle name="Normal 423 3 3" xfId="13792"/>
    <cellStyle name="Normal 423 3 3 2" xfId="31418"/>
    <cellStyle name="Normal 423 3 4" xfId="24752"/>
    <cellStyle name="Normal 423 4" xfId="6572"/>
    <cellStyle name="Normal 423 4 2" xfId="9779"/>
    <cellStyle name="Normal 423 4 2 2" xfId="17567"/>
    <cellStyle name="Normal 423 4 2 2 2" xfId="35190"/>
    <cellStyle name="Normal 423 4 2 3" xfId="28149"/>
    <cellStyle name="Normal 423 4 3" xfId="14355"/>
    <cellStyle name="Normal 423 4 3 2" xfId="31976"/>
    <cellStyle name="Normal 423 4 4" xfId="25288"/>
    <cellStyle name="Normal 423 5" xfId="7347"/>
    <cellStyle name="Normal 423 5 2" xfId="10332"/>
    <cellStyle name="Normal 423 5 2 2" xfId="18119"/>
    <cellStyle name="Normal 423 5 2 2 2" xfId="35742"/>
    <cellStyle name="Normal 423 5 2 3" xfId="28685"/>
    <cellStyle name="Normal 423 5 3" xfId="15129"/>
    <cellStyle name="Normal 423 5 3 2" xfId="32750"/>
    <cellStyle name="Normal 423 5 4" xfId="25825"/>
    <cellStyle name="Normal 423 6" xfId="7945"/>
    <cellStyle name="Normal 423 6 2" xfId="15736"/>
    <cellStyle name="Normal 423 6 2 2" xfId="33357"/>
    <cellStyle name="Normal 423 6 3" xfId="26347"/>
    <cellStyle name="Normal 423 7" xfId="11901"/>
    <cellStyle name="Normal 423 7 2" xfId="29570"/>
    <cellStyle name="Normal 423 8" xfId="23486"/>
    <cellStyle name="Normal 423 9" xfId="52384"/>
    <cellStyle name="Normal 424" xfId="2775"/>
    <cellStyle name="Normal 424 2" xfId="4786"/>
    <cellStyle name="Normal 424 2 2" xfId="8627"/>
    <cellStyle name="Normal 424 2 2 2" xfId="16417"/>
    <cellStyle name="Normal 424 2 2 2 2" xfId="34038"/>
    <cellStyle name="Normal 424 2 2 3" xfId="27014"/>
    <cellStyle name="Normal 424 2 3" xfId="12916"/>
    <cellStyle name="Normal 424 2 3 2" xfId="30552"/>
    <cellStyle name="Normal 424 2 4" xfId="24153"/>
    <cellStyle name="Normal 424 3" xfId="5943"/>
    <cellStyle name="Normal 424 3 2" xfId="9240"/>
    <cellStyle name="Normal 424 3 2 2" xfId="17029"/>
    <cellStyle name="Normal 424 3 2 2 2" xfId="34651"/>
    <cellStyle name="Normal 424 3 2 3" xfId="27614"/>
    <cellStyle name="Normal 424 3 3" xfId="13793"/>
    <cellStyle name="Normal 424 3 3 2" xfId="31419"/>
    <cellStyle name="Normal 424 3 4" xfId="24753"/>
    <cellStyle name="Normal 424 4" xfId="6573"/>
    <cellStyle name="Normal 424 4 2" xfId="9780"/>
    <cellStyle name="Normal 424 4 2 2" xfId="17568"/>
    <cellStyle name="Normal 424 4 2 2 2" xfId="35191"/>
    <cellStyle name="Normal 424 4 2 3" xfId="28150"/>
    <cellStyle name="Normal 424 4 3" xfId="14356"/>
    <cellStyle name="Normal 424 4 3 2" xfId="31977"/>
    <cellStyle name="Normal 424 4 4" xfId="25289"/>
    <cellStyle name="Normal 424 5" xfId="7348"/>
    <cellStyle name="Normal 424 5 2" xfId="10333"/>
    <cellStyle name="Normal 424 5 2 2" xfId="18120"/>
    <cellStyle name="Normal 424 5 2 2 2" xfId="35743"/>
    <cellStyle name="Normal 424 5 2 3" xfId="28686"/>
    <cellStyle name="Normal 424 5 3" xfId="15130"/>
    <cellStyle name="Normal 424 5 3 2" xfId="32751"/>
    <cellStyle name="Normal 424 5 4" xfId="25826"/>
    <cellStyle name="Normal 424 6" xfId="7946"/>
    <cellStyle name="Normal 424 6 2" xfId="15737"/>
    <cellStyle name="Normal 424 6 2 2" xfId="33358"/>
    <cellStyle name="Normal 424 6 3" xfId="26348"/>
    <cellStyle name="Normal 424 7" xfId="11902"/>
    <cellStyle name="Normal 424 7 2" xfId="29571"/>
    <cellStyle name="Normal 424 8" xfId="23487"/>
    <cellStyle name="Normal 424 9" xfId="52385"/>
    <cellStyle name="Normal 425" xfId="2776"/>
    <cellStyle name="Normal 425 2" xfId="4787"/>
    <cellStyle name="Normal 425 2 2" xfId="8628"/>
    <cellStyle name="Normal 425 2 2 2" xfId="16418"/>
    <cellStyle name="Normal 425 2 2 2 2" xfId="34039"/>
    <cellStyle name="Normal 425 2 2 3" xfId="27015"/>
    <cellStyle name="Normal 425 2 3" xfId="12917"/>
    <cellStyle name="Normal 425 2 3 2" xfId="30553"/>
    <cellStyle name="Normal 425 2 4" xfId="24154"/>
    <cellStyle name="Normal 425 3" xfId="5944"/>
    <cellStyle name="Normal 425 3 2" xfId="9241"/>
    <cellStyle name="Normal 425 3 2 2" xfId="17030"/>
    <cellStyle name="Normal 425 3 2 2 2" xfId="34652"/>
    <cellStyle name="Normal 425 3 2 3" xfId="27615"/>
    <cellStyle name="Normal 425 3 3" xfId="13794"/>
    <cellStyle name="Normal 425 3 3 2" xfId="31420"/>
    <cellStyle name="Normal 425 3 4" xfId="24754"/>
    <cellStyle name="Normal 425 4" xfId="6574"/>
    <cellStyle name="Normal 425 4 2" xfId="9781"/>
    <cellStyle name="Normal 425 4 2 2" xfId="17569"/>
    <cellStyle name="Normal 425 4 2 2 2" xfId="35192"/>
    <cellStyle name="Normal 425 4 2 3" xfId="28151"/>
    <cellStyle name="Normal 425 4 3" xfId="14357"/>
    <cellStyle name="Normal 425 4 3 2" xfId="31978"/>
    <cellStyle name="Normal 425 4 4" xfId="25290"/>
    <cellStyle name="Normal 425 5" xfId="7349"/>
    <cellStyle name="Normal 425 5 2" xfId="10334"/>
    <cellStyle name="Normal 425 5 2 2" xfId="18121"/>
    <cellStyle name="Normal 425 5 2 2 2" xfId="35744"/>
    <cellStyle name="Normal 425 5 2 3" xfId="28687"/>
    <cellStyle name="Normal 425 5 3" xfId="15131"/>
    <cellStyle name="Normal 425 5 3 2" xfId="32752"/>
    <cellStyle name="Normal 425 5 4" xfId="25827"/>
    <cellStyle name="Normal 425 6" xfId="7947"/>
    <cellStyle name="Normal 425 6 2" xfId="15738"/>
    <cellStyle name="Normal 425 6 2 2" xfId="33359"/>
    <cellStyle name="Normal 425 6 3" xfId="26349"/>
    <cellStyle name="Normal 425 7" xfId="11903"/>
    <cellStyle name="Normal 425 7 2" xfId="29572"/>
    <cellStyle name="Normal 425 8" xfId="23488"/>
    <cellStyle name="Normal 425 9" xfId="52386"/>
    <cellStyle name="Normal 426" xfId="2777"/>
    <cellStyle name="Normal 426 2" xfId="4788"/>
    <cellStyle name="Normal 426 2 2" xfId="8629"/>
    <cellStyle name="Normal 426 2 2 2" xfId="16419"/>
    <cellStyle name="Normal 426 2 2 2 2" xfId="34040"/>
    <cellStyle name="Normal 426 2 2 3" xfId="27016"/>
    <cellStyle name="Normal 426 2 3" xfId="12918"/>
    <cellStyle name="Normal 426 2 3 2" xfId="30554"/>
    <cellStyle name="Normal 426 2 4" xfId="24155"/>
    <cellStyle name="Normal 426 3" xfId="5945"/>
    <cellStyle name="Normal 426 3 2" xfId="9242"/>
    <cellStyle name="Normal 426 3 2 2" xfId="17031"/>
    <cellStyle name="Normal 426 3 2 2 2" xfId="34653"/>
    <cellStyle name="Normal 426 3 2 3" xfId="27616"/>
    <cellStyle name="Normal 426 3 3" xfId="13795"/>
    <cellStyle name="Normal 426 3 3 2" xfId="31421"/>
    <cellStyle name="Normal 426 3 4" xfId="24755"/>
    <cellStyle name="Normal 426 4" xfId="6575"/>
    <cellStyle name="Normal 426 4 2" xfId="9782"/>
    <cellStyle name="Normal 426 4 2 2" xfId="17570"/>
    <cellStyle name="Normal 426 4 2 2 2" xfId="35193"/>
    <cellStyle name="Normal 426 4 2 3" xfId="28152"/>
    <cellStyle name="Normal 426 4 3" xfId="14358"/>
    <cellStyle name="Normal 426 4 3 2" xfId="31979"/>
    <cellStyle name="Normal 426 4 4" xfId="25291"/>
    <cellStyle name="Normal 426 5" xfId="7350"/>
    <cellStyle name="Normal 426 5 2" xfId="10335"/>
    <cellStyle name="Normal 426 5 2 2" xfId="18122"/>
    <cellStyle name="Normal 426 5 2 2 2" xfId="35745"/>
    <cellStyle name="Normal 426 5 2 3" xfId="28688"/>
    <cellStyle name="Normal 426 5 3" xfId="15132"/>
    <cellStyle name="Normal 426 5 3 2" xfId="32753"/>
    <cellStyle name="Normal 426 5 4" xfId="25828"/>
    <cellStyle name="Normal 426 6" xfId="7948"/>
    <cellStyle name="Normal 426 6 2" xfId="15739"/>
    <cellStyle name="Normal 426 6 2 2" xfId="33360"/>
    <cellStyle name="Normal 426 6 3" xfId="26350"/>
    <cellStyle name="Normal 426 7" xfId="11904"/>
    <cellStyle name="Normal 426 7 2" xfId="29573"/>
    <cellStyle name="Normal 426 8" xfId="23489"/>
    <cellStyle name="Normal 426 9" xfId="52387"/>
    <cellStyle name="Normal 427" xfId="2778"/>
    <cellStyle name="Normal 427 2" xfId="4789"/>
    <cellStyle name="Normal 427 2 2" xfId="8630"/>
    <cellStyle name="Normal 427 2 2 2" xfId="16420"/>
    <cellStyle name="Normal 427 2 2 2 2" xfId="34041"/>
    <cellStyle name="Normal 427 2 2 3" xfId="27017"/>
    <cellStyle name="Normal 427 2 3" xfId="12919"/>
    <cellStyle name="Normal 427 2 3 2" xfId="30555"/>
    <cellStyle name="Normal 427 2 4" xfId="24156"/>
    <cellStyle name="Normal 427 3" xfId="5946"/>
    <cellStyle name="Normal 427 3 2" xfId="9243"/>
    <cellStyle name="Normal 427 3 2 2" xfId="17032"/>
    <cellStyle name="Normal 427 3 2 2 2" xfId="34654"/>
    <cellStyle name="Normal 427 3 2 3" xfId="27617"/>
    <cellStyle name="Normal 427 3 3" xfId="13796"/>
    <cellStyle name="Normal 427 3 3 2" xfId="31422"/>
    <cellStyle name="Normal 427 3 4" xfId="24756"/>
    <cellStyle name="Normal 427 4" xfId="6576"/>
    <cellStyle name="Normal 427 4 2" xfId="9783"/>
    <cellStyle name="Normal 427 4 2 2" xfId="17571"/>
    <cellStyle name="Normal 427 4 2 2 2" xfId="35194"/>
    <cellStyle name="Normal 427 4 2 3" xfId="28153"/>
    <cellStyle name="Normal 427 4 3" xfId="14359"/>
    <cellStyle name="Normal 427 4 3 2" xfId="31980"/>
    <cellStyle name="Normal 427 4 4" xfId="25292"/>
    <cellStyle name="Normal 427 5" xfId="7351"/>
    <cellStyle name="Normal 427 5 2" xfId="10336"/>
    <cellStyle name="Normal 427 5 2 2" xfId="18123"/>
    <cellStyle name="Normal 427 5 2 2 2" xfId="35746"/>
    <cellStyle name="Normal 427 5 2 3" xfId="28689"/>
    <cellStyle name="Normal 427 5 3" xfId="15133"/>
    <cellStyle name="Normal 427 5 3 2" xfId="32754"/>
    <cellStyle name="Normal 427 5 4" xfId="25829"/>
    <cellStyle name="Normal 427 6" xfId="7949"/>
    <cellStyle name="Normal 427 6 2" xfId="15740"/>
    <cellStyle name="Normal 427 6 2 2" xfId="33361"/>
    <cellStyle name="Normal 427 6 3" xfId="26351"/>
    <cellStyle name="Normal 427 7" xfId="11905"/>
    <cellStyle name="Normal 427 7 2" xfId="29574"/>
    <cellStyle name="Normal 427 8" xfId="23490"/>
    <cellStyle name="Normal 427 9" xfId="52388"/>
    <cellStyle name="Normal 428" xfId="2779"/>
    <cellStyle name="Normal 428 2" xfId="4790"/>
    <cellStyle name="Normal 428 2 2" xfId="8631"/>
    <cellStyle name="Normal 428 2 2 2" xfId="16421"/>
    <cellStyle name="Normal 428 2 2 2 2" xfId="34042"/>
    <cellStyle name="Normal 428 2 2 3" xfId="27018"/>
    <cellStyle name="Normal 428 2 3" xfId="12920"/>
    <cellStyle name="Normal 428 2 3 2" xfId="30556"/>
    <cellStyle name="Normal 428 2 4" xfId="24157"/>
    <cellStyle name="Normal 428 3" xfId="5947"/>
    <cellStyle name="Normal 428 3 2" xfId="9244"/>
    <cellStyle name="Normal 428 3 2 2" xfId="17033"/>
    <cellStyle name="Normal 428 3 2 2 2" xfId="34655"/>
    <cellStyle name="Normal 428 3 2 3" xfId="27618"/>
    <cellStyle name="Normal 428 3 3" xfId="13797"/>
    <cellStyle name="Normal 428 3 3 2" xfId="31423"/>
    <cellStyle name="Normal 428 3 4" xfId="24757"/>
    <cellStyle name="Normal 428 4" xfId="6577"/>
    <cellStyle name="Normal 428 4 2" xfId="9784"/>
    <cellStyle name="Normal 428 4 2 2" xfId="17572"/>
    <cellStyle name="Normal 428 4 2 2 2" xfId="35195"/>
    <cellStyle name="Normal 428 4 2 3" xfId="28154"/>
    <cellStyle name="Normal 428 4 3" xfId="14360"/>
    <cellStyle name="Normal 428 4 3 2" xfId="31981"/>
    <cellStyle name="Normal 428 4 4" xfId="25293"/>
    <cellStyle name="Normal 428 5" xfId="7352"/>
    <cellStyle name="Normal 428 5 2" xfId="10337"/>
    <cellStyle name="Normal 428 5 2 2" xfId="18124"/>
    <cellStyle name="Normal 428 5 2 2 2" xfId="35747"/>
    <cellStyle name="Normal 428 5 2 3" xfId="28690"/>
    <cellStyle name="Normal 428 5 3" xfId="15134"/>
    <cellStyle name="Normal 428 5 3 2" xfId="32755"/>
    <cellStyle name="Normal 428 5 4" xfId="25830"/>
    <cellStyle name="Normal 428 6" xfId="7950"/>
    <cellStyle name="Normal 428 6 2" xfId="15741"/>
    <cellStyle name="Normal 428 6 2 2" xfId="33362"/>
    <cellStyle name="Normal 428 6 3" xfId="26352"/>
    <cellStyle name="Normal 428 7" xfId="11906"/>
    <cellStyle name="Normal 428 7 2" xfId="29575"/>
    <cellStyle name="Normal 428 8" xfId="23491"/>
    <cellStyle name="Normal 428 9" xfId="52389"/>
    <cellStyle name="Normal 429" xfId="2780"/>
    <cellStyle name="Normal 429 2" xfId="2781"/>
    <cellStyle name="Normal 429 2 2" xfId="4792"/>
    <cellStyle name="Normal 429 2 3" xfId="52391"/>
    <cellStyle name="Normal 429 3" xfId="2782"/>
    <cellStyle name="Normal 429 3 2" xfId="4793"/>
    <cellStyle name="Normal 429 4" xfId="4791"/>
    <cellStyle name="Normal 429 5" xfId="52390"/>
    <cellStyle name="Normal 43" xfId="2783"/>
    <cellStyle name="Normal 43 2" xfId="4794"/>
    <cellStyle name="Normal 43 2 2" xfId="22769"/>
    <cellStyle name="Normal 43 2 2 2" xfId="38962"/>
    <cellStyle name="Normal 43 3" xfId="22985"/>
    <cellStyle name="Normal 43 4" xfId="22560"/>
    <cellStyle name="Normal 43 4 2" xfId="38857"/>
    <cellStyle name="Normal 43 5" xfId="52392"/>
    <cellStyle name="Normal 430" xfId="2784"/>
    <cellStyle name="Normal 430 10" xfId="52393"/>
    <cellStyle name="Normal 430 2" xfId="2785"/>
    <cellStyle name="Normal 430 2 2" xfId="4796"/>
    <cellStyle name="Normal 430 2 3" xfId="52394"/>
    <cellStyle name="Normal 430 3" xfId="4795"/>
    <cellStyle name="Normal 430 3 2" xfId="8632"/>
    <cellStyle name="Normal 430 3 2 2" xfId="16422"/>
    <cellStyle name="Normal 430 3 2 2 2" xfId="34043"/>
    <cellStyle name="Normal 430 3 2 3" xfId="27019"/>
    <cellStyle name="Normal 430 3 3" xfId="12923"/>
    <cellStyle name="Normal 430 3 3 2" xfId="30559"/>
    <cellStyle name="Normal 430 3 4" xfId="24158"/>
    <cellStyle name="Normal 430 4" xfId="5948"/>
    <cellStyle name="Normal 430 4 2" xfId="9245"/>
    <cellStyle name="Normal 430 4 2 2" xfId="17034"/>
    <cellStyle name="Normal 430 4 2 2 2" xfId="34656"/>
    <cellStyle name="Normal 430 4 2 3" xfId="27619"/>
    <cellStyle name="Normal 430 4 3" xfId="13798"/>
    <cellStyle name="Normal 430 4 3 2" xfId="31424"/>
    <cellStyle name="Normal 430 4 4" xfId="24758"/>
    <cellStyle name="Normal 430 5" xfId="6578"/>
    <cellStyle name="Normal 430 5 2" xfId="9785"/>
    <cellStyle name="Normal 430 5 2 2" xfId="17573"/>
    <cellStyle name="Normal 430 5 2 2 2" xfId="35196"/>
    <cellStyle name="Normal 430 5 2 3" xfId="28155"/>
    <cellStyle name="Normal 430 5 3" xfId="14361"/>
    <cellStyle name="Normal 430 5 3 2" xfId="31982"/>
    <cellStyle name="Normal 430 5 4" xfId="25294"/>
    <cellStyle name="Normal 430 6" xfId="7353"/>
    <cellStyle name="Normal 430 6 2" xfId="10338"/>
    <cellStyle name="Normal 430 6 2 2" xfId="18125"/>
    <cellStyle name="Normal 430 6 2 2 2" xfId="35748"/>
    <cellStyle name="Normal 430 6 2 3" xfId="28691"/>
    <cellStyle name="Normal 430 6 3" xfId="15135"/>
    <cellStyle name="Normal 430 6 3 2" xfId="32756"/>
    <cellStyle name="Normal 430 6 4" xfId="25831"/>
    <cellStyle name="Normal 430 7" xfId="7951"/>
    <cellStyle name="Normal 430 7 2" xfId="15742"/>
    <cellStyle name="Normal 430 7 2 2" xfId="33363"/>
    <cellStyle name="Normal 430 7 3" xfId="26353"/>
    <cellStyle name="Normal 430 8" xfId="11908"/>
    <cellStyle name="Normal 430 8 2" xfId="29577"/>
    <cellStyle name="Normal 430 9" xfId="23492"/>
    <cellStyle name="Normal 431" xfId="2786"/>
    <cellStyle name="Normal 431 10" xfId="52395"/>
    <cellStyle name="Normal 431 2" xfId="2787"/>
    <cellStyle name="Normal 431 2 2" xfId="4798"/>
    <cellStyle name="Normal 431 2 3" xfId="52396"/>
    <cellStyle name="Normal 431 3" xfId="4797"/>
    <cellStyle name="Normal 431 3 2" xfId="8633"/>
    <cellStyle name="Normal 431 3 2 2" xfId="16423"/>
    <cellStyle name="Normal 431 3 2 2 2" xfId="34044"/>
    <cellStyle name="Normal 431 3 2 3" xfId="27020"/>
    <cellStyle name="Normal 431 3 3" xfId="12924"/>
    <cellStyle name="Normal 431 3 3 2" xfId="30560"/>
    <cellStyle name="Normal 431 3 4" xfId="24159"/>
    <cellStyle name="Normal 431 4" xfId="5949"/>
    <cellStyle name="Normal 431 4 2" xfId="9246"/>
    <cellStyle name="Normal 431 4 2 2" xfId="17035"/>
    <cellStyle name="Normal 431 4 2 2 2" xfId="34657"/>
    <cellStyle name="Normal 431 4 2 3" xfId="27620"/>
    <cellStyle name="Normal 431 4 3" xfId="13799"/>
    <cellStyle name="Normal 431 4 3 2" xfId="31425"/>
    <cellStyle name="Normal 431 4 4" xfId="24759"/>
    <cellStyle name="Normal 431 5" xfId="6579"/>
    <cellStyle name="Normal 431 5 2" xfId="9786"/>
    <cellStyle name="Normal 431 5 2 2" xfId="17574"/>
    <cellStyle name="Normal 431 5 2 2 2" xfId="35197"/>
    <cellStyle name="Normal 431 5 2 3" xfId="28156"/>
    <cellStyle name="Normal 431 5 3" xfId="14362"/>
    <cellStyle name="Normal 431 5 3 2" xfId="31983"/>
    <cellStyle name="Normal 431 5 4" xfId="25295"/>
    <cellStyle name="Normal 431 6" xfId="7354"/>
    <cellStyle name="Normal 431 6 2" xfId="10339"/>
    <cellStyle name="Normal 431 6 2 2" xfId="18126"/>
    <cellStyle name="Normal 431 6 2 2 2" xfId="35749"/>
    <cellStyle name="Normal 431 6 2 3" xfId="28692"/>
    <cellStyle name="Normal 431 6 3" xfId="15136"/>
    <cellStyle name="Normal 431 6 3 2" xfId="32757"/>
    <cellStyle name="Normal 431 6 4" xfId="25832"/>
    <cellStyle name="Normal 431 7" xfId="7952"/>
    <cellStyle name="Normal 431 7 2" xfId="15743"/>
    <cellStyle name="Normal 431 7 2 2" xfId="33364"/>
    <cellStyle name="Normal 431 7 3" xfId="26354"/>
    <cellStyle name="Normal 431 8" xfId="11909"/>
    <cellStyle name="Normal 431 8 2" xfId="29578"/>
    <cellStyle name="Normal 431 9" xfId="23493"/>
    <cellStyle name="Normal 432" xfId="2788"/>
    <cellStyle name="Normal 432 10" xfId="52397"/>
    <cellStyle name="Normal 432 2" xfId="2789"/>
    <cellStyle name="Normal 432 2 2" xfId="4800"/>
    <cellStyle name="Normal 432 2 3" xfId="52398"/>
    <cellStyle name="Normal 432 3" xfId="4799"/>
    <cellStyle name="Normal 432 3 2" xfId="8634"/>
    <cellStyle name="Normal 432 3 2 2" xfId="16424"/>
    <cellStyle name="Normal 432 3 2 2 2" xfId="34045"/>
    <cellStyle name="Normal 432 3 2 3" xfId="27021"/>
    <cellStyle name="Normal 432 3 3" xfId="12925"/>
    <cellStyle name="Normal 432 3 3 2" xfId="30561"/>
    <cellStyle name="Normal 432 3 4" xfId="24160"/>
    <cellStyle name="Normal 432 4" xfId="5950"/>
    <cellStyle name="Normal 432 4 2" xfId="9247"/>
    <cellStyle name="Normal 432 4 2 2" xfId="17036"/>
    <cellStyle name="Normal 432 4 2 2 2" xfId="34658"/>
    <cellStyle name="Normal 432 4 2 3" xfId="27621"/>
    <cellStyle name="Normal 432 4 3" xfId="13800"/>
    <cellStyle name="Normal 432 4 3 2" xfId="31426"/>
    <cellStyle name="Normal 432 4 4" xfId="24760"/>
    <cellStyle name="Normal 432 5" xfId="6580"/>
    <cellStyle name="Normal 432 5 2" xfId="9787"/>
    <cellStyle name="Normal 432 5 2 2" xfId="17575"/>
    <cellStyle name="Normal 432 5 2 2 2" xfId="35198"/>
    <cellStyle name="Normal 432 5 2 3" xfId="28157"/>
    <cellStyle name="Normal 432 5 3" xfId="14363"/>
    <cellStyle name="Normal 432 5 3 2" xfId="31984"/>
    <cellStyle name="Normal 432 5 4" xfId="25296"/>
    <cellStyle name="Normal 432 6" xfId="7355"/>
    <cellStyle name="Normal 432 6 2" xfId="10340"/>
    <cellStyle name="Normal 432 6 2 2" xfId="18127"/>
    <cellStyle name="Normal 432 6 2 2 2" xfId="35750"/>
    <cellStyle name="Normal 432 6 2 3" xfId="28693"/>
    <cellStyle name="Normal 432 6 3" xfId="15137"/>
    <cellStyle name="Normal 432 6 3 2" xfId="32758"/>
    <cellStyle name="Normal 432 6 4" xfId="25833"/>
    <cellStyle name="Normal 432 7" xfId="7953"/>
    <cellStyle name="Normal 432 7 2" xfId="15744"/>
    <cellStyle name="Normal 432 7 2 2" xfId="33365"/>
    <cellStyle name="Normal 432 7 3" xfId="26355"/>
    <cellStyle name="Normal 432 8" xfId="11910"/>
    <cellStyle name="Normal 432 8 2" xfId="29579"/>
    <cellStyle name="Normal 432 9" xfId="23494"/>
    <cellStyle name="Normal 433" xfId="2790"/>
    <cellStyle name="Normal 433 10" xfId="52399"/>
    <cellStyle name="Normal 433 2" xfId="2791"/>
    <cellStyle name="Normal 433 2 2" xfId="4802"/>
    <cellStyle name="Normal 433 2 3" xfId="52400"/>
    <cellStyle name="Normal 433 3" xfId="4801"/>
    <cellStyle name="Normal 433 3 2" xfId="8635"/>
    <cellStyle name="Normal 433 3 2 2" xfId="16425"/>
    <cellStyle name="Normal 433 3 2 2 2" xfId="34046"/>
    <cellStyle name="Normal 433 3 2 3" xfId="27022"/>
    <cellStyle name="Normal 433 3 3" xfId="12926"/>
    <cellStyle name="Normal 433 3 3 2" xfId="30562"/>
    <cellStyle name="Normal 433 3 4" xfId="24161"/>
    <cellStyle name="Normal 433 4" xfId="5951"/>
    <cellStyle name="Normal 433 4 2" xfId="9248"/>
    <cellStyle name="Normal 433 4 2 2" xfId="17037"/>
    <cellStyle name="Normal 433 4 2 2 2" xfId="34659"/>
    <cellStyle name="Normal 433 4 2 3" xfId="27622"/>
    <cellStyle name="Normal 433 4 3" xfId="13801"/>
    <cellStyle name="Normal 433 4 3 2" xfId="31427"/>
    <cellStyle name="Normal 433 4 4" xfId="24761"/>
    <cellStyle name="Normal 433 5" xfId="6581"/>
    <cellStyle name="Normal 433 5 2" xfId="9788"/>
    <cellStyle name="Normal 433 5 2 2" xfId="17576"/>
    <cellStyle name="Normal 433 5 2 2 2" xfId="35199"/>
    <cellStyle name="Normal 433 5 2 3" xfId="28158"/>
    <cellStyle name="Normal 433 5 3" xfId="14364"/>
    <cellStyle name="Normal 433 5 3 2" xfId="31985"/>
    <cellStyle name="Normal 433 5 4" xfId="25297"/>
    <cellStyle name="Normal 433 6" xfId="7356"/>
    <cellStyle name="Normal 433 6 2" xfId="10341"/>
    <cellStyle name="Normal 433 6 2 2" xfId="18128"/>
    <cellStyle name="Normal 433 6 2 2 2" xfId="35751"/>
    <cellStyle name="Normal 433 6 2 3" xfId="28694"/>
    <cellStyle name="Normal 433 6 3" xfId="15138"/>
    <cellStyle name="Normal 433 6 3 2" xfId="32759"/>
    <cellStyle name="Normal 433 6 4" xfId="25834"/>
    <cellStyle name="Normal 433 7" xfId="7954"/>
    <cellStyle name="Normal 433 7 2" xfId="15745"/>
    <cellStyle name="Normal 433 7 2 2" xfId="33366"/>
    <cellStyle name="Normal 433 7 3" xfId="26356"/>
    <cellStyle name="Normal 433 8" xfId="11911"/>
    <cellStyle name="Normal 433 8 2" xfId="29580"/>
    <cellStyle name="Normal 433 9" xfId="23495"/>
    <cellStyle name="Normal 434" xfId="2792"/>
    <cellStyle name="Normal 434 2" xfId="4803"/>
    <cellStyle name="Normal 434 2 2" xfId="8636"/>
    <cellStyle name="Normal 434 2 2 2" xfId="16426"/>
    <cellStyle name="Normal 434 2 2 2 2" xfId="34047"/>
    <cellStyle name="Normal 434 2 2 3" xfId="27023"/>
    <cellStyle name="Normal 434 2 3" xfId="12927"/>
    <cellStyle name="Normal 434 2 3 2" xfId="30563"/>
    <cellStyle name="Normal 434 2 4" xfId="24162"/>
    <cellStyle name="Normal 434 3" xfId="5952"/>
    <cellStyle name="Normal 434 3 2" xfId="9249"/>
    <cellStyle name="Normal 434 3 2 2" xfId="17038"/>
    <cellStyle name="Normal 434 3 2 2 2" xfId="34660"/>
    <cellStyle name="Normal 434 3 2 3" xfId="27623"/>
    <cellStyle name="Normal 434 3 3" xfId="13802"/>
    <cellStyle name="Normal 434 3 3 2" xfId="31428"/>
    <cellStyle name="Normal 434 3 4" xfId="24762"/>
    <cellStyle name="Normal 434 4" xfId="6582"/>
    <cellStyle name="Normal 434 4 2" xfId="9789"/>
    <cellStyle name="Normal 434 4 2 2" xfId="17577"/>
    <cellStyle name="Normal 434 4 2 2 2" xfId="35200"/>
    <cellStyle name="Normal 434 4 2 3" xfId="28159"/>
    <cellStyle name="Normal 434 4 3" xfId="14365"/>
    <cellStyle name="Normal 434 4 3 2" xfId="31986"/>
    <cellStyle name="Normal 434 4 4" xfId="25298"/>
    <cellStyle name="Normal 434 5" xfId="7357"/>
    <cellStyle name="Normal 434 5 2" xfId="10342"/>
    <cellStyle name="Normal 434 5 2 2" xfId="18129"/>
    <cellStyle name="Normal 434 5 2 2 2" xfId="35752"/>
    <cellStyle name="Normal 434 5 2 3" xfId="28695"/>
    <cellStyle name="Normal 434 5 3" xfId="15139"/>
    <cellStyle name="Normal 434 5 3 2" xfId="32760"/>
    <cellStyle name="Normal 434 5 4" xfId="25835"/>
    <cellStyle name="Normal 434 6" xfId="7955"/>
    <cellStyle name="Normal 434 6 2" xfId="15746"/>
    <cellStyle name="Normal 434 6 2 2" xfId="33367"/>
    <cellStyle name="Normal 434 6 3" xfId="26357"/>
    <cellStyle name="Normal 434 7" xfId="11912"/>
    <cellStyle name="Normal 434 7 2" xfId="29581"/>
    <cellStyle name="Normal 434 8" xfId="23496"/>
    <cellStyle name="Normal 434 9" xfId="52401"/>
    <cellStyle name="Normal 435" xfId="2793"/>
    <cellStyle name="Normal 435 2" xfId="4805"/>
    <cellStyle name="Normal 435 2 2" xfId="8637"/>
    <cellStyle name="Normal 435 2 2 2" xfId="16427"/>
    <cellStyle name="Normal 435 2 2 2 2" xfId="34048"/>
    <cellStyle name="Normal 435 2 2 3" xfId="27024"/>
    <cellStyle name="Normal 435 2 3" xfId="12929"/>
    <cellStyle name="Normal 435 2 3 2" xfId="30565"/>
    <cellStyle name="Normal 435 2 4" xfId="24163"/>
    <cellStyle name="Normal 435 3" xfId="4804"/>
    <cellStyle name="Normal 435 4" xfId="7956"/>
    <cellStyle name="Normal 435 4 2" xfId="15747"/>
    <cellStyle name="Normal 435 4 2 2" xfId="33368"/>
    <cellStyle name="Normal 435 4 3" xfId="26358"/>
    <cellStyle name="Normal 435 5" xfId="11913"/>
    <cellStyle name="Normal 435 5 2" xfId="29582"/>
    <cellStyle name="Normal 435 6" xfId="23497"/>
    <cellStyle name="Normal 435 7" xfId="52402"/>
    <cellStyle name="Normal 436" xfId="2794"/>
    <cellStyle name="Normal 436 2" xfId="4807"/>
    <cellStyle name="Normal 436 2 2" xfId="8638"/>
    <cellStyle name="Normal 436 2 2 2" xfId="16428"/>
    <cellStyle name="Normal 436 2 2 2 2" xfId="34049"/>
    <cellStyle name="Normal 436 2 2 3" xfId="27025"/>
    <cellStyle name="Normal 436 2 3" xfId="12931"/>
    <cellStyle name="Normal 436 2 3 2" xfId="30566"/>
    <cellStyle name="Normal 436 2 4" xfId="24164"/>
    <cellStyle name="Normal 436 3" xfId="4806"/>
    <cellStyle name="Normal 436 4" xfId="7957"/>
    <cellStyle name="Normal 436 4 2" xfId="15748"/>
    <cellStyle name="Normal 436 4 2 2" xfId="33369"/>
    <cellStyle name="Normal 436 4 3" xfId="26359"/>
    <cellStyle name="Normal 436 5" xfId="11914"/>
    <cellStyle name="Normal 436 5 2" xfId="29583"/>
    <cellStyle name="Normal 436 6" xfId="23498"/>
    <cellStyle name="Normal 436 7" xfId="52403"/>
    <cellStyle name="Normal 437" xfId="2795"/>
    <cellStyle name="Normal 437 2" xfId="4809"/>
    <cellStyle name="Normal 437 2 2" xfId="8639"/>
    <cellStyle name="Normal 437 2 2 2" xfId="16429"/>
    <cellStyle name="Normal 437 2 2 2 2" xfId="34050"/>
    <cellStyle name="Normal 437 2 2 3" xfId="27026"/>
    <cellStyle name="Normal 437 2 3" xfId="12932"/>
    <cellStyle name="Normal 437 2 3 2" xfId="30567"/>
    <cellStyle name="Normal 437 2 4" xfId="24165"/>
    <cellStyle name="Normal 437 3" xfId="4808"/>
    <cellStyle name="Normal 437 4" xfId="7958"/>
    <cellStyle name="Normal 437 4 2" xfId="15749"/>
    <cellStyle name="Normal 437 4 2 2" xfId="33370"/>
    <cellStyle name="Normal 437 4 3" xfId="26360"/>
    <cellStyle name="Normal 437 5" xfId="11915"/>
    <cellStyle name="Normal 437 5 2" xfId="29584"/>
    <cellStyle name="Normal 437 6" xfId="23499"/>
    <cellStyle name="Normal 437 7" xfId="52404"/>
    <cellStyle name="Normal 438" xfId="2796"/>
    <cellStyle name="Normal 438 2" xfId="4811"/>
    <cellStyle name="Normal 438 2 2" xfId="8640"/>
    <cellStyle name="Normal 438 2 2 2" xfId="16430"/>
    <cellStyle name="Normal 438 2 2 2 2" xfId="34051"/>
    <cellStyle name="Normal 438 2 2 3" xfId="27027"/>
    <cellStyle name="Normal 438 2 3" xfId="12933"/>
    <cellStyle name="Normal 438 2 3 2" xfId="30568"/>
    <cellStyle name="Normal 438 2 4" xfId="24166"/>
    <cellStyle name="Normal 438 3" xfId="4810"/>
    <cellStyle name="Normal 438 4" xfId="7959"/>
    <cellStyle name="Normal 438 4 2" xfId="15750"/>
    <cellStyle name="Normal 438 4 2 2" xfId="33371"/>
    <cellStyle name="Normal 438 4 3" xfId="26361"/>
    <cellStyle name="Normal 438 5" xfId="11916"/>
    <cellStyle name="Normal 438 5 2" xfId="29585"/>
    <cellStyle name="Normal 438 6" xfId="23500"/>
    <cellStyle name="Normal 438 7" xfId="52405"/>
    <cellStyle name="Normal 439" xfId="2797"/>
    <cellStyle name="Normal 439 2" xfId="4813"/>
    <cellStyle name="Normal 439 2 2" xfId="8641"/>
    <cellStyle name="Normal 439 2 2 2" xfId="16431"/>
    <cellStyle name="Normal 439 2 2 2 2" xfId="34052"/>
    <cellStyle name="Normal 439 2 2 3" xfId="27028"/>
    <cellStyle name="Normal 439 2 3" xfId="12934"/>
    <cellStyle name="Normal 439 2 3 2" xfId="30569"/>
    <cellStyle name="Normal 439 2 4" xfId="24167"/>
    <cellStyle name="Normal 439 3" xfId="4812"/>
    <cellStyle name="Normal 439 4" xfId="7960"/>
    <cellStyle name="Normal 439 4 2" xfId="15751"/>
    <cellStyle name="Normal 439 4 2 2" xfId="33372"/>
    <cellStyle name="Normal 439 4 3" xfId="26362"/>
    <cellStyle name="Normal 439 5" xfId="11917"/>
    <cellStyle name="Normal 439 5 2" xfId="29586"/>
    <cellStyle name="Normal 439 6" xfId="23501"/>
    <cellStyle name="Normal 439 7" xfId="52406"/>
    <cellStyle name="Normal 44" xfId="2798"/>
    <cellStyle name="Normal 44 2" xfId="4814"/>
    <cellStyle name="Normal 44 2 2" xfId="22770"/>
    <cellStyle name="Normal 44 2 2 2" xfId="38963"/>
    <cellStyle name="Normal 44 3" xfId="22986"/>
    <cellStyle name="Normal 44 4" xfId="22561"/>
    <cellStyle name="Normal 44 4 2" xfId="38858"/>
    <cellStyle name="Normal 44 5" xfId="52407"/>
    <cellStyle name="Normal 440" xfId="2799"/>
    <cellStyle name="Normal 440 2" xfId="4816"/>
    <cellStyle name="Normal 440 2 2" xfId="8642"/>
    <cellStyle name="Normal 440 2 2 2" xfId="16432"/>
    <cellStyle name="Normal 440 2 2 2 2" xfId="34053"/>
    <cellStyle name="Normal 440 2 2 3" xfId="27029"/>
    <cellStyle name="Normal 440 2 3" xfId="12936"/>
    <cellStyle name="Normal 440 2 3 2" xfId="30571"/>
    <cellStyle name="Normal 440 2 4" xfId="24168"/>
    <cellStyle name="Normal 440 3" xfId="4815"/>
    <cellStyle name="Normal 440 4" xfId="7961"/>
    <cellStyle name="Normal 440 4 2" xfId="15752"/>
    <cellStyle name="Normal 440 4 2 2" xfId="33373"/>
    <cellStyle name="Normal 440 4 3" xfId="26363"/>
    <cellStyle name="Normal 440 5" xfId="11918"/>
    <cellStyle name="Normal 440 5 2" xfId="29587"/>
    <cellStyle name="Normal 440 6" xfId="23502"/>
    <cellStyle name="Normal 440 7" xfId="52408"/>
    <cellStyle name="Normal 441" xfId="2800"/>
    <cellStyle name="Normal 441 2" xfId="4817"/>
    <cellStyle name="Normal 441 2 2" xfId="8643"/>
    <cellStyle name="Normal 441 2 2 2" xfId="16433"/>
    <cellStyle name="Normal 441 2 2 2 2" xfId="34054"/>
    <cellStyle name="Normal 441 2 2 3" xfId="27030"/>
    <cellStyle name="Normal 441 2 3" xfId="12937"/>
    <cellStyle name="Normal 441 2 3 2" xfId="30572"/>
    <cellStyle name="Normal 441 2 4" xfId="24169"/>
    <cellStyle name="Normal 441 3" xfId="5953"/>
    <cellStyle name="Normal 441 3 2" xfId="9250"/>
    <cellStyle name="Normal 441 3 2 2" xfId="17039"/>
    <cellStyle name="Normal 441 3 2 2 2" xfId="34661"/>
    <cellStyle name="Normal 441 3 2 3" xfId="27624"/>
    <cellStyle name="Normal 441 3 3" xfId="13803"/>
    <cellStyle name="Normal 441 3 3 2" xfId="31429"/>
    <cellStyle name="Normal 441 3 4" xfId="24763"/>
    <cellStyle name="Normal 441 4" xfId="6583"/>
    <cellStyle name="Normal 441 4 2" xfId="9790"/>
    <cellStyle name="Normal 441 4 2 2" xfId="17578"/>
    <cellStyle name="Normal 441 4 2 2 2" xfId="35201"/>
    <cellStyle name="Normal 441 4 2 3" xfId="28160"/>
    <cellStyle name="Normal 441 4 3" xfId="14366"/>
    <cellStyle name="Normal 441 4 3 2" xfId="31987"/>
    <cellStyle name="Normal 441 4 4" xfId="25299"/>
    <cellStyle name="Normal 441 5" xfId="7358"/>
    <cellStyle name="Normal 441 5 2" xfId="10343"/>
    <cellStyle name="Normal 441 5 2 2" xfId="18130"/>
    <cellStyle name="Normal 441 5 2 2 2" xfId="35753"/>
    <cellStyle name="Normal 441 5 2 3" xfId="28696"/>
    <cellStyle name="Normal 441 5 3" xfId="15140"/>
    <cellStyle name="Normal 441 5 3 2" xfId="32761"/>
    <cellStyle name="Normal 441 5 4" xfId="25836"/>
    <cellStyle name="Normal 441 6" xfId="7962"/>
    <cellStyle name="Normal 441 6 2" xfId="15753"/>
    <cellStyle name="Normal 441 6 2 2" xfId="33374"/>
    <cellStyle name="Normal 441 6 3" xfId="26364"/>
    <cellStyle name="Normal 441 7" xfId="11919"/>
    <cellStyle name="Normal 441 7 2" xfId="29588"/>
    <cellStyle name="Normal 441 8" xfId="23503"/>
    <cellStyle name="Normal 441 9" xfId="52409"/>
    <cellStyle name="Normal 442" xfId="2801"/>
    <cellStyle name="Normal 442 2" xfId="4818"/>
    <cellStyle name="Normal 442 2 2" xfId="8644"/>
    <cellStyle name="Normal 442 2 2 2" xfId="16434"/>
    <cellStyle name="Normal 442 2 2 2 2" xfId="34055"/>
    <cellStyle name="Normal 442 2 2 3" xfId="27031"/>
    <cellStyle name="Normal 442 2 3" xfId="12938"/>
    <cellStyle name="Normal 442 2 3 2" xfId="30573"/>
    <cellStyle name="Normal 442 2 4" xfId="24170"/>
    <cellStyle name="Normal 442 3" xfId="5954"/>
    <cellStyle name="Normal 442 3 2" xfId="9251"/>
    <cellStyle name="Normal 442 3 2 2" xfId="17040"/>
    <cellStyle name="Normal 442 3 2 2 2" xfId="34662"/>
    <cellStyle name="Normal 442 3 2 3" xfId="27625"/>
    <cellStyle name="Normal 442 3 3" xfId="13804"/>
    <cellStyle name="Normal 442 3 3 2" xfId="31430"/>
    <cellStyle name="Normal 442 3 4" xfId="24764"/>
    <cellStyle name="Normal 442 4" xfId="6584"/>
    <cellStyle name="Normal 442 4 2" xfId="9791"/>
    <cellStyle name="Normal 442 4 2 2" xfId="17579"/>
    <cellStyle name="Normal 442 4 2 2 2" xfId="35202"/>
    <cellStyle name="Normal 442 4 2 3" xfId="28161"/>
    <cellStyle name="Normal 442 4 3" xfId="14367"/>
    <cellStyle name="Normal 442 4 3 2" xfId="31988"/>
    <cellStyle name="Normal 442 4 4" xfId="25300"/>
    <cellStyle name="Normal 442 5" xfId="7359"/>
    <cellStyle name="Normal 442 5 2" xfId="10344"/>
    <cellStyle name="Normal 442 5 2 2" xfId="18131"/>
    <cellStyle name="Normal 442 5 2 2 2" xfId="35754"/>
    <cellStyle name="Normal 442 5 2 3" xfId="28697"/>
    <cellStyle name="Normal 442 5 3" xfId="15141"/>
    <cellStyle name="Normal 442 5 3 2" xfId="32762"/>
    <cellStyle name="Normal 442 5 4" xfId="25837"/>
    <cellStyle name="Normal 442 6" xfId="7963"/>
    <cellStyle name="Normal 442 6 2" xfId="15754"/>
    <cellStyle name="Normal 442 6 2 2" xfId="33375"/>
    <cellStyle name="Normal 442 6 3" xfId="26365"/>
    <cellStyle name="Normal 442 7" xfId="11920"/>
    <cellStyle name="Normal 442 7 2" xfId="29589"/>
    <cellStyle name="Normal 442 8" xfId="23504"/>
    <cellStyle name="Normal 442 9" xfId="52410"/>
    <cellStyle name="Normal 443" xfId="2802"/>
    <cellStyle name="Normal 443 2" xfId="4819"/>
    <cellStyle name="Normal 443 2 2" xfId="8645"/>
    <cellStyle name="Normal 443 2 2 2" xfId="16435"/>
    <cellStyle name="Normal 443 2 2 2 2" xfId="34056"/>
    <cellStyle name="Normal 443 2 2 3" xfId="27032"/>
    <cellStyle name="Normal 443 2 3" xfId="12939"/>
    <cellStyle name="Normal 443 2 3 2" xfId="30574"/>
    <cellStyle name="Normal 443 2 4" xfId="24171"/>
    <cellStyle name="Normal 443 3" xfId="5955"/>
    <cellStyle name="Normal 443 3 2" xfId="9252"/>
    <cellStyle name="Normal 443 3 2 2" xfId="17041"/>
    <cellStyle name="Normal 443 3 2 2 2" xfId="34663"/>
    <cellStyle name="Normal 443 3 2 3" xfId="27626"/>
    <cellStyle name="Normal 443 3 3" xfId="13805"/>
    <cellStyle name="Normal 443 3 3 2" xfId="31431"/>
    <cellStyle name="Normal 443 3 4" xfId="24765"/>
    <cellStyle name="Normal 443 4" xfId="6585"/>
    <cellStyle name="Normal 443 4 2" xfId="9792"/>
    <cellStyle name="Normal 443 4 2 2" xfId="17580"/>
    <cellStyle name="Normal 443 4 2 2 2" xfId="35203"/>
    <cellStyle name="Normal 443 4 2 3" xfId="28162"/>
    <cellStyle name="Normal 443 4 3" xfId="14368"/>
    <cellStyle name="Normal 443 4 3 2" xfId="31989"/>
    <cellStyle name="Normal 443 4 4" xfId="25301"/>
    <cellStyle name="Normal 443 5" xfId="7360"/>
    <cellStyle name="Normal 443 5 2" xfId="10345"/>
    <cellStyle name="Normal 443 5 2 2" xfId="18132"/>
    <cellStyle name="Normal 443 5 2 2 2" xfId="35755"/>
    <cellStyle name="Normal 443 5 2 3" xfId="28698"/>
    <cellStyle name="Normal 443 5 3" xfId="15142"/>
    <cellStyle name="Normal 443 5 3 2" xfId="32763"/>
    <cellStyle name="Normal 443 5 4" xfId="25838"/>
    <cellStyle name="Normal 443 6" xfId="7964"/>
    <cellStyle name="Normal 443 6 2" xfId="15755"/>
    <cellStyle name="Normal 443 6 2 2" xfId="33376"/>
    <cellStyle name="Normal 443 6 3" xfId="26366"/>
    <cellStyle name="Normal 443 7" xfId="11921"/>
    <cellStyle name="Normal 443 7 2" xfId="29590"/>
    <cellStyle name="Normal 443 8" xfId="23505"/>
    <cellStyle name="Normal 443 9" xfId="52411"/>
    <cellStyle name="Normal 444" xfId="2803"/>
    <cellStyle name="Normal 444 2" xfId="4820"/>
    <cellStyle name="Normal 444 2 2" xfId="8646"/>
    <cellStyle name="Normal 444 2 2 2" xfId="16436"/>
    <cellStyle name="Normal 444 2 2 2 2" xfId="34057"/>
    <cellStyle name="Normal 444 2 2 3" xfId="27033"/>
    <cellStyle name="Normal 444 2 3" xfId="12940"/>
    <cellStyle name="Normal 444 2 3 2" xfId="30575"/>
    <cellStyle name="Normal 444 2 4" xfId="24172"/>
    <cellStyle name="Normal 444 3" xfId="5956"/>
    <cellStyle name="Normal 444 3 2" xfId="9253"/>
    <cellStyle name="Normal 444 3 2 2" xfId="17042"/>
    <cellStyle name="Normal 444 3 2 2 2" xfId="34664"/>
    <cellStyle name="Normal 444 3 2 3" xfId="27627"/>
    <cellStyle name="Normal 444 3 3" xfId="13806"/>
    <cellStyle name="Normal 444 3 3 2" xfId="31432"/>
    <cellStyle name="Normal 444 3 4" xfId="24766"/>
    <cellStyle name="Normal 444 4" xfId="6586"/>
    <cellStyle name="Normal 444 4 2" xfId="9793"/>
    <cellStyle name="Normal 444 4 2 2" xfId="17581"/>
    <cellStyle name="Normal 444 4 2 2 2" xfId="35204"/>
    <cellStyle name="Normal 444 4 2 3" xfId="28163"/>
    <cellStyle name="Normal 444 4 3" xfId="14369"/>
    <cellStyle name="Normal 444 4 3 2" xfId="31990"/>
    <cellStyle name="Normal 444 4 4" xfId="25302"/>
    <cellStyle name="Normal 444 5" xfId="7361"/>
    <cellStyle name="Normal 444 5 2" xfId="10346"/>
    <cellStyle name="Normal 444 5 2 2" xfId="18133"/>
    <cellStyle name="Normal 444 5 2 2 2" xfId="35756"/>
    <cellStyle name="Normal 444 5 2 3" xfId="28699"/>
    <cellStyle name="Normal 444 5 3" xfId="15143"/>
    <cellStyle name="Normal 444 5 3 2" xfId="32764"/>
    <cellStyle name="Normal 444 5 4" xfId="25839"/>
    <cellStyle name="Normal 444 6" xfId="7965"/>
    <cellStyle name="Normal 444 6 2" xfId="15756"/>
    <cellStyle name="Normal 444 6 2 2" xfId="33377"/>
    <cellStyle name="Normal 444 6 3" xfId="26367"/>
    <cellStyle name="Normal 444 7" xfId="11922"/>
    <cellStyle name="Normal 444 7 2" xfId="29591"/>
    <cellStyle name="Normal 444 8" xfId="23506"/>
    <cellStyle name="Normal 444 9" xfId="52412"/>
    <cellStyle name="Normal 445" xfId="2804"/>
    <cellStyle name="Normal 445 2" xfId="4821"/>
    <cellStyle name="Normal 445 2 2" xfId="8647"/>
    <cellStyle name="Normal 445 2 2 2" xfId="16437"/>
    <cellStyle name="Normal 445 2 2 2 2" xfId="34058"/>
    <cellStyle name="Normal 445 2 2 3" xfId="27034"/>
    <cellStyle name="Normal 445 2 3" xfId="12941"/>
    <cellStyle name="Normal 445 2 3 2" xfId="30576"/>
    <cellStyle name="Normal 445 2 4" xfId="24173"/>
    <cellStyle name="Normal 445 3" xfId="5957"/>
    <cellStyle name="Normal 445 3 2" xfId="9254"/>
    <cellStyle name="Normal 445 3 2 2" xfId="17043"/>
    <cellStyle name="Normal 445 3 2 2 2" xfId="34665"/>
    <cellStyle name="Normal 445 3 2 3" xfId="27628"/>
    <cellStyle name="Normal 445 3 3" xfId="13807"/>
    <cellStyle name="Normal 445 3 3 2" xfId="31433"/>
    <cellStyle name="Normal 445 3 4" xfId="24767"/>
    <cellStyle name="Normal 445 4" xfId="6587"/>
    <cellStyle name="Normal 445 4 2" xfId="9794"/>
    <cellStyle name="Normal 445 4 2 2" xfId="17582"/>
    <cellStyle name="Normal 445 4 2 2 2" xfId="35205"/>
    <cellStyle name="Normal 445 4 2 3" xfId="28164"/>
    <cellStyle name="Normal 445 4 3" xfId="14370"/>
    <cellStyle name="Normal 445 4 3 2" xfId="31991"/>
    <cellStyle name="Normal 445 4 4" xfId="25303"/>
    <cellStyle name="Normal 445 5" xfId="7362"/>
    <cellStyle name="Normal 445 5 2" xfId="10347"/>
    <cellStyle name="Normal 445 5 2 2" xfId="18134"/>
    <cellStyle name="Normal 445 5 2 2 2" xfId="35757"/>
    <cellStyle name="Normal 445 5 2 3" xfId="28700"/>
    <cellStyle name="Normal 445 5 3" xfId="15144"/>
    <cellStyle name="Normal 445 5 3 2" xfId="32765"/>
    <cellStyle name="Normal 445 5 4" xfId="25840"/>
    <cellStyle name="Normal 445 6" xfId="7966"/>
    <cellStyle name="Normal 445 6 2" xfId="15757"/>
    <cellStyle name="Normal 445 6 2 2" xfId="33378"/>
    <cellStyle name="Normal 445 6 3" xfId="26368"/>
    <cellStyle name="Normal 445 7" xfId="11923"/>
    <cellStyle name="Normal 445 7 2" xfId="29592"/>
    <cellStyle name="Normal 445 8" xfId="23507"/>
    <cellStyle name="Normal 445 9" xfId="52413"/>
    <cellStyle name="Normal 446" xfId="2805"/>
    <cellStyle name="Normal 446 2" xfId="4823"/>
    <cellStyle name="Normal 446 2 2" xfId="8648"/>
    <cellStyle name="Normal 446 2 2 2" xfId="16438"/>
    <cellStyle name="Normal 446 2 2 2 2" xfId="34059"/>
    <cellStyle name="Normal 446 2 2 3" xfId="27035"/>
    <cellStyle name="Normal 446 2 3" xfId="12943"/>
    <cellStyle name="Normal 446 2 3 2" xfId="30578"/>
    <cellStyle name="Normal 446 2 4" xfId="24174"/>
    <cellStyle name="Normal 446 3" xfId="4822"/>
    <cellStyle name="Normal 446 4" xfId="7967"/>
    <cellStyle name="Normal 446 4 2" xfId="15758"/>
    <cellStyle name="Normal 446 4 2 2" xfId="33379"/>
    <cellStyle name="Normal 446 4 3" xfId="26369"/>
    <cellStyle name="Normal 446 5" xfId="11924"/>
    <cellStyle name="Normal 446 5 2" xfId="29593"/>
    <cellStyle name="Normal 446 6" xfId="23508"/>
    <cellStyle name="Normal 446 7" xfId="52414"/>
    <cellStyle name="Normal 447" xfId="2806"/>
    <cellStyle name="Normal 447 2" xfId="4825"/>
    <cellStyle name="Normal 447 2 2" xfId="8649"/>
    <cellStyle name="Normal 447 2 2 2" xfId="16439"/>
    <cellStyle name="Normal 447 2 2 2 2" xfId="34060"/>
    <cellStyle name="Normal 447 2 2 3" xfId="27036"/>
    <cellStyle name="Normal 447 2 3" xfId="12944"/>
    <cellStyle name="Normal 447 2 3 2" xfId="30579"/>
    <cellStyle name="Normal 447 2 4" xfId="24175"/>
    <cellStyle name="Normal 447 3" xfId="4824"/>
    <cellStyle name="Normal 447 4" xfId="7968"/>
    <cellStyle name="Normal 447 4 2" xfId="15759"/>
    <cellStyle name="Normal 447 4 2 2" xfId="33380"/>
    <cellStyle name="Normal 447 4 3" xfId="26370"/>
    <cellStyle name="Normal 447 5" xfId="11925"/>
    <cellStyle name="Normal 447 5 2" xfId="29594"/>
    <cellStyle name="Normal 447 6" xfId="23509"/>
    <cellStyle name="Normal 447 7" xfId="52415"/>
    <cellStyle name="Normal 448" xfId="2807"/>
    <cellStyle name="Normal 448 2" xfId="4826"/>
    <cellStyle name="Normal 448 2 2" xfId="8650"/>
    <cellStyle name="Normal 448 2 2 2" xfId="16440"/>
    <cellStyle name="Normal 448 2 2 2 2" xfId="34061"/>
    <cellStyle name="Normal 448 2 2 3" xfId="27037"/>
    <cellStyle name="Normal 448 2 3" xfId="12945"/>
    <cellStyle name="Normal 448 2 3 2" xfId="30580"/>
    <cellStyle name="Normal 448 2 4" xfId="24176"/>
    <cellStyle name="Normal 448 3" xfId="5958"/>
    <cellStyle name="Normal 448 3 2" xfId="9255"/>
    <cellStyle name="Normal 448 3 2 2" xfId="17044"/>
    <cellStyle name="Normal 448 3 2 2 2" xfId="34666"/>
    <cellStyle name="Normal 448 3 2 3" xfId="27629"/>
    <cellStyle name="Normal 448 3 3" xfId="13808"/>
    <cellStyle name="Normal 448 3 3 2" xfId="31434"/>
    <cellStyle name="Normal 448 3 4" xfId="24768"/>
    <cellStyle name="Normal 448 4" xfId="6588"/>
    <cellStyle name="Normal 448 4 2" xfId="9795"/>
    <cellStyle name="Normal 448 4 2 2" xfId="17583"/>
    <cellStyle name="Normal 448 4 2 2 2" xfId="35206"/>
    <cellStyle name="Normal 448 4 2 3" xfId="28165"/>
    <cellStyle name="Normal 448 4 3" xfId="14371"/>
    <cellStyle name="Normal 448 4 3 2" xfId="31992"/>
    <cellStyle name="Normal 448 4 4" xfId="25304"/>
    <cellStyle name="Normal 448 5" xfId="7363"/>
    <cellStyle name="Normal 448 5 2" xfId="10348"/>
    <cellStyle name="Normal 448 5 2 2" xfId="18135"/>
    <cellStyle name="Normal 448 5 2 2 2" xfId="35758"/>
    <cellStyle name="Normal 448 5 2 3" xfId="28701"/>
    <cellStyle name="Normal 448 5 3" xfId="15145"/>
    <cellStyle name="Normal 448 5 3 2" xfId="32766"/>
    <cellStyle name="Normal 448 5 4" xfId="25841"/>
    <cellStyle name="Normal 448 6" xfId="7969"/>
    <cellStyle name="Normal 448 6 2" xfId="15760"/>
    <cellStyle name="Normal 448 6 2 2" xfId="33381"/>
    <cellStyle name="Normal 448 6 3" xfId="26371"/>
    <cellStyle name="Normal 448 7" xfId="11926"/>
    <cellStyle name="Normal 448 7 2" xfId="29595"/>
    <cellStyle name="Normal 448 8" xfId="23510"/>
    <cellStyle name="Normal 448 9" xfId="52416"/>
    <cellStyle name="Normal 449" xfId="2808"/>
    <cellStyle name="Normal 449 2" xfId="4828"/>
    <cellStyle name="Normal 449 2 2" xfId="8651"/>
    <cellStyle name="Normal 449 2 2 2" xfId="16441"/>
    <cellStyle name="Normal 449 2 2 2 2" xfId="34062"/>
    <cellStyle name="Normal 449 2 2 3" xfId="27038"/>
    <cellStyle name="Normal 449 2 3" xfId="12946"/>
    <cellStyle name="Normal 449 2 3 2" xfId="30581"/>
    <cellStyle name="Normal 449 2 4" xfId="24177"/>
    <cellStyle name="Normal 449 3" xfId="4827"/>
    <cellStyle name="Normal 449 4" xfId="7970"/>
    <cellStyle name="Normal 449 4 2" xfId="15761"/>
    <cellStyle name="Normal 449 4 2 2" xfId="33382"/>
    <cellStyle name="Normal 449 4 3" xfId="26372"/>
    <cellStyle name="Normal 449 5" xfId="11927"/>
    <cellStyle name="Normal 449 5 2" xfId="29596"/>
    <cellStyle name="Normal 449 6" xfId="23511"/>
    <cellStyle name="Normal 449 7" xfId="52417"/>
    <cellStyle name="Normal 45" xfId="2809"/>
    <cellStyle name="Normal 45 2" xfId="4829"/>
    <cellStyle name="Normal 45 2 2" xfId="22771"/>
    <cellStyle name="Normal 45 2 2 2" xfId="38964"/>
    <cellStyle name="Normal 45 3" xfId="22987"/>
    <cellStyle name="Normal 45 4" xfId="22562"/>
    <cellStyle name="Normal 45 4 2" xfId="38859"/>
    <cellStyle name="Normal 45 5" xfId="52418"/>
    <cellStyle name="Normal 450" xfId="2810"/>
    <cellStyle name="Normal 450 2" xfId="4831"/>
    <cellStyle name="Normal 450 2 2" xfId="8652"/>
    <cellStyle name="Normal 450 2 2 2" xfId="16442"/>
    <cellStyle name="Normal 450 2 2 2 2" xfId="34063"/>
    <cellStyle name="Normal 450 2 2 3" xfId="27039"/>
    <cellStyle name="Normal 450 2 3" xfId="12947"/>
    <cellStyle name="Normal 450 2 3 2" xfId="30582"/>
    <cellStyle name="Normal 450 2 4" xfId="24178"/>
    <cellStyle name="Normal 450 3" xfId="4830"/>
    <cellStyle name="Normal 450 4" xfId="7971"/>
    <cellStyle name="Normal 450 4 2" xfId="15762"/>
    <cellStyle name="Normal 450 4 2 2" xfId="33383"/>
    <cellStyle name="Normal 450 4 3" xfId="26373"/>
    <cellStyle name="Normal 450 5" xfId="11928"/>
    <cellStyle name="Normal 450 5 2" xfId="29597"/>
    <cellStyle name="Normal 450 6" xfId="23512"/>
    <cellStyle name="Normal 450 7" xfId="52419"/>
    <cellStyle name="Normal 451" xfId="2811"/>
    <cellStyle name="Normal 451 2" xfId="4833"/>
    <cellStyle name="Normal 451 2 2" xfId="8653"/>
    <cellStyle name="Normal 451 2 2 2" xfId="16443"/>
    <cellStyle name="Normal 451 2 2 2 2" xfId="34064"/>
    <cellStyle name="Normal 451 2 2 3" xfId="27040"/>
    <cellStyle name="Normal 451 2 3" xfId="12948"/>
    <cellStyle name="Normal 451 2 3 2" xfId="30583"/>
    <cellStyle name="Normal 451 2 4" xfId="24179"/>
    <cellStyle name="Normal 451 3" xfId="4832"/>
    <cellStyle name="Normal 451 4" xfId="7972"/>
    <cellStyle name="Normal 451 4 2" xfId="15763"/>
    <cellStyle name="Normal 451 4 2 2" xfId="33384"/>
    <cellStyle name="Normal 451 4 3" xfId="26374"/>
    <cellStyle name="Normal 451 5" xfId="11929"/>
    <cellStyle name="Normal 451 5 2" xfId="29598"/>
    <cellStyle name="Normal 451 6" xfId="23513"/>
    <cellStyle name="Normal 451 7" xfId="52420"/>
    <cellStyle name="Normal 452" xfId="2812"/>
    <cellStyle name="Normal 452 2" xfId="4835"/>
    <cellStyle name="Normal 452 2 2" xfId="8654"/>
    <cellStyle name="Normal 452 2 2 2" xfId="16444"/>
    <cellStyle name="Normal 452 2 2 2 2" xfId="34065"/>
    <cellStyle name="Normal 452 2 2 3" xfId="27041"/>
    <cellStyle name="Normal 452 2 3" xfId="12949"/>
    <cellStyle name="Normal 452 2 3 2" xfId="30584"/>
    <cellStyle name="Normal 452 2 4" xfId="24180"/>
    <cellStyle name="Normal 452 3" xfId="4834"/>
    <cellStyle name="Normal 452 4" xfId="7973"/>
    <cellStyle name="Normal 452 4 2" xfId="15764"/>
    <cellStyle name="Normal 452 4 2 2" xfId="33385"/>
    <cellStyle name="Normal 452 4 3" xfId="26375"/>
    <cellStyle name="Normal 452 5" xfId="11930"/>
    <cellStyle name="Normal 452 5 2" xfId="29599"/>
    <cellStyle name="Normal 452 6" xfId="23514"/>
    <cellStyle name="Normal 452 7" xfId="52421"/>
    <cellStyle name="Normal 453" xfId="2813"/>
    <cellStyle name="Normal 453 2" xfId="4837"/>
    <cellStyle name="Normal 453 2 2" xfId="8655"/>
    <cellStyle name="Normal 453 2 2 2" xfId="16445"/>
    <cellStyle name="Normal 453 2 2 2 2" xfId="34066"/>
    <cellStyle name="Normal 453 2 2 3" xfId="27042"/>
    <cellStyle name="Normal 453 2 3" xfId="12950"/>
    <cellStyle name="Normal 453 2 3 2" xfId="30585"/>
    <cellStyle name="Normal 453 2 4" xfId="24181"/>
    <cellStyle name="Normal 453 3" xfId="4836"/>
    <cellStyle name="Normal 453 4" xfId="7974"/>
    <cellStyle name="Normal 453 4 2" xfId="15765"/>
    <cellStyle name="Normal 453 4 2 2" xfId="33386"/>
    <cellStyle name="Normal 453 4 3" xfId="26376"/>
    <cellStyle name="Normal 453 5" xfId="11931"/>
    <cellStyle name="Normal 453 5 2" xfId="29600"/>
    <cellStyle name="Normal 453 6" xfId="23515"/>
    <cellStyle name="Normal 453 7" xfId="52422"/>
    <cellStyle name="Normal 454" xfId="2814"/>
    <cellStyle name="Normal 454 2" xfId="4839"/>
    <cellStyle name="Normal 454 2 2" xfId="8656"/>
    <cellStyle name="Normal 454 2 2 2" xfId="16446"/>
    <cellStyle name="Normal 454 2 2 2 2" xfId="34067"/>
    <cellStyle name="Normal 454 2 2 3" xfId="27043"/>
    <cellStyle name="Normal 454 2 3" xfId="12951"/>
    <cellStyle name="Normal 454 2 3 2" xfId="30586"/>
    <cellStyle name="Normal 454 2 4" xfId="24182"/>
    <cellStyle name="Normal 454 3" xfId="4838"/>
    <cellStyle name="Normal 454 4" xfId="7975"/>
    <cellStyle name="Normal 454 4 2" xfId="15766"/>
    <cellStyle name="Normal 454 4 2 2" xfId="33387"/>
    <cellStyle name="Normal 454 4 3" xfId="26377"/>
    <cellStyle name="Normal 454 5" xfId="11932"/>
    <cellStyle name="Normal 454 5 2" xfId="29601"/>
    <cellStyle name="Normal 454 6" xfId="23516"/>
    <cellStyle name="Normal 454 7" xfId="52423"/>
    <cellStyle name="Normal 455" xfId="2815"/>
    <cellStyle name="Normal 455 2" xfId="4841"/>
    <cellStyle name="Normal 455 2 2" xfId="8657"/>
    <cellStyle name="Normal 455 2 2 2" xfId="16447"/>
    <cellStyle name="Normal 455 2 2 2 2" xfId="34068"/>
    <cellStyle name="Normal 455 2 2 3" xfId="27044"/>
    <cellStyle name="Normal 455 2 3" xfId="12952"/>
    <cellStyle name="Normal 455 2 3 2" xfId="30587"/>
    <cellStyle name="Normal 455 2 4" xfId="24183"/>
    <cellStyle name="Normal 455 3" xfId="4840"/>
    <cellStyle name="Normal 455 4" xfId="7976"/>
    <cellStyle name="Normal 455 4 2" xfId="15767"/>
    <cellStyle name="Normal 455 4 2 2" xfId="33388"/>
    <cellStyle name="Normal 455 4 3" xfId="26378"/>
    <cellStyle name="Normal 455 5" xfId="11933"/>
    <cellStyle name="Normal 455 5 2" xfId="29602"/>
    <cellStyle name="Normal 455 6" xfId="23517"/>
    <cellStyle name="Normal 455 7" xfId="52424"/>
    <cellStyle name="Normal 456" xfId="2816"/>
    <cellStyle name="Normal 456 2" xfId="4843"/>
    <cellStyle name="Normal 456 2 2" xfId="8658"/>
    <cellStyle name="Normal 456 2 2 2" xfId="16448"/>
    <cellStyle name="Normal 456 2 2 2 2" xfId="34069"/>
    <cellStyle name="Normal 456 2 2 3" xfId="27045"/>
    <cellStyle name="Normal 456 2 3" xfId="12953"/>
    <cellStyle name="Normal 456 2 3 2" xfId="30588"/>
    <cellStyle name="Normal 456 2 4" xfId="24184"/>
    <cellStyle name="Normal 456 3" xfId="4842"/>
    <cellStyle name="Normal 456 4" xfId="7977"/>
    <cellStyle name="Normal 456 4 2" xfId="15768"/>
    <cellStyle name="Normal 456 4 2 2" xfId="33389"/>
    <cellStyle name="Normal 456 4 3" xfId="26379"/>
    <cellStyle name="Normal 456 5" xfId="11934"/>
    <cellStyle name="Normal 456 5 2" xfId="29603"/>
    <cellStyle name="Normal 456 6" xfId="23518"/>
    <cellStyle name="Normal 456 7" xfId="52425"/>
    <cellStyle name="Normal 457" xfId="2817"/>
    <cellStyle name="Normal 457 2" xfId="4845"/>
    <cellStyle name="Normal 457 2 2" xfId="8659"/>
    <cellStyle name="Normal 457 2 2 2" xfId="16449"/>
    <cellStyle name="Normal 457 2 2 2 2" xfId="34070"/>
    <cellStyle name="Normal 457 2 2 3" xfId="27046"/>
    <cellStyle name="Normal 457 2 3" xfId="12954"/>
    <cellStyle name="Normal 457 2 3 2" xfId="30589"/>
    <cellStyle name="Normal 457 2 4" xfId="24185"/>
    <cellStyle name="Normal 457 3" xfId="4844"/>
    <cellStyle name="Normal 457 4" xfId="7978"/>
    <cellStyle name="Normal 457 4 2" xfId="15769"/>
    <cellStyle name="Normal 457 4 2 2" xfId="33390"/>
    <cellStyle name="Normal 457 4 3" xfId="26380"/>
    <cellStyle name="Normal 457 5" xfId="11935"/>
    <cellStyle name="Normal 457 5 2" xfId="29604"/>
    <cellStyle name="Normal 457 6" xfId="23519"/>
    <cellStyle name="Normal 457 7" xfId="52426"/>
    <cellStyle name="Normal 458" xfId="2818"/>
    <cellStyle name="Normal 458 2" xfId="4847"/>
    <cellStyle name="Normal 458 2 2" xfId="8660"/>
    <cellStyle name="Normal 458 2 2 2" xfId="16450"/>
    <cellStyle name="Normal 458 2 2 2 2" xfId="34071"/>
    <cellStyle name="Normal 458 2 2 3" xfId="27047"/>
    <cellStyle name="Normal 458 2 3" xfId="12955"/>
    <cellStyle name="Normal 458 2 3 2" xfId="30590"/>
    <cellStyle name="Normal 458 2 4" xfId="24186"/>
    <cellStyle name="Normal 458 3" xfId="4846"/>
    <cellStyle name="Normal 458 4" xfId="7979"/>
    <cellStyle name="Normal 458 4 2" xfId="15770"/>
    <cellStyle name="Normal 458 4 2 2" xfId="33391"/>
    <cellStyle name="Normal 458 4 3" xfId="26381"/>
    <cellStyle name="Normal 458 5" xfId="11936"/>
    <cellStyle name="Normal 458 5 2" xfId="29605"/>
    <cellStyle name="Normal 458 6" xfId="23520"/>
    <cellStyle name="Normal 458 7" xfId="52427"/>
    <cellStyle name="Normal 459" xfId="2819"/>
    <cellStyle name="Normal 459 2" xfId="4849"/>
    <cellStyle name="Normal 459 2 2" xfId="8661"/>
    <cellStyle name="Normal 459 2 2 2" xfId="16451"/>
    <cellStyle name="Normal 459 2 2 2 2" xfId="34072"/>
    <cellStyle name="Normal 459 2 2 3" xfId="27048"/>
    <cellStyle name="Normal 459 2 3" xfId="12956"/>
    <cellStyle name="Normal 459 2 3 2" xfId="30591"/>
    <cellStyle name="Normal 459 2 4" xfId="24187"/>
    <cellStyle name="Normal 459 3" xfId="4848"/>
    <cellStyle name="Normal 459 4" xfId="7980"/>
    <cellStyle name="Normal 459 4 2" xfId="15771"/>
    <cellStyle name="Normal 459 4 2 2" xfId="33392"/>
    <cellStyle name="Normal 459 4 3" xfId="26382"/>
    <cellStyle name="Normal 459 5" xfId="11937"/>
    <cellStyle name="Normal 459 5 2" xfId="29606"/>
    <cellStyle name="Normal 459 6" xfId="23521"/>
    <cellStyle name="Normal 459 7" xfId="52428"/>
    <cellStyle name="Normal 46" xfId="2820"/>
    <cellStyle name="Normal 46 2" xfId="4850"/>
    <cellStyle name="Normal 46 2 2" xfId="22772"/>
    <cellStyle name="Normal 46 2 2 2" xfId="38965"/>
    <cellStyle name="Normal 46 3" xfId="22988"/>
    <cellStyle name="Normal 46 4" xfId="22563"/>
    <cellStyle name="Normal 46 4 2" xfId="38860"/>
    <cellStyle name="Normal 46 5" xfId="52429"/>
    <cellStyle name="Normal 460" xfId="2821"/>
    <cellStyle name="Normal 460 2" xfId="4852"/>
    <cellStyle name="Normal 460 2 2" xfId="8662"/>
    <cellStyle name="Normal 460 2 2 2" xfId="16452"/>
    <cellStyle name="Normal 460 2 2 2 2" xfId="34073"/>
    <cellStyle name="Normal 460 2 2 3" xfId="27049"/>
    <cellStyle name="Normal 460 2 3" xfId="12957"/>
    <cellStyle name="Normal 460 2 3 2" xfId="30592"/>
    <cellStyle name="Normal 460 2 4" xfId="24188"/>
    <cellStyle name="Normal 460 3" xfId="4851"/>
    <cellStyle name="Normal 460 4" xfId="7981"/>
    <cellStyle name="Normal 460 4 2" xfId="15772"/>
    <cellStyle name="Normal 460 4 2 2" xfId="33393"/>
    <cellStyle name="Normal 460 4 3" xfId="26383"/>
    <cellStyle name="Normal 460 5" xfId="11938"/>
    <cellStyle name="Normal 460 5 2" xfId="29607"/>
    <cellStyle name="Normal 460 6" xfId="23522"/>
    <cellStyle name="Normal 460 7" xfId="52430"/>
    <cellStyle name="Normal 461" xfId="2822"/>
    <cellStyle name="Normal 461 2" xfId="4854"/>
    <cellStyle name="Normal 461 2 2" xfId="8663"/>
    <cellStyle name="Normal 461 2 2 2" xfId="16453"/>
    <cellStyle name="Normal 461 2 2 2 2" xfId="34074"/>
    <cellStyle name="Normal 461 2 2 3" xfId="27050"/>
    <cellStyle name="Normal 461 2 3" xfId="12958"/>
    <cellStyle name="Normal 461 2 3 2" xfId="30593"/>
    <cellStyle name="Normal 461 2 4" xfId="24189"/>
    <cellStyle name="Normal 461 3" xfId="4853"/>
    <cellStyle name="Normal 461 4" xfId="7982"/>
    <cellStyle name="Normal 461 4 2" xfId="15773"/>
    <cellStyle name="Normal 461 4 2 2" xfId="33394"/>
    <cellStyle name="Normal 461 4 3" xfId="26384"/>
    <cellStyle name="Normal 461 5" xfId="11939"/>
    <cellStyle name="Normal 461 5 2" xfId="29608"/>
    <cellStyle name="Normal 461 6" xfId="23523"/>
    <cellStyle name="Normal 461 7" xfId="52431"/>
    <cellStyle name="Normal 462" xfId="2823"/>
    <cellStyle name="Normal 462 2" xfId="4856"/>
    <cellStyle name="Normal 462 2 2" xfId="8664"/>
    <cellStyle name="Normal 462 2 2 2" xfId="16454"/>
    <cellStyle name="Normal 462 2 2 2 2" xfId="34075"/>
    <cellStyle name="Normal 462 2 2 3" xfId="27051"/>
    <cellStyle name="Normal 462 2 3" xfId="12959"/>
    <cellStyle name="Normal 462 2 3 2" xfId="30594"/>
    <cellStyle name="Normal 462 2 4" xfId="24190"/>
    <cellStyle name="Normal 462 3" xfId="4855"/>
    <cellStyle name="Normal 462 4" xfId="7983"/>
    <cellStyle name="Normal 462 4 2" xfId="15774"/>
    <cellStyle name="Normal 462 4 2 2" xfId="33395"/>
    <cellStyle name="Normal 462 4 3" xfId="26385"/>
    <cellStyle name="Normal 462 5" xfId="11940"/>
    <cellStyle name="Normal 462 5 2" xfId="29609"/>
    <cellStyle name="Normal 462 6" xfId="23524"/>
    <cellStyle name="Normal 462 7" xfId="52432"/>
    <cellStyle name="Normal 463" xfId="2824"/>
    <cellStyle name="Normal 463 2" xfId="4858"/>
    <cellStyle name="Normal 463 2 2" xfId="8665"/>
    <cellStyle name="Normal 463 2 2 2" xfId="16455"/>
    <cellStyle name="Normal 463 2 2 2 2" xfId="34076"/>
    <cellStyle name="Normal 463 2 2 3" xfId="27052"/>
    <cellStyle name="Normal 463 2 3" xfId="12960"/>
    <cellStyle name="Normal 463 2 3 2" xfId="30595"/>
    <cellStyle name="Normal 463 2 4" xfId="24191"/>
    <cellStyle name="Normal 463 3" xfId="4857"/>
    <cellStyle name="Normal 463 4" xfId="7984"/>
    <cellStyle name="Normal 463 4 2" xfId="15775"/>
    <cellStyle name="Normal 463 4 2 2" xfId="33396"/>
    <cellStyle name="Normal 463 4 3" xfId="26386"/>
    <cellStyle name="Normal 463 5" xfId="11941"/>
    <cellStyle name="Normal 463 5 2" xfId="29610"/>
    <cellStyle name="Normal 463 6" xfId="23525"/>
    <cellStyle name="Normal 463 7" xfId="52433"/>
    <cellStyle name="Normal 464" xfId="2825"/>
    <cellStyle name="Normal 464 2" xfId="4860"/>
    <cellStyle name="Normal 464 2 2" xfId="8666"/>
    <cellStyle name="Normal 464 2 2 2" xfId="16456"/>
    <cellStyle name="Normal 464 2 2 2 2" xfId="34077"/>
    <cellStyle name="Normal 464 2 2 3" xfId="27053"/>
    <cellStyle name="Normal 464 2 3" xfId="12961"/>
    <cellStyle name="Normal 464 2 3 2" xfId="30596"/>
    <cellStyle name="Normal 464 2 4" xfId="24192"/>
    <cellStyle name="Normal 464 3" xfId="4859"/>
    <cellStyle name="Normal 464 4" xfId="7985"/>
    <cellStyle name="Normal 464 4 2" xfId="15776"/>
    <cellStyle name="Normal 464 4 2 2" xfId="33397"/>
    <cellStyle name="Normal 464 4 3" xfId="26387"/>
    <cellStyle name="Normal 464 5" xfId="11942"/>
    <cellStyle name="Normal 464 5 2" xfId="29611"/>
    <cellStyle name="Normal 464 6" xfId="23526"/>
    <cellStyle name="Normal 464 7" xfId="52434"/>
    <cellStyle name="Normal 465" xfId="2826"/>
    <cellStyle name="Normal 465 2" xfId="4862"/>
    <cellStyle name="Normal 465 2 2" xfId="8667"/>
    <cellStyle name="Normal 465 2 2 2" xfId="16457"/>
    <cellStyle name="Normal 465 2 2 2 2" xfId="34078"/>
    <cellStyle name="Normal 465 2 2 3" xfId="27054"/>
    <cellStyle name="Normal 465 2 3" xfId="12963"/>
    <cellStyle name="Normal 465 2 3 2" xfId="30598"/>
    <cellStyle name="Normal 465 2 4" xfId="24193"/>
    <cellStyle name="Normal 465 3" xfId="4861"/>
    <cellStyle name="Normal 465 4" xfId="7986"/>
    <cellStyle name="Normal 465 4 2" xfId="15777"/>
    <cellStyle name="Normal 465 4 2 2" xfId="33398"/>
    <cellStyle name="Normal 465 4 3" xfId="26388"/>
    <cellStyle name="Normal 465 5" xfId="11943"/>
    <cellStyle name="Normal 465 5 2" xfId="29612"/>
    <cellStyle name="Normal 465 6" xfId="23527"/>
    <cellStyle name="Normal 465 7" xfId="52435"/>
    <cellStyle name="Normal 466" xfId="2827"/>
    <cellStyle name="Normal 466 2" xfId="4864"/>
    <cellStyle name="Normal 466 2 2" xfId="8668"/>
    <cellStyle name="Normal 466 2 2 2" xfId="16458"/>
    <cellStyle name="Normal 466 2 2 2 2" xfId="34079"/>
    <cellStyle name="Normal 466 2 2 3" xfId="27055"/>
    <cellStyle name="Normal 466 2 3" xfId="12964"/>
    <cellStyle name="Normal 466 2 3 2" xfId="30599"/>
    <cellStyle name="Normal 466 2 4" xfId="24194"/>
    <cellStyle name="Normal 466 3" xfId="4863"/>
    <cellStyle name="Normal 466 4" xfId="7987"/>
    <cellStyle name="Normal 466 4 2" xfId="15778"/>
    <cellStyle name="Normal 466 4 2 2" xfId="33399"/>
    <cellStyle name="Normal 466 4 3" xfId="26389"/>
    <cellStyle name="Normal 466 5" xfId="11944"/>
    <cellStyle name="Normal 466 5 2" xfId="29613"/>
    <cellStyle name="Normal 466 6" xfId="23528"/>
    <cellStyle name="Normal 466 7" xfId="52436"/>
    <cellStyle name="Normal 467" xfId="2828"/>
    <cellStyle name="Normal 467 2" xfId="4866"/>
    <cellStyle name="Normal 467 2 2" xfId="8669"/>
    <cellStyle name="Normal 467 2 2 2" xfId="16459"/>
    <cellStyle name="Normal 467 2 2 2 2" xfId="34080"/>
    <cellStyle name="Normal 467 2 2 3" xfId="27056"/>
    <cellStyle name="Normal 467 2 3" xfId="12965"/>
    <cellStyle name="Normal 467 2 3 2" xfId="30600"/>
    <cellStyle name="Normal 467 2 4" xfId="24195"/>
    <cellStyle name="Normal 467 3" xfId="4865"/>
    <cellStyle name="Normal 467 4" xfId="7988"/>
    <cellStyle name="Normal 467 4 2" xfId="15779"/>
    <cellStyle name="Normal 467 4 2 2" xfId="33400"/>
    <cellStyle name="Normal 467 4 3" xfId="26390"/>
    <cellStyle name="Normal 467 5" xfId="11945"/>
    <cellStyle name="Normal 467 5 2" xfId="29614"/>
    <cellStyle name="Normal 467 6" xfId="23529"/>
    <cellStyle name="Normal 467 7" xfId="52437"/>
    <cellStyle name="Normal 468" xfId="2829"/>
    <cellStyle name="Normal 468 2" xfId="4868"/>
    <cellStyle name="Normal 468 2 2" xfId="8670"/>
    <cellStyle name="Normal 468 2 2 2" xfId="16460"/>
    <cellStyle name="Normal 468 2 2 2 2" xfId="34081"/>
    <cellStyle name="Normal 468 2 2 3" xfId="27057"/>
    <cellStyle name="Normal 468 2 3" xfId="12966"/>
    <cellStyle name="Normal 468 2 3 2" xfId="30601"/>
    <cellStyle name="Normal 468 2 4" xfId="24196"/>
    <cellStyle name="Normal 468 3" xfId="4867"/>
    <cellStyle name="Normal 468 4" xfId="7989"/>
    <cellStyle name="Normal 468 4 2" xfId="15780"/>
    <cellStyle name="Normal 468 4 2 2" xfId="33401"/>
    <cellStyle name="Normal 468 4 3" xfId="26391"/>
    <cellStyle name="Normal 468 5" xfId="11946"/>
    <cellStyle name="Normal 468 5 2" xfId="29615"/>
    <cellStyle name="Normal 468 6" xfId="23530"/>
    <cellStyle name="Normal 468 7" xfId="52438"/>
    <cellStyle name="Normal 469" xfId="2830"/>
    <cellStyle name="Normal 469 2" xfId="4870"/>
    <cellStyle name="Normal 469 2 2" xfId="8671"/>
    <cellStyle name="Normal 469 2 2 2" xfId="16461"/>
    <cellStyle name="Normal 469 2 2 2 2" xfId="34082"/>
    <cellStyle name="Normal 469 2 2 3" xfId="27058"/>
    <cellStyle name="Normal 469 2 3" xfId="12967"/>
    <cellStyle name="Normal 469 2 3 2" xfId="30602"/>
    <cellStyle name="Normal 469 2 4" xfId="24197"/>
    <cellStyle name="Normal 469 3" xfId="4869"/>
    <cellStyle name="Normal 469 4" xfId="7990"/>
    <cellStyle name="Normal 469 4 2" xfId="15781"/>
    <cellStyle name="Normal 469 4 2 2" xfId="33402"/>
    <cellStyle name="Normal 469 4 3" xfId="26392"/>
    <cellStyle name="Normal 469 5" xfId="11947"/>
    <cellStyle name="Normal 469 5 2" xfId="29616"/>
    <cellStyle name="Normal 469 6" xfId="23531"/>
    <cellStyle name="Normal 469 7" xfId="52439"/>
    <cellStyle name="Normal 47" xfId="2831"/>
    <cellStyle name="Normal 47 2" xfId="4871"/>
    <cellStyle name="Normal 47 2 2" xfId="22773"/>
    <cellStyle name="Normal 47 2 2 2" xfId="38966"/>
    <cellStyle name="Normal 47 3" xfId="22989"/>
    <cellStyle name="Normal 47 4" xfId="22564"/>
    <cellStyle name="Normal 47 4 2" xfId="38861"/>
    <cellStyle name="Normal 47 5" xfId="52440"/>
    <cellStyle name="Normal 470" xfId="2832"/>
    <cellStyle name="Normal 470 2" xfId="4873"/>
    <cellStyle name="Normal 470 2 2" xfId="8672"/>
    <cellStyle name="Normal 470 2 2 2" xfId="16462"/>
    <cellStyle name="Normal 470 2 2 2 2" xfId="34083"/>
    <cellStyle name="Normal 470 2 2 3" xfId="27059"/>
    <cellStyle name="Normal 470 2 3" xfId="12968"/>
    <cellStyle name="Normal 470 2 3 2" xfId="30603"/>
    <cellStyle name="Normal 470 2 4" xfId="24198"/>
    <cellStyle name="Normal 470 3" xfId="4872"/>
    <cellStyle name="Normal 470 4" xfId="7991"/>
    <cellStyle name="Normal 470 4 2" xfId="15782"/>
    <cellStyle name="Normal 470 4 2 2" xfId="33403"/>
    <cellStyle name="Normal 470 4 3" xfId="26393"/>
    <cellStyle name="Normal 470 5" xfId="11948"/>
    <cellStyle name="Normal 470 5 2" xfId="29617"/>
    <cellStyle name="Normal 470 6" xfId="23532"/>
    <cellStyle name="Normal 470 7" xfId="52441"/>
    <cellStyle name="Normal 471" xfId="2833"/>
    <cellStyle name="Normal 471 2" xfId="4875"/>
    <cellStyle name="Normal 471 2 2" xfId="8673"/>
    <cellStyle name="Normal 471 2 2 2" xfId="16463"/>
    <cellStyle name="Normal 471 2 2 2 2" xfId="34084"/>
    <cellStyle name="Normal 471 2 2 3" xfId="27060"/>
    <cellStyle name="Normal 471 2 3" xfId="12969"/>
    <cellStyle name="Normal 471 2 3 2" xfId="30604"/>
    <cellStyle name="Normal 471 2 4" xfId="24199"/>
    <cellStyle name="Normal 471 3" xfId="4874"/>
    <cellStyle name="Normal 471 4" xfId="7992"/>
    <cellStyle name="Normal 471 4 2" xfId="15783"/>
    <cellStyle name="Normal 471 4 2 2" xfId="33404"/>
    <cellStyle name="Normal 471 4 3" xfId="26394"/>
    <cellStyle name="Normal 471 5" xfId="11949"/>
    <cellStyle name="Normal 471 5 2" xfId="29618"/>
    <cellStyle name="Normal 471 6" xfId="23533"/>
    <cellStyle name="Normal 471 7" xfId="52442"/>
    <cellStyle name="Normal 472" xfId="2834"/>
    <cellStyle name="Normal 472 2" xfId="4877"/>
    <cellStyle name="Normal 472 2 2" xfId="8674"/>
    <cellStyle name="Normal 472 2 2 2" xfId="16464"/>
    <cellStyle name="Normal 472 2 2 2 2" xfId="34085"/>
    <cellStyle name="Normal 472 2 2 3" xfId="27061"/>
    <cellStyle name="Normal 472 2 3" xfId="12970"/>
    <cellStyle name="Normal 472 2 3 2" xfId="30605"/>
    <cellStyle name="Normal 472 2 4" xfId="24200"/>
    <cellStyle name="Normal 472 3" xfId="4876"/>
    <cellStyle name="Normal 472 4" xfId="7993"/>
    <cellStyle name="Normal 472 4 2" xfId="15784"/>
    <cellStyle name="Normal 472 4 2 2" xfId="33405"/>
    <cellStyle name="Normal 472 4 3" xfId="26395"/>
    <cellStyle name="Normal 472 5" xfId="11950"/>
    <cellStyle name="Normal 472 5 2" xfId="29619"/>
    <cellStyle name="Normal 472 6" xfId="23534"/>
    <cellStyle name="Normal 472 7" xfId="52443"/>
    <cellStyle name="Normal 473" xfId="2835"/>
    <cellStyle name="Normal 473 2" xfId="4879"/>
    <cellStyle name="Normal 473 2 2" xfId="8675"/>
    <cellStyle name="Normal 473 2 2 2" xfId="16465"/>
    <cellStyle name="Normal 473 2 2 2 2" xfId="34086"/>
    <cellStyle name="Normal 473 2 2 3" xfId="27062"/>
    <cellStyle name="Normal 473 2 3" xfId="12971"/>
    <cellStyle name="Normal 473 2 3 2" xfId="30606"/>
    <cellStyle name="Normal 473 2 4" xfId="24201"/>
    <cellStyle name="Normal 473 3" xfId="4878"/>
    <cellStyle name="Normal 473 4" xfId="7994"/>
    <cellStyle name="Normal 473 4 2" xfId="15785"/>
    <cellStyle name="Normal 473 4 2 2" xfId="33406"/>
    <cellStyle name="Normal 473 4 3" xfId="26396"/>
    <cellStyle name="Normal 473 5" xfId="11951"/>
    <cellStyle name="Normal 473 5 2" xfId="29620"/>
    <cellStyle name="Normal 473 6" xfId="23535"/>
    <cellStyle name="Normal 473 7" xfId="52444"/>
    <cellStyle name="Normal 474" xfId="2836"/>
    <cellStyle name="Normal 474 2" xfId="4881"/>
    <cellStyle name="Normal 474 2 2" xfId="8676"/>
    <cellStyle name="Normal 474 2 2 2" xfId="16466"/>
    <cellStyle name="Normal 474 2 2 2 2" xfId="34087"/>
    <cellStyle name="Normal 474 2 2 3" xfId="27063"/>
    <cellStyle name="Normal 474 2 3" xfId="12972"/>
    <cellStyle name="Normal 474 2 3 2" xfId="30607"/>
    <cellStyle name="Normal 474 2 4" xfId="24202"/>
    <cellStyle name="Normal 474 3" xfId="4880"/>
    <cellStyle name="Normal 474 4" xfId="7995"/>
    <cellStyle name="Normal 474 4 2" xfId="15786"/>
    <cellStyle name="Normal 474 4 2 2" xfId="33407"/>
    <cellStyle name="Normal 474 4 3" xfId="26397"/>
    <cellStyle name="Normal 474 5" xfId="11952"/>
    <cellStyle name="Normal 474 5 2" xfId="29621"/>
    <cellStyle name="Normal 474 6" xfId="23536"/>
    <cellStyle name="Normal 474 7" xfId="52445"/>
    <cellStyle name="Normal 475" xfId="2837"/>
    <cellStyle name="Normal 475 2" xfId="4883"/>
    <cellStyle name="Normal 475 2 2" xfId="8677"/>
    <cellStyle name="Normal 475 2 2 2" xfId="16467"/>
    <cellStyle name="Normal 475 2 2 2 2" xfId="34088"/>
    <cellStyle name="Normal 475 2 2 3" xfId="27064"/>
    <cellStyle name="Normal 475 2 3" xfId="12973"/>
    <cellStyle name="Normal 475 2 3 2" xfId="30608"/>
    <cellStyle name="Normal 475 2 4" xfId="24203"/>
    <cellStyle name="Normal 475 3" xfId="4882"/>
    <cellStyle name="Normal 475 4" xfId="7996"/>
    <cellStyle name="Normal 475 4 2" xfId="15787"/>
    <cellStyle name="Normal 475 4 2 2" xfId="33408"/>
    <cellStyle name="Normal 475 4 3" xfId="26398"/>
    <cellStyle name="Normal 475 5" xfId="11953"/>
    <cellStyle name="Normal 475 5 2" xfId="29622"/>
    <cellStyle name="Normal 475 6" xfId="23537"/>
    <cellStyle name="Normal 475 7" xfId="52446"/>
    <cellStyle name="Normal 476" xfId="2838"/>
    <cellStyle name="Normal 476 2" xfId="4885"/>
    <cellStyle name="Normal 476 2 2" xfId="8678"/>
    <cellStyle name="Normal 476 2 2 2" xfId="16468"/>
    <cellStyle name="Normal 476 2 2 2 2" xfId="34089"/>
    <cellStyle name="Normal 476 2 2 3" xfId="27065"/>
    <cellStyle name="Normal 476 2 3" xfId="12974"/>
    <cellStyle name="Normal 476 2 3 2" xfId="30609"/>
    <cellStyle name="Normal 476 2 4" xfId="24204"/>
    <cellStyle name="Normal 476 3" xfId="4884"/>
    <cellStyle name="Normal 476 4" xfId="7997"/>
    <cellStyle name="Normal 476 4 2" xfId="15788"/>
    <cellStyle name="Normal 476 4 2 2" xfId="33409"/>
    <cellStyle name="Normal 476 4 3" xfId="26399"/>
    <cellStyle name="Normal 476 5" xfId="11954"/>
    <cellStyle name="Normal 476 5 2" xfId="29623"/>
    <cellStyle name="Normal 476 6" xfId="23538"/>
    <cellStyle name="Normal 476 7" xfId="52447"/>
    <cellStyle name="Normal 477" xfId="2839"/>
    <cellStyle name="Normal 477 2" xfId="4887"/>
    <cellStyle name="Normal 477 2 2" xfId="8679"/>
    <cellStyle name="Normal 477 2 2 2" xfId="16469"/>
    <cellStyle name="Normal 477 2 2 2 2" xfId="34090"/>
    <cellStyle name="Normal 477 2 2 3" xfId="27066"/>
    <cellStyle name="Normal 477 2 3" xfId="12975"/>
    <cellStyle name="Normal 477 2 3 2" xfId="30610"/>
    <cellStyle name="Normal 477 2 4" xfId="24205"/>
    <cellStyle name="Normal 477 3" xfId="4886"/>
    <cellStyle name="Normal 477 4" xfId="7998"/>
    <cellStyle name="Normal 477 4 2" xfId="15789"/>
    <cellStyle name="Normal 477 4 2 2" xfId="33410"/>
    <cellStyle name="Normal 477 4 3" xfId="26400"/>
    <cellStyle name="Normal 477 5" xfId="11955"/>
    <cellStyle name="Normal 477 5 2" xfId="29624"/>
    <cellStyle name="Normal 477 6" xfId="23539"/>
    <cellStyle name="Normal 477 7" xfId="52448"/>
    <cellStyle name="Normal 478" xfId="2840"/>
    <cellStyle name="Normal 478 2" xfId="4889"/>
    <cellStyle name="Normal 478 2 2" xfId="8680"/>
    <cellStyle name="Normal 478 2 2 2" xfId="16470"/>
    <cellStyle name="Normal 478 2 2 2 2" xfId="34091"/>
    <cellStyle name="Normal 478 2 2 3" xfId="27067"/>
    <cellStyle name="Normal 478 2 3" xfId="12976"/>
    <cellStyle name="Normal 478 2 3 2" xfId="30611"/>
    <cellStyle name="Normal 478 2 4" xfId="24206"/>
    <cellStyle name="Normal 478 3" xfId="4888"/>
    <cellStyle name="Normal 478 4" xfId="7999"/>
    <cellStyle name="Normal 478 4 2" xfId="15790"/>
    <cellStyle name="Normal 478 4 2 2" xfId="33411"/>
    <cellStyle name="Normal 478 4 3" xfId="26401"/>
    <cellStyle name="Normal 478 5" xfId="11956"/>
    <cellStyle name="Normal 478 5 2" xfId="29625"/>
    <cellStyle name="Normal 478 6" xfId="23540"/>
    <cellStyle name="Normal 478 7" xfId="52449"/>
    <cellStyle name="Normal 479" xfId="2841"/>
    <cellStyle name="Normal 479 2" xfId="4891"/>
    <cellStyle name="Normal 479 2 2" xfId="8681"/>
    <cellStyle name="Normal 479 2 2 2" xfId="16471"/>
    <cellStyle name="Normal 479 2 2 2 2" xfId="34092"/>
    <cellStyle name="Normal 479 2 2 3" xfId="27068"/>
    <cellStyle name="Normal 479 2 3" xfId="12977"/>
    <cellStyle name="Normal 479 2 3 2" xfId="30612"/>
    <cellStyle name="Normal 479 2 4" xfId="24207"/>
    <cellStyle name="Normal 479 3" xfId="4890"/>
    <cellStyle name="Normal 479 4" xfId="8000"/>
    <cellStyle name="Normal 479 4 2" xfId="15791"/>
    <cellStyle name="Normal 479 4 2 2" xfId="33412"/>
    <cellStyle name="Normal 479 4 3" xfId="26402"/>
    <cellStyle name="Normal 479 5" xfId="11957"/>
    <cellStyle name="Normal 479 5 2" xfId="29626"/>
    <cellStyle name="Normal 479 6" xfId="23541"/>
    <cellStyle name="Normal 479 7" xfId="52450"/>
    <cellStyle name="Normal 48" xfId="2842"/>
    <cellStyle name="Normal 48 2" xfId="4892"/>
    <cellStyle name="Normal 48 2 2" xfId="22774"/>
    <cellStyle name="Normal 48 2 2 2" xfId="38967"/>
    <cellStyle name="Normal 48 3" xfId="22990"/>
    <cellStyle name="Normal 48 4" xfId="22565"/>
    <cellStyle name="Normal 48 4 2" xfId="38862"/>
    <cellStyle name="Normal 48 5" xfId="52451"/>
    <cellStyle name="Normal 480" xfId="2843"/>
    <cellStyle name="Normal 480 2" xfId="4894"/>
    <cellStyle name="Normal 480 2 2" xfId="8682"/>
    <cellStyle name="Normal 480 2 2 2" xfId="16472"/>
    <cellStyle name="Normal 480 2 2 2 2" xfId="34093"/>
    <cellStyle name="Normal 480 2 2 3" xfId="27069"/>
    <cellStyle name="Normal 480 2 3" xfId="12978"/>
    <cellStyle name="Normal 480 2 3 2" xfId="30613"/>
    <cellStyle name="Normal 480 2 4" xfId="24208"/>
    <cellStyle name="Normal 480 3" xfId="4893"/>
    <cellStyle name="Normal 480 4" xfId="8001"/>
    <cellStyle name="Normal 480 4 2" xfId="15792"/>
    <cellStyle name="Normal 480 4 2 2" xfId="33413"/>
    <cellStyle name="Normal 480 4 3" xfId="26403"/>
    <cellStyle name="Normal 480 5" xfId="11958"/>
    <cellStyle name="Normal 480 5 2" xfId="29627"/>
    <cellStyle name="Normal 480 6" xfId="23542"/>
    <cellStyle name="Normal 480 7" xfId="52452"/>
    <cellStyle name="Normal 481" xfId="2844"/>
    <cellStyle name="Normal 481 2" xfId="4896"/>
    <cellStyle name="Normal 481 2 2" xfId="8683"/>
    <cellStyle name="Normal 481 2 2 2" xfId="16473"/>
    <cellStyle name="Normal 481 2 2 2 2" xfId="34094"/>
    <cellStyle name="Normal 481 2 2 3" xfId="27070"/>
    <cellStyle name="Normal 481 2 3" xfId="12979"/>
    <cellStyle name="Normal 481 2 3 2" xfId="30614"/>
    <cellStyle name="Normal 481 2 4" xfId="24209"/>
    <cellStyle name="Normal 481 3" xfId="4895"/>
    <cellStyle name="Normal 481 4" xfId="8002"/>
    <cellStyle name="Normal 481 4 2" xfId="15793"/>
    <cellStyle name="Normal 481 4 2 2" xfId="33414"/>
    <cellStyle name="Normal 481 4 3" xfId="26404"/>
    <cellStyle name="Normal 481 5" xfId="11959"/>
    <cellStyle name="Normal 481 5 2" xfId="29628"/>
    <cellStyle name="Normal 481 6" xfId="23543"/>
    <cellStyle name="Normal 481 7" xfId="52453"/>
    <cellStyle name="Normal 482" xfId="2845"/>
    <cellStyle name="Normal 482 2" xfId="4898"/>
    <cellStyle name="Normal 482 2 2" xfId="8684"/>
    <cellStyle name="Normal 482 2 2 2" xfId="16474"/>
    <cellStyle name="Normal 482 2 2 2 2" xfId="34095"/>
    <cellStyle name="Normal 482 2 2 3" xfId="27071"/>
    <cellStyle name="Normal 482 2 3" xfId="12980"/>
    <cellStyle name="Normal 482 2 3 2" xfId="30615"/>
    <cellStyle name="Normal 482 2 4" xfId="24210"/>
    <cellStyle name="Normal 482 3" xfId="4897"/>
    <cellStyle name="Normal 482 4" xfId="8003"/>
    <cellStyle name="Normal 482 4 2" xfId="15794"/>
    <cellStyle name="Normal 482 4 2 2" xfId="33415"/>
    <cellStyle name="Normal 482 4 3" xfId="26405"/>
    <cellStyle name="Normal 482 5" xfId="11960"/>
    <cellStyle name="Normal 482 5 2" xfId="29629"/>
    <cellStyle name="Normal 482 6" xfId="23544"/>
    <cellStyle name="Normal 482 7" xfId="52454"/>
    <cellStyle name="Normal 483" xfId="2846"/>
    <cellStyle name="Normal 483 2" xfId="4899"/>
    <cellStyle name="Normal 483 2 2" xfId="8685"/>
    <cellStyle name="Normal 483 2 2 2" xfId="16475"/>
    <cellStyle name="Normal 483 2 2 2 2" xfId="34096"/>
    <cellStyle name="Normal 483 2 2 3" xfId="27072"/>
    <cellStyle name="Normal 483 2 3" xfId="12981"/>
    <cellStyle name="Normal 483 2 3 2" xfId="30616"/>
    <cellStyle name="Normal 483 2 4" xfId="24211"/>
    <cellStyle name="Normal 483 3" xfId="5959"/>
    <cellStyle name="Normal 483 3 2" xfId="9256"/>
    <cellStyle name="Normal 483 3 2 2" xfId="17045"/>
    <cellStyle name="Normal 483 3 2 2 2" xfId="34667"/>
    <cellStyle name="Normal 483 3 2 3" xfId="27630"/>
    <cellStyle name="Normal 483 3 3" xfId="13809"/>
    <cellStyle name="Normal 483 3 3 2" xfId="31435"/>
    <cellStyle name="Normal 483 3 4" xfId="24769"/>
    <cellStyle name="Normal 483 4" xfId="6589"/>
    <cellStyle name="Normal 483 4 2" xfId="9796"/>
    <cellStyle name="Normal 483 4 2 2" xfId="17584"/>
    <cellStyle name="Normal 483 4 2 2 2" xfId="35207"/>
    <cellStyle name="Normal 483 4 2 3" xfId="28166"/>
    <cellStyle name="Normal 483 4 3" xfId="14372"/>
    <cellStyle name="Normal 483 4 3 2" xfId="31993"/>
    <cellStyle name="Normal 483 4 4" xfId="25305"/>
    <cellStyle name="Normal 483 5" xfId="7364"/>
    <cellStyle name="Normal 483 5 2" xfId="10349"/>
    <cellStyle name="Normal 483 5 2 2" xfId="18136"/>
    <cellStyle name="Normal 483 5 2 2 2" xfId="35759"/>
    <cellStyle name="Normal 483 5 2 3" xfId="28702"/>
    <cellStyle name="Normal 483 5 3" xfId="15146"/>
    <cellStyle name="Normal 483 5 3 2" xfId="32767"/>
    <cellStyle name="Normal 483 5 4" xfId="25842"/>
    <cellStyle name="Normal 483 6" xfId="8004"/>
    <cellStyle name="Normal 483 6 2" xfId="15795"/>
    <cellStyle name="Normal 483 6 2 2" xfId="33416"/>
    <cellStyle name="Normal 483 6 3" xfId="26406"/>
    <cellStyle name="Normal 483 7" xfId="11961"/>
    <cellStyle name="Normal 483 7 2" xfId="29630"/>
    <cellStyle name="Normal 483 8" xfId="23545"/>
    <cellStyle name="Normal 483 9" xfId="52455"/>
    <cellStyle name="Normal 484" xfId="2847"/>
    <cellStyle name="Normal 484 2" xfId="4900"/>
    <cellStyle name="Normal 484 2 2" xfId="8686"/>
    <cellStyle name="Normal 484 2 2 2" xfId="16476"/>
    <cellStyle name="Normal 484 2 2 2 2" xfId="34097"/>
    <cellStyle name="Normal 484 2 2 3" xfId="27073"/>
    <cellStyle name="Normal 484 2 3" xfId="12982"/>
    <cellStyle name="Normal 484 2 3 2" xfId="30617"/>
    <cellStyle name="Normal 484 2 4" xfId="24212"/>
    <cellStyle name="Normal 484 3" xfId="5960"/>
    <cellStyle name="Normal 484 3 2" xfId="9257"/>
    <cellStyle name="Normal 484 3 2 2" xfId="17046"/>
    <cellStyle name="Normal 484 3 2 2 2" xfId="34668"/>
    <cellStyle name="Normal 484 3 2 3" xfId="27631"/>
    <cellStyle name="Normal 484 3 3" xfId="13810"/>
    <cellStyle name="Normal 484 3 3 2" xfId="31436"/>
    <cellStyle name="Normal 484 3 4" xfId="24770"/>
    <cellStyle name="Normal 484 4" xfId="6590"/>
    <cellStyle name="Normal 484 4 2" xfId="9797"/>
    <cellStyle name="Normal 484 4 2 2" xfId="17585"/>
    <cellStyle name="Normal 484 4 2 2 2" xfId="35208"/>
    <cellStyle name="Normal 484 4 2 3" xfId="28167"/>
    <cellStyle name="Normal 484 4 3" xfId="14373"/>
    <cellStyle name="Normal 484 4 3 2" xfId="31994"/>
    <cellStyle name="Normal 484 4 4" xfId="25306"/>
    <cellStyle name="Normal 484 5" xfId="7365"/>
    <cellStyle name="Normal 484 5 2" xfId="10350"/>
    <cellStyle name="Normal 484 5 2 2" xfId="18137"/>
    <cellStyle name="Normal 484 5 2 2 2" xfId="35760"/>
    <cellStyle name="Normal 484 5 2 3" xfId="28703"/>
    <cellStyle name="Normal 484 5 3" xfId="15147"/>
    <cellStyle name="Normal 484 5 3 2" xfId="32768"/>
    <cellStyle name="Normal 484 5 4" xfId="25843"/>
    <cellStyle name="Normal 484 6" xfId="8005"/>
    <cellStyle name="Normal 484 6 2" xfId="15796"/>
    <cellStyle name="Normal 484 6 2 2" xfId="33417"/>
    <cellStyle name="Normal 484 6 3" xfId="26407"/>
    <cellStyle name="Normal 484 7" xfId="11962"/>
    <cellStyle name="Normal 484 7 2" xfId="29631"/>
    <cellStyle name="Normal 484 8" xfId="23546"/>
    <cellStyle name="Normal 484 9" xfId="52456"/>
    <cellStyle name="Normal 485" xfId="195"/>
    <cellStyle name="Normal 485 10" xfId="23547"/>
    <cellStyle name="Normal 485 11" xfId="52457"/>
    <cellStyle name="Normal 485 12" xfId="2848"/>
    <cellStyle name="Normal 485 2" xfId="193"/>
    <cellStyle name="Normal 485 2 2" xfId="4902"/>
    <cellStyle name="Normal 485 3" xfId="197"/>
    <cellStyle name="Normal 485 3 2" xfId="211"/>
    <cellStyle name="Normal 485 3 3" xfId="204"/>
    <cellStyle name="Normal 485 4" xfId="198"/>
    <cellStyle name="Normal 485 4 2" xfId="212"/>
    <cellStyle name="Normal 485 4 3" xfId="205"/>
    <cellStyle name="Normal 485 5" xfId="4903"/>
    <cellStyle name="Normal 485 5 2" xfId="8687"/>
    <cellStyle name="Normal 485 5 2 2" xfId="16477"/>
    <cellStyle name="Normal 485 5 2 2 2" xfId="34098"/>
    <cellStyle name="Normal 485 5 2 3" xfId="27074"/>
    <cellStyle name="Normal 485 5 3" xfId="12984"/>
    <cellStyle name="Normal 485 5 3 2" xfId="30619"/>
    <cellStyle name="Normal 485 5 4" xfId="24213"/>
    <cellStyle name="Normal 485 6" xfId="4901"/>
    <cellStyle name="Normal 485 7" xfId="8006"/>
    <cellStyle name="Normal 485 7 2" xfId="15797"/>
    <cellStyle name="Normal 485 7 2 2" xfId="33418"/>
    <cellStyle name="Normal 485 7 3" xfId="26408"/>
    <cellStyle name="Normal 485 8" xfId="11963"/>
    <cellStyle name="Normal 485 8 2" xfId="29632"/>
    <cellStyle name="Normal 485 9" xfId="21943"/>
    <cellStyle name="Normal 485 9 2" xfId="38682"/>
    <cellStyle name="Normal 486" xfId="2849"/>
    <cellStyle name="Normal 486 2" xfId="4905"/>
    <cellStyle name="Normal 486 2 2" xfId="8688"/>
    <cellStyle name="Normal 486 2 2 2" xfId="16478"/>
    <cellStyle name="Normal 486 2 2 2 2" xfId="34099"/>
    <cellStyle name="Normal 486 2 2 3" xfId="27075"/>
    <cellStyle name="Normal 486 2 3" xfId="12985"/>
    <cellStyle name="Normal 486 2 3 2" xfId="30620"/>
    <cellStyle name="Normal 486 2 4" xfId="24214"/>
    <cellStyle name="Normal 486 3" xfId="4904"/>
    <cellStyle name="Normal 486 4" xfId="8007"/>
    <cellStyle name="Normal 486 4 2" xfId="15798"/>
    <cellStyle name="Normal 486 4 2 2" xfId="33419"/>
    <cellStyle name="Normal 486 4 3" xfId="26409"/>
    <cellStyle name="Normal 486 5" xfId="11964"/>
    <cellStyle name="Normal 486 5 2" xfId="29633"/>
    <cellStyle name="Normal 486 6" xfId="23548"/>
    <cellStyle name="Normal 486 7" xfId="52458"/>
    <cellStyle name="Normal 487" xfId="2850"/>
    <cellStyle name="Normal 487 2" xfId="4907"/>
    <cellStyle name="Normal 487 2 2" xfId="8689"/>
    <cellStyle name="Normal 487 2 2 2" xfId="16479"/>
    <cellStyle name="Normal 487 2 2 2 2" xfId="34100"/>
    <cellStyle name="Normal 487 2 2 3" xfId="27076"/>
    <cellStyle name="Normal 487 2 3" xfId="12986"/>
    <cellStyle name="Normal 487 2 3 2" xfId="30621"/>
    <cellStyle name="Normal 487 2 4" xfId="24215"/>
    <cellStyle name="Normal 487 3" xfId="4906"/>
    <cellStyle name="Normal 487 4" xfId="8008"/>
    <cellStyle name="Normal 487 4 2" xfId="15799"/>
    <cellStyle name="Normal 487 4 2 2" xfId="33420"/>
    <cellStyle name="Normal 487 4 3" xfId="26410"/>
    <cellStyle name="Normal 487 5" xfId="11965"/>
    <cellStyle name="Normal 487 5 2" xfId="29634"/>
    <cellStyle name="Normal 487 6" xfId="23549"/>
    <cellStyle name="Normal 487 7" xfId="52459"/>
    <cellStyle name="Normal 488" xfId="2851"/>
    <cellStyle name="Normal 488 2" xfId="4909"/>
    <cellStyle name="Normal 488 2 2" xfId="8690"/>
    <cellStyle name="Normal 488 2 2 2" xfId="16480"/>
    <cellStyle name="Normal 488 2 2 2 2" xfId="34101"/>
    <cellStyle name="Normal 488 2 2 3" xfId="27077"/>
    <cellStyle name="Normal 488 2 3" xfId="12987"/>
    <cellStyle name="Normal 488 2 3 2" xfId="30622"/>
    <cellStyle name="Normal 488 2 4" xfId="24216"/>
    <cellStyle name="Normal 488 3" xfId="4908"/>
    <cellStyle name="Normal 488 4" xfId="8009"/>
    <cellStyle name="Normal 488 4 2" xfId="15800"/>
    <cellStyle name="Normal 488 4 2 2" xfId="33421"/>
    <cellStyle name="Normal 488 4 3" xfId="26411"/>
    <cellStyle name="Normal 488 5" xfId="11966"/>
    <cellStyle name="Normal 488 5 2" xfId="29635"/>
    <cellStyle name="Normal 488 6" xfId="23550"/>
    <cellStyle name="Normal 488 7" xfId="52460"/>
    <cellStyle name="Normal 489" xfId="2852"/>
    <cellStyle name="Normal 489 2" xfId="4911"/>
    <cellStyle name="Normal 489 2 2" xfId="8691"/>
    <cellStyle name="Normal 489 2 2 2" xfId="16481"/>
    <cellStyle name="Normal 489 2 2 2 2" xfId="34102"/>
    <cellStyle name="Normal 489 2 2 3" xfId="27078"/>
    <cellStyle name="Normal 489 2 3" xfId="12988"/>
    <cellStyle name="Normal 489 2 3 2" xfId="30623"/>
    <cellStyle name="Normal 489 2 4" xfId="24217"/>
    <cellStyle name="Normal 489 3" xfId="4910"/>
    <cellStyle name="Normal 489 4" xfId="8010"/>
    <cellStyle name="Normal 489 4 2" xfId="15801"/>
    <cellStyle name="Normal 489 4 2 2" xfId="33422"/>
    <cellStyle name="Normal 489 4 3" xfId="26412"/>
    <cellStyle name="Normal 489 5" xfId="11967"/>
    <cellStyle name="Normal 489 5 2" xfId="29636"/>
    <cellStyle name="Normal 489 6" xfId="23551"/>
    <cellStyle name="Normal 489 7" xfId="52461"/>
    <cellStyle name="Normal 49" xfId="2853"/>
    <cellStyle name="Normal 49 2" xfId="4912"/>
    <cellStyle name="Normal 49 3" xfId="52462"/>
    <cellStyle name="Normal 490" xfId="2854"/>
    <cellStyle name="Normal 490 2" xfId="4914"/>
    <cellStyle name="Normal 490 2 2" xfId="8692"/>
    <cellStyle name="Normal 490 2 2 2" xfId="16482"/>
    <cellStyle name="Normal 490 2 2 2 2" xfId="34103"/>
    <cellStyle name="Normal 490 2 2 3" xfId="27079"/>
    <cellStyle name="Normal 490 2 3" xfId="12989"/>
    <cellStyle name="Normal 490 2 3 2" xfId="30624"/>
    <cellStyle name="Normal 490 2 4" xfId="24218"/>
    <cellStyle name="Normal 490 3" xfId="4913"/>
    <cellStyle name="Normal 490 4" xfId="8011"/>
    <cellStyle name="Normal 490 4 2" xfId="15802"/>
    <cellStyle name="Normal 490 4 2 2" xfId="33423"/>
    <cellStyle name="Normal 490 4 3" xfId="26413"/>
    <cellStyle name="Normal 490 5" xfId="11968"/>
    <cellStyle name="Normal 490 5 2" xfId="29637"/>
    <cellStyle name="Normal 490 6" xfId="23552"/>
    <cellStyle name="Normal 490 7" xfId="52463"/>
    <cellStyle name="Normal 491" xfId="2855"/>
    <cellStyle name="Normal 491 2" xfId="4916"/>
    <cellStyle name="Normal 491 2 2" xfId="8693"/>
    <cellStyle name="Normal 491 2 2 2" xfId="16483"/>
    <cellStyle name="Normal 491 2 2 2 2" xfId="34104"/>
    <cellStyle name="Normal 491 2 2 3" xfId="27080"/>
    <cellStyle name="Normal 491 2 3" xfId="12991"/>
    <cellStyle name="Normal 491 2 3 2" xfId="30626"/>
    <cellStyle name="Normal 491 2 4" xfId="24219"/>
    <cellStyle name="Normal 491 3" xfId="4915"/>
    <cellStyle name="Normal 491 4" xfId="8012"/>
    <cellStyle name="Normal 491 4 2" xfId="15803"/>
    <cellStyle name="Normal 491 4 2 2" xfId="33424"/>
    <cellStyle name="Normal 491 4 3" xfId="26414"/>
    <cellStyle name="Normal 491 5" xfId="11969"/>
    <cellStyle name="Normal 491 5 2" xfId="29638"/>
    <cellStyle name="Normal 491 6" xfId="23553"/>
    <cellStyle name="Normal 491 7" xfId="52464"/>
    <cellStyle name="Normal 492" xfId="2856"/>
    <cellStyle name="Normal 492 2" xfId="4918"/>
    <cellStyle name="Normal 492 2 2" xfId="8694"/>
    <cellStyle name="Normal 492 2 2 2" xfId="16484"/>
    <cellStyle name="Normal 492 2 2 2 2" xfId="34105"/>
    <cellStyle name="Normal 492 2 2 3" xfId="27081"/>
    <cellStyle name="Normal 492 2 3" xfId="12992"/>
    <cellStyle name="Normal 492 2 3 2" xfId="30627"/>
    <cellStyle name="Normal 492 2 4" xfId="24220"/>
    <cellStyle name="Normal 492 3" xfId="4917"/>
    <cellStyle name="Normal 492 4" xfId="8013"/>
    <cellStyle name="Normal 492 4 2" xfId="15804"/>
    <cellStyle name="Normal 492 4 2 2" xfId="33425"/>
    <cellStyle name="Normal 492 4 3" xfId="26415"/>
    <cellStyle name="Normal 492 5" xfId="11970"/>
    <cellStyle name="Normal 492 5 2" xfId="29639"/>
    <cellStyle name="Normal 492 6" xfId="23554"/>
    <cellStyle name="Normal 492 7" xfId="52465"/>
    <cellStyle name="Normal 493" xfId="2857"/>
    <cellStyle name="Normal 493 2" xfId="4920"/>
    <cellStyle name="Normal 493 2 2" xfId="8695"/>
    <cellStyle name="Normal 493 2 2 2" xfId="16485"/>
    <cellStyle name="Normal 493 2 2 2 2" xfId="34106"/>
    <cellStyle name="Normal 493 2 2 3" xfId="27082"/>
    <cellStyle name="Normal 493 2 3" xfId="12993"/>
    <cellStyle name="Normal 493 2 3 2" xfId="30628"/>
    <cellStyle name="Normal 493 2 4" xfId="24221"/>
    <cellStyle name="Normal 493 3" xfId="4919"/>
    <cellStyle name="Normal 493 4" xfId="8014"/>
    <cellStyle name="Normal 493 4 2" xfId="15805"/>
    <cellStyle name="Normal 493 4 2 2" xfId="33426"/>
    <cellStyle name="Normal 493 4 3" xfId="26416"/>
    <cellStyle name="Normal 493 5" xfId="11971"/>
    <cellStyle name="Normal 493 5 2" xfId="29640"/>
    <cellStyle name="Normal 493 6" xfId="23555"/>
    <cellStyle name="Normal 493 7" xfId="52466"/>
    <cellStyle name="Normal 494" xfId="2858"/>
    <cellStyle name="Normal 494 2" xfId="4922"/>
    <cellStyle name="Normal 494 2 2" xfId="8696"/>
    <cellStyle name="Normal 494 2 2 2" xfId="16486"/>
    <cellStyle name="Normal 494 2 2 2 2" xfId="34107"/>
    <cellStyle name="Normal 494 2 2 3" xfId="27083"/>
    <cellStyle name="Normal 494 2 3" xfId="12994"/>
    <cellStyle name="Normal 494 2 3 2" xfId="30629"/>
    <cellStyle name="Normal 494 2 4" xfId="24222"/>
    <cellStyle name="Normal 494 3" xfId="4921"/>
    <cellStyle name="Normal 494 4" xfId="8015"/>
    <cellStyle name="Normal 494 4 2" xfId="15806"/>
    <cellStyle name="Normal 494 4 2 2" xfId="33427"/>
    <cellStyle name="Normal 494 4 3" xfId="26417"/>
    <cellStyle name="Normal 494 5" xfId="11972"/>
    <cellStyle name="Normal 494 5 2" xfId="29641"/>
    <cellStyle name="Normal 494 6" xfId="23556"/>
    <cellStyle name="Normal 494 7" xfId="52467"/>
    <cellStyle name="Normal 495" xfId="2859"/>
    <cellStyle name="Normal 495 2" xfId="4924"/>
    <cellStyle name="Normal 495 2 2" xfId="8697"/>
    <cellStyle name="Normal 495 2 2 2" xfId="16487"/>
    <cellStyle name="Normal 495 2 2 2 2" xfId="34108"/>
    <cellStyle name="Normal 495 2 2 3" xfId="27084"/>
    <cellStyle name="Normal 495 2 3" xfId="12995"/>
    <cellStyle name="Normal 495 2 3 2" xfId="30630"/>
    <cellStyle name="Normal 495 2 4" xfId="24223"/>
    <cellStyle name="Normal 495 3" xfId="4923"/>
    <cellStyle name="Normal 495 4" xfId="8016"/>
    <cellStyle name="Normal 495 4 2" xfId="15807"/>
    <cellStyle name="Normal 495 4 2 2" xfId="33428"/>
    <cellStyle name="Normal 495 4 3" xfId="26418"/>
    <cellStyle name="Normal 495 5" xfId="11973"/>
    <cellStyle name="Normal 495 5 2" xfId="29642"/>
    <cellStyle name="Normal 495 6" xfId="23557"/>
    <cellStyle name="Normal 495 7" xfId="52468"/>
    <cellStyle name="Normal 496" xfId="2860"/>
    <cellStyle name="Normal 496 2" xfId="4926"/>
    <cellStyle name="Normal 496 2 2" xfId="8698"/>
    <cellStyle name="Normal 496 2 2 2" xfId="16488"/>
    <cellStyle name="Normal 496 2 2 2 2" xfId="34109"/>
    <cellStyle name="Normal 496 2 2 3" xfId="27085"/>
    <cellStyle name="Normal 496 2 3" xfId="12996"/>
    <cellStyle name="Normal 496 2 3 2" xfId="30631"/>
    <cellStyle name="Normal 496 2 4" xfId="24224"/>
    <cellStyle name="Normal 496 3" xfId="4925"/>
    <cellStyle name="Normal 496 4" xfId="8017"/>
    <cellStyle name="Normal 496 4 2" xfId="15808"/>
    <cellStyle name="Normal 496 4 2 2" xfId="33429"/>
    <cellStyle name="Normal 496 4 3" xfId="26419"/>
    <cellStyle name="Normal 496 5" xfId="11974"/>
    <cellStyle name="Normal 496 5 2" xfId="29643"/>
    <cellStyle name="Normal 496 6" xfId="23558"/>
    <cellStyle name="Normal 496 7" xfId="52469"/>
    <cellStyle name="Normal 497" xfId="2861"/>
    <cellStyle name="Normal 497 2" xfId="4928"/>
    <cellStyle name="Normal 497 2 2" xfId="8699"/>
    <cellStyle name="Normal 497 2 2 2" xfId="16489"/>
    <cellStyle name="Normal 497 2 2 2 2" xfId="34110"/>
    <cellStyle name="Normal 497 2 2 3" xfId="27086"/>
    <cellStyle name="Normal 497 2 3" xfId="12997"/>
    <cellStyle name="Normal 497 2 3 2" xfId="30632"/>
    <cellStyle name="Normal 497 2 4" xfId="24225"/>
    <cellStyle name="Normal 497 3" xfId="4927"/>
    <cellStyle name="Normal 497 4" xfId="8018"/>
    <cellStyle name="Normal 497 4 2" xfId="15809"/>
    <cellStyle name="Normal 497 4 2 2" xfId="33430"/>
    <cellStyle name="Normal 497 4 3" xfId="26420"/>
    <cellStyle name="Normal 497 5" xfId="11975"/>
    <cellStyle name="Normal 497 5 2" xfId="29644"/>
    <cellStyle name="Normal 497 6" xfId="23559"/>
    <cellStyle name="Normal 497 7" xfId="52470"/>
    <cellStyle name="Normal 498" xfId="2862"/>
    <cellStyle name="Normal 498 2" xfId="4930"/>
    <cellStyle name="Normal 498 2 2" xfId="8700"/>
    <cellStyle name="Normal 498 2 2 2" xfId="16490"/>
    <cellStyle name="Normal 498 2 2 2 2" xfId="34111"/>
    <cellStyle name="Normal 498 2 2 3" xfId="27087"/>
    <cellStyle name="Normal 498 2 3" xfId="12998"/>
    <cellStyle name="Normal 498 2 3 2" xfId="30633"/>
    <cellStyle name="Normal 498 2 4" xfId="24226"/>
    <cellStyle name="Normal 498 3" xfId="4929"/>
    <cellStyle name="Normal 498 4" xfId="8019"/>
    <cellStyle name="Normal 498 4 2" xfId="15810"/>
    <cellStyle name="Normal 498 4 2 2" xfId="33431"/>
    <cellStyle name="Normal 498 4 3" xfId="26421"/>
    <cellStyle name="Normal 498 5" xfId="11976"/>
    <cellStyle name="Normal 498 5 2" xfId="29645"/>
    <cellStyle name="Normal 498 6" xfId="23560"/>
    <cellStyle name="Normal 498 7" xfId="52471"/>
    <cellStyle name="Normal 499" xfId="2863"/>
    <cellStyle name="Normal 499 2" xfId="4931"/>
    <cellStyle name="Normal 499 2 2" xfId="8701"/>
    <cellStyle name="Normal 499 2 2 2" xfId="16491"/>
    <cellStyle name="Normal 499 2 2 2 2" xfId="34112"/>
    <cellStyle name="Normal 499 2 2 3" xfId="27088"/>
    <cellStyle name="Normal 499 2 3" xfId="12999"/>
    <cellStyle name="Normal 499 2 3 2" xfId="30634"/>
    <cellStyle name="Normal 499 2 4" xfId="24227"/>
    <cellStyle name="Normal 499 3" xfId="5961"/>
    <cellStyle name="Normal 499 3 2" xfId="9258"/>
    <cellStyle name="Normal 499 3 2 2" xfId="17047"/>
    <cellStyle name="Normal 499 3 2 2 2" xfId="34669"/>
    <cellStyle name="Normal 499 3 2 3" xfId="27632"/>
    <cellStyle name="Normal 499 3 3" xfId="13811"/>
    <cellStyle name="Normal 499 3 3 2" xfId="31437"/>
    <cellStyle name="Normal 499 3 4" xfId="24771"/>
    <cellStyle name="Normal 499 4" xfId="6591"/>
    <cellStyle name="Normal 499 4 2" xfId="9798"/>
    <cellStyle name="Normal 499 4 2 2" xfId="17586"/>
    <cellStyle name="Normal 499 4 2 2 2" xfId="35209"/>
    <cellStyle name="Normal 499 4 2 3" xfId="28168"/>
    <cellStyle name="Normal 499 4 3" xfId="14374"/>
    <cellStyle name="Normal 499 4 3 2" xfId="31995"/>
    <cellStyle name="Normal 499 4 4" xfId="25307"/>
    <cellStyle name="Normal 499 5" xfId="7366"/>
    <cellStyle name="Normal 499 5 2" xfId="10351"/>
    <cellStyle name="Normal 499 5 2 2" xfId="18138"/>
    <cellStyle name="Normal 499 5 2 2 2" xfId="35761"/>
    <cellStyle name="Normal 499 5 2 3" xfId="28704"/>
    <cellStyle name="Normal 499 5 3" xfId="15148"/>
    <cellStyle name="Normal 499 5 3 2" xfId="32769"/>
    <cellStyle name="Normal 499 5 4" xfId="25844"/>
    <cellStyle name="Normal 499 6" xfId="8020"/>
    <cellStyle name="Normal 499 6 2" xfId="15811"/>
    <cellStyle name="Normal 499 6 2 2" xfId="33432"/>
    <cellStyle name="Normal 499 6 3" xfId="26422"/>
    <cellStyle name="Normal 499 7" xfId="11977"/>
    <cellStyle name="Normal 499 7 2" xfId="29646"/>
    <cellStyle name="Normal 499 8" xfId="23561"/>
    <cellStyle name="Normal 499 9" xfId="52472"/>
    <cellStyle name="Normal 5" xfId="127"/>
    <cellStyle name="Normal 5 10" xfId="2865"/>
    <cellStyle name="Normal 5 10 2" xfId="4932"/>
    <cellStyle name="Normal 5 10 3" xfId="52473"/>
    <cellStyle name="Normal 5 11" xfId="2866"/>
    <cellStyle name="Normal 5 11 2" xfId="4933"/>
    <cellStyle name="Normal 5 11 3" xfId="52474"/>
    <cellStyle name="Normal 5 12" xfId="2867"/>
    <cellStyle name="Normal 5 13" xfId="2868"/>
    <cellStyle name="Normal 5 14" xfId="4934"/>
    <cellStyle name="Normal 5 15" xfId="4935"/>
    <cellStyle name="Normal 5 16" xfId="2864"/>
    <cellStyle name="Normal 5 2" xfId="128"/>
    <cellStyle name="Normal 5 2 2" xfId="2870"/>
    <cellStyle name="Normal 5 2 2 2" xfId="22991"/>
    <cellStyle name="Normal 5 2 2 3" xfId="22692"/>
    <cellStyle name="Normal 5 2 3" xfId="2869"/>
    <cellStyle name="Normal 5 2_Sheet1" xfId="2871"/>
    <cellStyle name="Normal 5 3" xfId="2872"/>
    <cellStyle name="Normal 5 4" xfId="2873"/>
    <cellStyle name="Normal 5 4 2" xfId="2874"/>
    <cellStyle name="Normal 5 4 2 2" xfId="4937"/>
    <cellStyle name="Normal 5 4 2 3" xfId="52476"/>
    <cellStyle name="Normal 5 4 3" xfId="4936"/>
    <cellStyle name="Normal 5 4 4" xfId="52475"/>
    <cellStyle name="Normal 5 5" xfId="2875"/>
    <cellStyle name="Normal 5 5 2" xfId="4938"/>
    <cellStyle name="Normal 5 5 3" xfId="52477"/>
    <cellStyle name="Normal 5 6" xfId="2876"/>
    <cellStyle name="Normal 5 6 2" xfId="4939"/>
    <cellStyle name="Normal 5 6 3" xfId="52478"/>
    <cellStyle name="Normal 5 7" xfId="2877"/>
    <cellStyle name="Normal 5 7 2" xfId="4940"/>
    <cellStyle name="Normal 5 7 3" xfId="52479"/>
    <cellStyle name="Normal 5 8" xfId="2878"/>
    <cellStyle name="Normal 5 8 2" xfId="4941"/>
    <cellStyle name="Normal 5 8 3" xfId="52480"/>
    <cellStyle name="Normal 5 9" xfId="2879"/>
    <cellStyle name="Normal 5 9 2" xfId="4942"/>
    <cellStyle name="Normal 5 9 3" xfId="52481"/>
    <cellStyle name="Normal 5_Sheet1" xfId="2880"/>
    <cellStyle name="Normal 50" xfId="2881"/>
    <cellStyle name="Normal 50 2" xfId="4943"/>
    <cellStyle name="Normal 50 3" xfId="52482"/>
    <cellStyle name="Normal 500" xfId="2882"/>
    <cellStyle name="Normal 500 2" xfId="4944"/>
    <cellStyle name="Normal 500 2 2" xfId="8702"/>
    <cellStyle name="Normal 500 2 2 2" xfId="16492"/>
    <cellStyle name="Normal 500 2 2 2 2" xfId="34113"/>
    <cellStyle name="Normal 500 2 2 3" xfId="27089"/>
    <cellStyle name="Normal 500 2 3" xfId="13000"/>
    <cellStyle name="Normal 500 2 3 2" xfId="30635"/>
    <cellStyle name="Normal 500 2 4" xfId="24228"/>
    <cellStyle name="Normal 500 3" xfId="5962"/>
    <cellStyle name="Normal 500 3 2" xfId="9259"/>
    <cellStyle name="Normal 500 3 2 2" xfId="17048"/>
    <cellStyle name="Normal 500 3 2 2 2" xfId="34670"/>
    <cellStyle name="Normal 500 3 2 3" xfId="27633"/>
    <cellStyle name="Normal 500 3 3" xfId="13812"/>
    <cellStyle name="Normal 500 3 3 2" xfId="31438"/>
    <cellStyle name="Normal 500 3 4" xfId="24772"/>
    <cellStyle name="Normal 500 4" xfId="6592"/>
    <cellStyle name="Normal 500 4 2" xfId="9799"/>
    <cellStyle name="Normal 500 4 2 2" xfId="17587"/>
    <cellStyle name="Normal 500 4 2 2 2" xfId="35210"/>
    <cellStyle name="Normal 500 4 2 3" xfId="28169"/>
    <cellStyle name="Normal 500 4 3" xfId="14375"/>
    <cellStyle name="Normal 500 4 3 2" xfId="31996"/>
    <cellStyle name="Normal 500 4 4" xfId="25308"/>
    <cellStyle name="Normal 500 5" xfId="7367"/>
    <cellStyle name="Normal 500 5 2" xfId="10352"/>
    <cellStyle name="Normal 500 5 2 2" xfId="18139"/>
    <cellStyle name="Normal 500 5 2 2 2" xfId="35762"/>
    <cellStyle name="Normal 500 5 2 3" xfId="28705"/>
    <cellStyle name="Normal 500 5 3" xfId="15149"/>
    <cellStyle name="Normal 500 5 3 2" xfId="32770"/>
    <cellStyle name="Normal 500 5 4" xfId="25845"/>
    <cellStyle name="Normal 500 6" xfId="8021"/>
    <cellStyle name="Normal 500 6 2" xfId="15812"/>
    <cellStyle name="Normal 500 6 2 2" xfId="33433"/>
    <cellStyle name="Normal 500 6 3" xfId="26423"/>
    <cellStyle name="Normal 500 7" xfId="11979"/>
    <cellStyle name="Normal 500 7 2" xfId="29647"/>
    <cellStyle name="Normal 500 8" xfId="23562"/>
    <cellStyle name="Normal 500 9" xfId="52483"/>
    <cellStyle name="Normal 501" xfId="2883"/>
    <cellStyle name="Normal 501 2" xfId="4945"/>
    <cellStyle name="Normal 501 2 2" xfId="8703"/>
    <cellStyle name="Normal 501 2 2 2" xfId="16493"/>
    <cellStyle name="Normal 501 2 2 2 2" xfId="34114"/>
    <cellStyle name="Normal 501 2 2 3" xfId="27090"/>
    <cellStyle name="Normal 501 2 3" xfId="13001"/>
    <cellStyle name="Normal 501 2 3 2" xfId="30636"/>
    <cellStyle name="Normal 501 2 4" xfId="24229"/>
    <cellStyle name="Normal 501 3" xfId="5963"/>
    <cellStyle name="Normal 501 3 2" xfId="9260"/>
    <cellStyle name="Normal 501 3 2 2" xfId="17049"/>
    <cellStyle name="Normal 501 3 2 2 2" xfId="34671"/>
    <cellStyle name="Normal 501 3 2 3" xfId="27634"/>
    <cellStyle name="Normal 501 3 3" xfId="13813"/>
    <cellStyle name="Normal 501 3 3 2" xfId="31439"/>
    <cellStyle name="Normal 501 3 4" xfId="24773"/>
    <cellStyle name="Normal 501 4" xfId="6593"/>
    <cellStyle name="Normal 501 4 2" xfId="9800"/>
    <cellStyle name="Normal 501 4 2 2" xfId="17588"/>
    <cellStyle name="Normal 501 4 2 2 2" xfId="35211"/>
    <cellStyle name="Normal 501 4 2 3" xfId="28170"/>
    <cellStyle name="Normal 501 4 3" xfId="14376"/>
    <cellStyle name="Normal 501 4 3 2" xfId="31997"/>
    <cellStyle name="Normal 501 4 4" xfId="25309"/>
    <cellStyle name="Normal 501 5" xfId="7368"/>
    <cellStyle name="Normal 501 5 2" xfId="10353"/>
    <cellStyle name="Normal 501 5 2 2" xfId="18140"/>
    <cellStyle name="Normal 501 5 2 2 2" xfId="35763"/>
    <cellStyle name="Normal 501 5 2 3" xfId="28706"/>
    <cellStyle name="Normal 501 5 3" xfId="15150"/>
    <cellStyle name="Normal 501 5 3 2" xfId="32771"/>
    <cellStyle name="Normal 501 5 4" xfId="25846"/>
    <cellStyle name="Normal 501 6" xfId="8022"/>
    <cellStyle name="Normal 501 6 2" xfId="15813"/>
    <cellStyle name="Normal 501 6 2 2" xfId="33434"/>
    <cellStyle name="Normal 501 6 3" xfId="26424"/>
    <cellStyle name="Normal 501 7" xfId="11980"/>
    <cellStyle name="Normal 501 7 2" xfId="29648"/>
    <cellStyle name="Normal 501 8" xfId="23563"/>
    <cellStyle name="Normal 501 9" xfId="52484"/>
    <cellStyle name="Normal 502" xfId="2884"/>
    <cellStyle name="Normal 502 2" xfId="4946"/>
    <cellStyle name="Normal 502 2 2" xfId="8704"/>
    <cellStyle name="Normal 502 2 2 2" xfId="16494"/>
    <cellStyle name="Normal 502 2 2 2 2" xfId="34115"/>
    <cellStyle name="Normal 502 2 2 3" xfId="27091"/>
    <cellStyle name="Normal 502 2 3" xfId="13002"/>
    <cellStyle name="Normal 502 2 3 2" xfId="30637"/>
    <cellStyle name="Normal 502 2 4" xfId="24230"/>
    <cellStyle name="Normal 502 3" xfId="5964"/>
    <cellStyle name="Normal 502 3 2" xfId="9261"/>
    <cellStyle name="Normal 502 3 2 2" xfId="17050"/>
    <cellStyle name="Normal 502 3 2 2 2" xfId="34672"/>
    <cellStyle name="Normal 502 3 2 3" xfId="27635"/>
    <cellStyle name="Normal 502 3 3" xfId="13814"/>
    <cellStyle name="Normal 502 3 3 2" xfId="31440"/>
    <cellStyle name="Normal 502 3 4" xfId="24774"/>
    <cellStyle name="Normal 502 4" xfId="6594"/>
    <cellStyle name="Normal 502 4 2" xfId="9801"/>
    <cellStyle name="Normal 502 4 2 2" xfId="17589"/>
    <cellStyle name="Normal 502 4 2 2 2" xfId="35212"/>
    <cellStyle name="Normal 502 4 2 3" xfId="28171"/>
    <cellStyle name="Normal 502 4 3" xfId="14377"/>
    <cellStyle name="Normal 502 4 3 2" xfId="31998"/>
    <cellStyle name="Normal 502 4 4" xfId="25310"/>
    <cellStyle name="Normal 502 5" xfId="7369"/>
    <cellStyle name="Normal 502 5 2" xfId="10354"/>
    <cellStyle name="Normal 502 5 2 2" xfId="18141"/>
    <cellStyle name="Normal 502 5 2 2 2" xfId="35764"/>
    <cellStyle name="Normal 502 5 2 3" xfId="28707"/>
    <cellStyle name="Normal 502 5 3" xfId="15151"/>
    <cellStyle name="Normal 502 5 3 2" xfId="32772"/>
    <cellStyle name="Normal 502 5 4" xfId="25847"/>
    <cellStyle name="Normal 502 6" xfId="8023"/>
    <cellStyle name="Normal 502 6 2" xfId="15814"/>
    <cellStyle name="Normal 502 6 2 2" xfId="33435"/>
    <cellStyle name="Normal 502 6 3" xfId="26425"/>
    <cellStyle name="Normal 502 7" xfId="11981"/>
    <cellStyle name="Normal 502 7 2" xfId="29649"/>
    <cellStyle name="Normal 502 8" xfId="23564"/>
    <cellStyle name="Normal 502 9" xfId="52485"/>
    <cellStyle name="Normal 503" xfId="2885"/>
    <cellStyle name="Normal 503 2" xfId="4947"/>
    <cellStyle name="Normal 503 2 2" xfId="8705"/>
    <cellStyle name="Normal 503 2 2 2" xfId="16495"/>
    <cellStyle name="Normal 503 2 2 2 2" xfId="34116"/>
    <cellStyle name="Normal 503 2 2 3" xfId="27092"/>
    <cellStyle name="Normal 503 2 3" xfId="13003"/>
    <cellStyle name="Normal 503 2 3 2" xfId="30638"/>
    <cellStyle name="Normal 503 2 4" xfId="24231"/>
    <cellStyle name="Normal 503 3" xfId="5965"/>
    <cellStyle name="Normal 503 3 2" xfId="9262"/>
    <cellStyle name="Normal 503 3 2 2" xfId="17051"/>
    <cellStyle name="Normal 503 3 2 2 2" xfId="34673"/>
    <cellStyle name="Normal 503 3 2 3" xfId="27636"/>
    <cellStyle name="Normal 503 3 3" xfId="13815"/>
    <cellStyle name="Normal 503 3 3 2" xfId="31441"/>
    <cellStyle name="Normal 503 3 4" xfId="24775"/>
    <cellStyle name="Normal 503 4" xfId="6595"/>
    <cellStyle name="Normal 503 4 2" xfId="9802"/>
    <cellStyle name="Normal 503 4 2 2" xfId="17590"/>
    <cellStyle name="Normal 503 4 2 2 2" xfId="35213"/>
    <cellStyle name="Normal 503 4 2 3" xfId="28172"/>
    <cellStyle name="Normal 503 4 3" xfId="14378"/>
    <cellStyle name="Normal 503 4 3 2" xfId="31999"/>
    <cellStyle name="Normal 503 4 4" xfId="25311"/>
    <cellStyle name="Normal 503 5" xfId="7370"/>
    <cellStyle name="Normal 503 5 2" xfId="10355"/>
    <cellStyle name="Normal 503 5 2 2" xfId="18142"/>
    <cellStyle name="Normal 503 5 2 2 2" xfId="35765"/>
    <cellStyle name="Normal 503 5 2 3" xfId="28708"/>
    <cellStyle name="Normal 503 5 3" xfId="15152"/>
    <cellStyle name="Normal 503 5 3 2" xfId="32773"/>
    <cellStyle name="Normal 503 5 4" xfId="25848"/>
    <cellStyle name="Normal 503 6" xfId="8024"/>
    <cellStyle name="Normal 503 6 2" xfId="15815"/>
    <cellStyle name="Normal 503 6 2 2" xfId="33436"/>
    <cellStyle name="Normal 503 6 3" xfId="26426"/>
    <cellStyle name="Normal 503 7" xfId="11982"/>
    <cellStyle name="Normal 503 7 2" xfId="29650"/>
    <cellStyle name="Normal 503 8" xfId="23565"/>
    <cellStyle name="Normal 503 9" xfId="52486"/>
    <cellStyle name="Normal 504" xfId="2886"/>
    <cellStyle name="Normal 504 2" xfId="4948"/>
    <cellStyle name="Normal 504 2 2" xfId="8706"/>
    <cellStyle name="Normal 504 2 2 2" xfId="16496"/>
    <cellStyle name="Normal 504 2 2 2 2" xfId="34117"/>
    <cellStyle name="Normal 504 2 2 3" xfId="27093"/>
    <cellStyle name="Normal 504 2 3" xfId="13004"/>
    <cellStyle name="Normal 504 2 3 2" xfId="30639"/>
    <cellStyle name="Normal 504 2 4" xfId="24232"/>
    <cellStyle name="Normal 504 3" xfId="5966"/>
    <cellStyle name="Normal 504 3 2" xfId="9263"/>
    <cellStyle name="Normal 504 3 2 2" xfId="17052"/>
    <cellStyle name="Normal 504 3 2 2 2" xfId="34674"/>
    <cellStyle name="Normal 504 3 2 3" xfId="27637"/>
    <cellStyle name="Normal 504 3 3" xfId="13816"/>
    <cellStyle name="Normal 504 3 3 2" xfId="31442"/>
    <cellStyle name="Normal 504 3 4" xfId="24776"/>
    <cellStyle name="Normal 504 4" xfId="6596"/>
    <cellStyle name="Normal 504 4 2" xfId="9803"/>
    <cellStyle name="Normal 504 4 2 2" xfId="17591"/>
    <cellStyle name="Normal 504 4 2 2 2" xfId="35214"/>
    <cellStyle name="Normal 504 4 2 3" xfId="28173"/>
    <cellStyle name="Normal 504 4 3" xfId="14379"/>
    <cellStyle name="Normal 504 4 3 2" xfId="32000"/>
    <cellStyle name="Normal 504 4 4" xfId="25312"/>
    <cellStyle name="Normal 504 5" xfId="7371"/>
    <cellStyle name="Normal 504 5 2" xfId="10356"/>
    <cellStyle name="Normal 504 5 2 2" xfId="18143"/>
    <cellStyle name="Normal 504 5 2 2 2" xfId="35766"/>
    <cellStyle name="Normal 504 5 2 3" xfId="28709"/>
    <cellStyle name="Normal 504 5 3" xfId="15153"/>
    <cellStyle name="Normal 504 5 3 2" xfId="32774"/>
    <cellStyle name="Normal 504 5 4" xfId="25849"/>
    <cellStyle name="Normal 504 6" xfId="8025"/>
    <cellStyle name="Normal 504 6 2" xfId="15816"/>
    <cellStyle name="Normal 504 6 2 2" xfId="33437"/>
    <cellStyle name="Normal 504 6 3" xfId="26427"/>
    <cellStyle name="Normal 504 7" xfId="11983"/>
    <cellStyle name="Normal 504 7 2" xfId="29651"/>
    <cellStyle name="Normal 504 8" xfId="23566"/>
    <cellStyle name="Normal 504 9" xfId="52487"/>
    <cellStyle name="Normal 505" xfId="2887"/>
    <cellStyle name="Normal 505 2" xfId="4949"/>
    <cellStyle name="Normal 505 2 2" xfId="8707"/>
    <cellStyle name="Normal 505 2 2 2" xfId="16497"/>
    <cellStyle name="Normal 505 2 2 2 2" xfId="34118"/>
    <cellStyle name="Normal 505 2 2 3" xfId="27094"/>
    <cellStyle name="Normal 505 2 3" xfId="13005"/>
    <cellStyle name="Normal 505 2 3 2" xfId="30640"/>
    <cellStyle name="Normal 505 2 4" xfId="24233"/>
    <cellStyle name="Normal 505 3" xfId="5967"/>
    <cellStyle name="Normal 505 3 2" xfId="9264"/>
    <cellStyle name="Normal 505 3 2 2" xfId="17053"/>
    <cellStyle name="Normal 505 3 2 2 2" xfId="34675"/>
    <cellStyle name="Normal 505 3 2 3" xfId="27638"/>
    <cellStyle name="Normal 505 3 3" xfId="13817"/>
    <cellStyle name="Normal 505 3 3 2" xfId="31443"/>
    <cellStyle name="Normal 505 3 4" xfId="24777"/>
    <cellStyle name="Normal 505 4" xfId="6597"/>
    <cellStyle name="Normal 505 4 2" xfId="9804"/>
    <cellStyle name="Normal 505 4 2 2" xfId="17592"/>
    <cellStyle name="Normal 505 4 2 2 2" xfId="35215"/>
    <cellStyle name="Normal 505 4 2 3" xfId="28174"/>
    <cellStyle name="Normal 505 4 3" xfId="14380"/>
    <cellStyle name="Normal 505 4 3 2" xfId="32001"/>
    <cellStyle name="Normal 505 4 4" xfId="25313"/>
    <cellStyle name="Normal 505 5" xfId="7372"/>
    <cellStyle name="Normal 505 5 2" xfId="10357"/>
    <cellStyle name="Normal 505 5 2 2" xfId="18144"/>
    <cellStyle name="Normal 505 5 2 2 2" xfId="35767"/>
    <cellStyle name="Normal 505 5 2 3" xfId="28710"/>
    <cellStyle name="Normal 505 5 3" xfId="15154"/>
    <cellStyle name="Normal 505 5 3 2" xfId="32775"/>
    <cellStyle name="Normal 505 5 4" xfId="25850"/>
    <cellStyle name="Normal 505 6" xfId="8026"/>
    <cellStyle name="Normal 505 6 2" xfId="15817"/>
    <cellStyle name="Normal 505 6 2 2" xfId="33438"/>
    <cellStyle name="Normal 505 6 3" xfId="26428"/>
    <cellStyle name="Normal 505 7" xfId="11984"/>
    <cellStyle name="Normal 505 7 2" xfId="29652"/>
    <cellStyle name="Normal 505 8" xfId="23567"/>
    <cellStyle name="Normal 505 9" xfId="52488"/>
    <cellStyle name="Normal 506" xfId="2888"/>
    <cellStyle name="Normal 506 2" xfId="4950"/>
    <cellStyle name="Normal 506 2 2" xfId="8708"/>
    <cellStyle name="Normal 506 2 2 2" xfId="16498"/>
    <cellStyle name="Normal 506 2 2 2 2" xfId="34119"/>
    <cellStyle name="Normal 506 2 2 3" xfId="27095"/>
    <cellStyle name="Normal 506 2 3" xfId="13006"/>
    <cellStyle name="Normal 506 2 3 2" xfId="30641"/>
    <cellStyle name="Normal 506 2 4" xfId="24234"/>
    <cellStyle name="Normal 506 3" xfId="5968"/>
    <cellStyle name="Normal 506 3 2" xfId="9265"/>
    <cellStyle name="Normal 506 3 2 2" xfId="17054"/>
    <cellStyle name="Normal 506 3 2 2 2" xfId="34676"/>
    <cellStyle name="Normal 506 3 2 3" xfId="27639"/>
    <cellStyle name="Normal 506 3 3" xfId="13818"/>
    <cellStyle name="Normal 506 3 3 2" xfId="31444"/>
    <cellStyle name="Normal 506 3 4" xfId="24778"/>
    <cellStyle name="Normal 506 4" xfId="6598"/>
    <cellStyle name="Normal 506 4 2" xfId="9805"/>
    <cellStyle name="Normal 506 4 2 2" xfId="17593"/>
    <cellStyle name="Normal 506 4 2 2 2" xfId="35216"/>
    <cellStyle name="Normal 506 4 2 3" xfId="28175"/>
    <cellStyle name="Normal 506 4 3" xfId="14381"/>
    <cellStyle name="Normal 506 4 3 2" xfId="32002"/>
    <cellStyle name="Normal 506 4 4" xfId="25314"/>
    <cellStyle name="Normal 506 5" xfId="7373"/>
    <cellStyle name="Normal 506 5 2" xfId="10358"/>
    <cellStyle name="Normal 506 5 2 2" xfId="18145"/>
    <cellStyle name="Normal 506 5 2 2 2" xfId="35768"/>
    <cellStyle name="Normal 506 5 2 3" xfId="28711"/>
    <cellStyle name="Normal 506 5 3" xfId="15155"/>
    <cellStyle name="Normal 506 5 3 2" xfId="32776"/>
    <cellStyle name="Normal 506 5 4" xfId="25851"/>
    <cellStyle name="Normal 506 6" xfId="8027"/>
    <cellStyle name="Normal 506 6 2" xfId="15818"/>
    <cellStyle name="Normal 506 6 2 2" xfId="33439"/>
    <cellStyle name="Normal 506 6 3" xfId="26429"/>
    <cellStyle name="Normal 506 7" xfId="11985"/>
    <cellStyle name="Normal 506 7 2" xfId="29653"/>
    <cellStyle name="Normal 506 8" xfId="23568"/>
    <cellStyle name="Normal 506 9" xfId="52489"/>
    <cellStyle name="Normal 507" xfId="2889"/>
    <cellStyle name="Normal 507 2" xfId="4951"/>
    <cellStyle name="Normal 507 2 2" xfId="8709"/>
    <cellStyle name="Normal 507 2 2 2" xfId="16499"/>
    <cellStyle name="Normal 507 2 2 2 2" xfId="34120"/>
    <cellStyle name="Normal 507 2 2 3" xfId="27096"/>
    <cellStyle name="Normal 507 2 3" xfId="13007"/>
    <cellStyle name="Normal 507 2 3 2" xfId="30642"/>
    <cellStyle name="Normal 507 2 4" xfId="24235"/>
    <cellStyle name="Normal 507 3" xfId="5969"/>
    <cellStyle name="Normal 507 3 2" xfId="9266"/>
    <cellStyle name="Normal 507 3 2 2" xfId="17055"/>
    <cellStyle name="Normal 507 3 2 2 2" xfId="34677"/>
    <cellStyle name="Normal 507 3 2 3" xfId="27640"/>
    <cellStyle name="Normal 507 3 3" xfId="13819"/>
    <cellStyle name="Normal 507 3 3 2" xfId="31445"/>
    <cellStyle name="Normal 507 3 4" xfId="24779"/>
    <cellStyle name="Normal 507 4" xfId="6599"/>
    <cellStyle name="Normal 507 4 2" xfId="9806"/>
    <cellStyle name="Normal 507 4 2 2" xfId="17594"/>
    <cellStyle name="Normal 507 4 2 2 2" xfId="35217"/>
    <cellStyle name="Normal 507 4 2 3" xfId="28176"/>
    <cellStyle name="Normal 507 4 3" xfId="14382"/>
    <cellStyle name="Normal 507 4 3 2" xfId="32003"/>
    <cellStyle name="Normal 507 4 4" xfId="25315"/>
    <cellStyle name="Normal 507 5" xfId="7374"/>
    <cellStyle name="Normal 507 5 2" xfId="10359"/>
    <cellStyle name="Normal 507 5 2 2" xfId="18146"/>
    <cellStyle name="Normal 507 5 2 2 2" xfId="35769"/>
    <cellStyle name="Normal 507 5 2 3" xfId="28712"/>
    <cellStyle name="Normal 507 5 3" xfId="15156"/>
    <cellStyle name="Normal 507 5 3 2" xfId="32777"/>
    <cellStyle name="Normal 507 5 4" xfId="25852"/>
    <cellStyle name="Normal 507 6" xfId="8028"/>
    <cellStyle name="Normal 507 6 2" xfId="15819"/>
    <cellStyle name="Normal 507 6 2 2" xfId="33440"/>
    <cellStyle name="Normal 507 6 3" xfId="26430"/>
    <cellStyle name="Normal 507 7" xfId="11986"/>
    <cellStyle name="Normal 507 7 2" xfId="29654"/>
    <cellStyle name="Normal 507 8" xfId="23569"/>
    <cellStyle name="Normal 507 9" xfId="52490"/>
    <cellStyle name="Normal 508" xfId="2890"/>
    <cellStyle name="Normal 508 2" xfId="4952"/>
    <cellStyle name="Normal 508 2 2" xfId="8710"/>
    <cellStyle name="Normal 508 2 2 2" xfId="16500"/>
    <cellStyle name="Normal 508 2 2 2 2" xfId="34121"/>
    <cellStyle name="Normal 508 2 2 3" xfId="27097"/>
    <cellStyle name="Normal 508 2 3" xfId="13008"/>
    <cellStyle name="Normal 508 2 3 2" xfId="30643"/>
    <cellStyle name="Normal 508 2 4" xfId="24236"/>
    <cellStyle name="Normal 508 3" xfId="5970"/>
    <cellStyle name="Normal 508 3 2" xfId="9267"/>
    <cellStyle name="Normal 508 3 2 2" xfId="17056"/>
    <cellStyle name="Normal 508 3 2 2 2" xfId="34678"/>
    <cellStyle name="Normal 508 3 2 3" xfId="27641"/>
    <cellStyle name="Normal 508 3 3" xfId="13820"/>
    <cellStyle name="Normal 508 3 3 2" xfId="31446"/>
    <cellStyle name="Normal 508 3 4" xfId="24780"/>
    <cellStyle name="Normal 508 4" xfId="6600"/>
    <cellStyle name="Normal 508 4 2" xfId="9807"/>
    <cellStyle name="Normal 508 4 2 2" xfId="17595"/>
    <cellStyle name="Normal 508 4 2 2 2" xfId="35218"/>
    <cellStyle name="Normal 508 4 2 3" xfId="28177"/>
    <cellStyle name="Normal 508 4 3" xfId="14383"/>
    <cellStyle name="Normal 508 4 3 2" xfId="32004"/>
    <cellStyle name="Normal 508 4 4" xfId="25316"/>
    <cellStyle name="Normal 508 5" xfId="7375"/>
    <cellStyle name="Normal 508 5 2" xfId="10360"/>
    <cellStyle name="Normal 508 5 2 2" xfId="18147"/>
    <cellStyle name="Normal 508 5 2 2 2" xfId="35770"/>
    <cellStyle name="Normal 508 5 2 3" xfId="28713"/>
    <cellStyle name="Normal 508 5 3" xfId="15157"/>
    <cellStyle name="Normal 508 5 3 2" xfId="32778"/>
    <cellStyle name="Normal 508 5 4" xfId="25853"/>
    <cellStyle name="Normal 508 6" xfId="8029"/>
    <cellStyle name="Normal 508 6 2" xfId="15820"/>
    <cellStyle name="Normal 508 6 2 2" xfId="33441"/>
    <cellStyle name="Normal 508 6 3" xfId="26431"/>
    <cellStyle name="Normal 508 7" xfId="11987"/>
    <cellStyle name="Normal 508 7 2" xfId="29655"/>
    <cellStyle name="Normal 508 8" xfId="23570"/>
    <cellStyle name="Normal 508 9" xfId="52491"/>
    <cellStyle name="Normal 509" xfId="2891"/>
    <cellStyle name="Normal 509 2" xfId="4953"/>
    <cellStyle name="Normal 509 2 2" xfId="8711"/>
    <cellStyle name="Normal 509 2 2 2" xfId="16501"/>
    <cellStyle name="Normal 509 2 2 2 2" xfId="34122"/>
    <cellStyle name="Normal 509 2 2 3" xfId="27098"/>
    <cellStyle name="Normal 509 2 3" xfId="13009"/>
    <cellStyle name="Normal 509 2 3 2" xfId="30644"/>
    <cellStyle name="Normal 509 2 4" xfId="24237"/>
    <cellStyle name="Normal 509 3" xfId="5971"/>
    <cellStyle name="Normal 509 3 2" xfId="9268"/>
    <cellStyle name="Normal 509 3 2 2" xfId="17057"/>
    <cellStyle name="Normal 509 3 2 2 2" xfId="34679"/>
    <cellStyle name="Normal 509 3 2 3" xfId="27642"/>
    <cellStyle name="Normal 509 3 3" xfId="13821"/>
    <cellStyle name="Normal 509 3 3 2" xfId="31447"/>
    <cellStyle name="Normal 509 3 4" xfId="24781"/>
    <cellStyle name="Normal 509 4" xfId="6601"/>
    <cellStyle name="Normal 509 4 2" xfId="9808"/>
    <cellStyle name="Normal 509 4 2 2" xfId="17596"/>
    <cellStyle name="Normal 509 4 2 2 2" xfId="35219"/>
    <cellStyle name="Normal 509 4 2 3" xfId="28178"/>
    <cellStyle name="Normal 509 4 3" xfId="14384"/>
    <cellStyle name="Normal 509 4 3 2" xfId="32005"/>
    <cellStyle name="Normal 509 4 4" xfId="25317"/>
    <cellStyle name="Normal 509 5" xfId="7376"/>
    <cellStyle name="Normal 509 5 2" xfId="10361"/>
    <cellStyle name="Normal 509 5 2 2" xfId="18148"/>
    <cellStyle name="Normal 509 5 2 2 2" xfId="35771"/>
    <cellStyle name="Normal 509 5 2 3" xfId="28714"/>
    <cellStyle name="Normal 509 5 3" xfId="15158"/>
    <cellStyle name="Normal 509 5 3 2" xfId="32779"/>
    <cellStyle name="Normal 509 5 4" xfId="25854"/>
    <cellStyle name="Normal 509 6" xfId="8030"/>
    <cellStyle name="Normal 509 6 2" xfId="15821"/>
    <cellStyle name="Normal 509 6 2 2" xfId="33442"/>
    <cellStyle name="Normal 509 6 3" xfId="26432"/>
    <cellStyle name="Normal 509 7" xfId="11988"/>
    <cellStyle name="Normal 509 7 2" xfId="29656"/>
    <cellStyle name="Normal 509 8" xfId="23571"/>
    <cellStyle name="Normal 509 9" xfId="52492"/>
    <cellStyle name="Normal 51" xfId="2892"/>
    <cellStyle name="Normal 51 2" xfId="4954"/>
    <cellStyle name="Normal 51 3" xfId="52493"/>
    <cellStyle name="Normal 510" xfId="2893"/>
    <cellStyle name="Normal 510 2" xfId="4955"/>
    <cellStyle name="Normal 510 2 2" xfId="8712"/>
    <cellStyle name="Normal 510 2 2 2" xfId="16502"/>
    <cellStyle name="Normal 510 2 2 2 2" xfId="34123"/>
    <cellStyle name="Normal 510 2 2 3" xfId="27099"/>
    <cellStyle name="Normal 510 2 3" xfId="13010"/>
    <cellStyle name="Normal 510 2 3 2" xfId="30645"/>
    <cellStyle name="Normal 510 2 4" xfId="24238"/>
    <cellStyle name="Normal 510 3" xfId="5972"/>
    <cellStyle name="Normal 510 3 2" xfId="9269"/>
    <cellStyle name="Normal 510 3 2 2" xfId="17058"/>
    <cellStyle name="Normal 510 3 2 2 2" xfId="34680"/>
    <cellStyle name="Normal 510 3 2 3" xfId="27643"/>
    <cellStyle name="Normal 510 3 3" xfId="13822"/>
    <cellStyle name="Normal 510 3 3 2" xfId="31448"/>
    <cellStyle name="Normal 510 3 4" xfId="24782"/>
    <cellStyle name="Normal 510 4" xfId="6602"/>
    <cellStyle name="Normal 510 4 2" xfId="9809"/>
    <cellStyle name="Normal 510 4 2 2" xfId="17597"/>
    <cellStyle name="Normal 510 4 2 2 2" xfId="35220"/>
    <cellStyle name="Normal 510 4 2 3" xfId="28179"/>
    <cellStyle name="Normal 510 4 3" xfId="14385"/>
    <cellStyle name="Normal 510 4 3 2" xfId="32006"/>
    <cellStyle name="Normal 510 4 4" xfId="25318"/>
    <cellStyle name="Normal 510 5" xfId="7377"/>
    <cellStyle name="Normal 510 5 2" xfId="10362"/>
    <cellStyle name="Normal 510 5 2 2" xfId="18149"/>
    <cellStyle name="Normal 510 5 2 2 2" xfId="35772"/>
    <cellStyle name="Normal 510 5 2 3" xfId="28715"/>
    <cellStyle name="Normal 510 5 3" xfId="15159"/>
    <cellStyle name="Normal 510 5 3 2" xfId="32780"/>
    <cellStyle name="Normal 510 5 4" xfId="25855"/>
    <cellStyle name="Normal 510 6" xfId="8031"/>
    <cellStyle name="Normal 510 6 2" xfId="15822"/>
    <cellStyle name="Normal 510 6 2 2" xfId="33443"/>
    <cellStyle name="Normal 510 6 3" xfId="26433"/>
    <cellStyle name="Normal 510 7" xfId="11989"/>
    <cellStyle name="Normal 510 7 2" xfId="29657"/>
    <cellStyle name="Normal 510 8" xfId="23572"/>
    <cellStyle name="Normal 510 9" xfId="52494"/>
    <cellStyle name="Normal 511" xfId="2894"/>
    <cellStyle name="Normal 511 2" xfId="4956"/>
    <cellStyle name="Normal 511 2 2" xfId="8713"/>
    <cellStyle name="Normal 511 2 2 2" xfId="16503"/>
    <cellStyle name="Normal 511 2 2 2 2" xfId="34124"/>
    <cellStyle name="Normal 511 2 2 3" xfId="27100"/>
    <cellStyle name="Normal 511 2 3" xfId="13011"/>
    <cellStyle name="Normal 511 2 3 2" xfId="30646"/>
    <cellStyle name="Normal 511 2 4" xfId="24239"/>
    <cellStyle name="Normal 511 3" xfId="5973"/>
    <cellStyle name="Normal 511 3 2" xfId="9270"/>
    <cellStyle name="Normal 511 3 2 2" xfId="17059"/>
    <cellStyle name="Normal 511 3 2 2 2" xfId="34681"/>
    <cellStyle name="Normal 511 3 2 3" xfId="27644"/>
    <cellStyle name="Normal 511 3 3" xfId="13823"/>
    <cellStyle name="Normal 511 3 3 2" xfId="31449"/>
    <cellStyle name="Normal 511 3 4" xfId="24783"/>
    <cellStyle name="Normal 511 4" xfId="6603"/>
    <cellStyle name="Normal 511 4 2" xfId="9810"/>
    <cellStyle name="Normal 511 4 2 2" xfId="17598"/>
    <cellStyle name="Normal 511 4 2 2 2" xfId="35221"/>
    <cellStyle name="Normal 511 4 2 3" xfId="28180"/>
    <cellStyle name="Normal 511 4 3" xfId="14386"/>
    <cellStyle name="Normal 511 4 3 2" xfId="32007"/>
    <cellStyle name="Normal 511 4 4" xfId="25319"/>
    <cellStyle name="Normal 511 5" xfId="7378"/>
    <cellStyle name="Normal 511 5 2" xfId="10363"/>
    <cellStyle name="Normal 511 5 2 2" xfId="18150"/>
    <cellStyle name="Normal 511 5 2 2 2" xfId="35773"/>
    <cellStyle name="Normal 511 5 2 3" xfId="28716"/>
    <cellStyle name="Normal 511 5 3" xfId="15160"/>
    <cellStyle name="Normal 511 5 3 2" xfId="32781"/>
    <cellStyle name="Normal 511 5 4" xfId="25856"/>
    <cellStyle name="Normal 511 6" xfId="8032"/>
    <cellStyle name="Normal 511 6 2" xfId="15823"/>
    <cellStyle name="Normal 511 6 2 2" xfId="33444"/>
    <cellStyle name="Normal 511 6 3" xfId="26434"/>
    <cellStyle name="Normal 511 7" xfId="11990"/>
    <cellStyle name="Normal 511 7 2" xfId="29658"/>
    <cellStyle name="Normal 511 8" xfId="23573"/>
    <cellStyle name="Normal 511 9" xfId="52495"/>
    <cellStyle name="Normal 512" xfId="2895"/>
    <cellStyle name="Normal 512 2" xfId="4957"/>
    <cellStyle name="Normal 512 2 2" xfId="8714"/>
    <cellStyle name="Normal 512 2 2 2" xfId="16504"/>
    <cellStyle name="Normal 512 2 2 2 2" xfId="34125"/>
    <cellStyle name="Normal 512 2 2 3" xfId="27101"/>
    <cellStyle name="Normal 512 2 3" xfId="13012"/>
    <cellStyle name="Normal 512 2 3 2" xfId="30647"/>
    <cellStyle name="Normal 512 2 4" xfId="24240"/>
    <cellStyle name="Normal 512 3" xfId="5974"/>
    <cellStyle name="Normal 512 3 2" xfId="9271"/>
    <cellStyle name="Normal 512 3 2 2" xfId="17060"/>
    <cellStyle name="Normal 512 3 2 2 2" xfId="34682"/>
    <cellStyle name="Normal 512 3 2 3" xfId="27645"/>
    <cellStyle name="Normal 512 3 3" xfId="13824"/>
    <cellStyle name="Normal 512 3 3 2" xfId="31450"/>
    <cellStyle name="Normal 512 3 4" xfId="24784"/>
    <cellStyle name="Normal 512 4" xfId="6604"/>
    <cellStyle name="Normal 512 4 2" xfId="9811"/>
    <cellStyle name="Normal 512 4 2 2" xfId="17599"/>
    <cellStyle name="Normal 512 4 2 2 2" xfId="35222"/>
    <cellStyle name="Normal 512 4 2 3" xfId="28181"/>
    <cellStyle name="Normal 512 4 3" xfId="14387"/>
    <cellStyle name="Normal 512 4 3 2" xfId="32008"/>
    <cellStyle name="Normal 512 4 4" xfId="25320"/>
    <cellStyle name="Normal 512 5" xfId="7379"/>
    <cellStyle name="Normal 512 5 2" xfId="10364"/>
    <cellStyle name="Normal 512 5 2 2" xfId="18151"/>
    <cellStyle name="Normal 512 5 2 2 2" xfId="35774"/>
    <cellStyle name="Normal 512 5 2 3" xfId="28717"/>
    <cellStyle name="Normal 512 5 3" xfId="15161"/>
    <cellStyle name="Normal 512 5 3 2" xfId="32782"/>
    <cellStyle name="Normal 512 5 4" xfId="25857"/>
    <cellStyle name="Normal 512 6" xfId="8033"/>
    <cellStyle name="Normal 512 6 2" xfId="15824"/>
    <cellStyle name="Normal 512 6 2 2" xfId="33445"/>
    <cellStyle name="Normal 512 6 3" xfId="26435"/>
    <cellStyle name="Normal 512 7" xfId="11991"/>
    <cellStyle name="Normal 512 7 2" xfId="29659"/>
    <cellStyle name="Normal 512 8" xfId="23574"/>
    <cellStyle name="Normal 512 9" xfId="52496"/>
    <cellStyle name="Normal 513" xfId="2896"/>
    <cellStyle name="Normal 513 2" xfId="4958"/>
    <cellStyle name="Normal 513 2 2" xfId="8715"/>
    <cellStyle name="Normal 513 2 2 2" xfId="16505"/>
    <cellStyle name="Normal 513 2 2 2 2" xfId="34126"/>
    <cellStyle name="Normal 513 2 2 3" xfId="27102"/>
    <cellStyle name="Normal 513 2 3" xfId="13013"/>
    <cellStyle name="Normal 513 2 3 2" xfId="30648"/>
    <cellStyle name="Normal 513 2 4" xfId="24241"/>
    <cellStyle name="Normal 513 3" xfId="5975"/>
    <cellStyle name="Normal 513 3 2" xfId="9272"/>
    <cellStyle name="Normal 513 3 2 2" xfId="17061"/>
    <cellStyle name="Normal 513 3 2 2 2" xfId="34683"/>
    <cellStyle name="Normal 513 3 2 3" xfId="27646"/>
    <cellStyle name="Normal 513 3 3" xfId="13825"/>
    <cellStyle name="Normal 513 3 3 2" xfId="31451"/>
    <cellStyle name="Normal 513 3 4" xfId="24785"/>
    <cellStyle name="Normal 513 4" xfId="6605"/>
    <cellStyle name="Normal 513 4 2" xfId="9812"/>
    <cellStyle name="Normal 513 4 2 2" xfId="17600"/>
    <cellStyle name="Normal 513 4 2 2 2" xfId="35223"/>
    <cellStyle name="Normal 513 4 2 3" xfId="28182"/>
    <cellStyle name="Normal 513 4 3" xfId="14388"/>
    <cellStyle name="Normal 513 4 3 2" xfId="32009"/>
    <cellStyle name="Normal 513 4 4" xfId="25321"/>
    <cellStyle name="Normal 513 5" xfId="7380"/>
    <cellStyle name="Normal 513 5 2" xfId="10365"/>
    <cellStyle name="Normal 513 5 2 2" xfId="18152"/>
    <cellStyle name="Normal 513 5 2 2 2" xfId="35775"/>
    <cellStyle name="Normal 513 5 2 3" xfId="28718"/>
    <cellStyle name="Normal 513 5 3" xfId="15162"/>
    <cellStyle name="Normal 513 5 3 2" xfId="32783"/>
    <cellStyle name="Normal 513 5 4" xfId="25858"/>
    <cellStyle name="Normal 513 6" xfId="8034"/>
    <cellStyle name="Normal 513 6 2" xfId="15825"/>
    <cellStyle name="Normal 513 6 2 2" xfId="33446"/>
    <cellStyle name="Normal 513 6 3" xfId="26436"/>
    <cellStyle name="Normal 513 7" xfId="11992"/>
    <cellStyle name="Normal 513 7 2" xfId="29660"/>
    <cellStyle name="Normal 513 8" xfId="23575"/>
    <cellStyle name="Normal 513 9" xfId="52497"/>
    <cellStyle name="Normal 514" xfId="2897"/>
    <cellStyle name="Normal 514 2" xfId="4959"/>
    <cellStyle name="Normal 514 2 2" xfId="8716"/>
    <cellStyle name="Normal 514 2 2 2" xfId="16506"/>
    <cellStyle name="Normal 514 2 2 2 2" xfId="34127"/>
    <cellStyle name="Normal 514 2 2 3" xfId="27103"/>
    <cellStyle name="Normal 514 2 3" xfId="13014"/>
    <cellStyle name="Normal 514 2 3 2" xfId="30649"/>
    <cellStyle name="Normal 514 2 4" xfId="24242"/>
    <cellStyle name="Normal 514 3" xfId="5976"/>
    <cellStyle name="Normal 514 3 2" xfId="9273"/>
    <cellStyle name="Normal 514 3 2 2" xfId="17062"/>
    <cellStyle name="Normal 514 3 2 2 2" xfId="34684"/>
    <cellStyle name="Normal 514 3 2 3" xfId="27647"/>
    <cellStyle name="Normal 514 3 3" xfId="13826"/>
    <cellStyle name="Normal 514 3 3 2" xfId="31452"/>
    <cellStyle name="Normal 514 3 4" xfId="24786"/>
    <cellStyle name="Normal 514 4" xfId="6606"/>
    <cellStyle name="Normal 514 4 2" xfId="9813"/>
    <cellStyle name="Normal 514 4 2 2" xfId="17601"/>
    <cellStyle name="Normal 514 4 2 2 2" xfId="35224"/>
    <cellStyle name="Normal 514 4 2 3" xfId="28183"/>
    <cellStyle name="Normal 514 4 3" xfId="14389"/>
    <cellStyle name="Normal 514 4 3 2" xfId="32010"/>
    <cellStyle name="Normal 514 4 4" xfId="25322"/>
    <cellStyle name="Normal 514 5" xfId="7381"/>
    <cellStyle name="Normal 514 5 2" xfId="10366"/>
    <cellStyle name="Normal 514 5 2 2" xfId="18153"/>
    <cellStyle name="Normal 514 5 2 2 2" xfId="35776"/>
    <cellStyle name="Normal 514 5 2 3" xfId="28719"/>
    <cellStyle name="Normal 514 5 3" xfId="15163"/>
    <cellStyle name="Normal 514 5 3 2" xfId="32784"/>
    <cellStyle name="Normal 514 5 4" xfId="25859"/>
    <cellStyle name="Normal 514 6" xfId="8035"/>
    <cellStyle name="Normal 514 6 2" xfId="15826"/>
    <cellStyle name="Normal 514 6 2 2" xfId="33447"/>
    <cellStyle name="Normal 514 6 3" xfId="26437"/>
    <cellStyle name="Normal 514 7" xfId="11993"/>
    <cellStyle name="Normal 514 7 2" xfId="29661"/>
    <cellStyle name="Normal 514 8" xfId="23576"/>
    <cellStyle name="Normal 514 9" xfId="52498"/>
    <cellStyle name="Normal 515" xfId="2898"/>
    <cellStyle name="Normal 515 2" xfId="4960"/>
    <cellStyle name="Normal 515 2 2" xfId="8717"/>
    <cellStyle name="Normal 515 2 2 2" xfId="16507"/>
    <cellStyle name="Normal 515 2 2 2 2" xfId="34128"/>
    <cellStyle name="Normal 515 2 2 3" xfId="27104"/>
    <cellStyle name="Normal 515 2 3" xfId="13015"/>
    <cellStyle name="Normal 515 2 3 2" xfId="30650"/>
    <cellStyle name="Normal 515 2 4" xfId="24243"/>
    <cellStyle name="Normal 515 3" xfId="5977"/>
    <cellStyle name="Normal 515 3 2" xfId="9274"/>
    <cellStyle name="Normal 515 3 2 2" xfId="17063"/>
    <cellStyle name="Normal 515 3 2 2 2" xfId="34685"/>
    <cellStyle name="Normal 515 3 2 3" xfId="27648"/>
    <cellStyle name="Normal 515 3 3" xfId="13827"/>
    <cellStyle name="Normal 515 3 3 2" xfId="31453"/>
    <cellStyle name="Normal 515 3 4" xfId="24787"/>
    <cellStyle name="Normal 515 4" xfId="6607"/>
    <cellStyle name="Normal 515 4 2" xfId="9814"/>
    <cellStyle name="Normal 515 4 2 2" xfId="17602"/>
    <cellStyle name="Normal 515 4 2 2 2" xfId="35225"/>
    <cellStyle name="Normal 515 4 2 3" xfId="28184"/>
    <cellStyle name="Normal 515 4 3" xfId="14390"/>
    <cellStyle name="Normal 515 4 3 2" xfId="32011"/>
    <cellStyle name="Normal 515 4 4" xfId="25323"/>
    <cellStyle name="Normal 515 5" xfId="7382"/>
    <cellStyle name="Normal 515 5 2" xfId="10367"/>
    <cellStyle name="Normal 515 5 2 2" xfId="18154"/>
    <cellStyle name="Normal 515 5 2 2 2" xfId="35777"/>
    <cellStyle name="Normal 515 5 2 3" xfId="28720"/>
    <cellStyle name="Normal 515 5 3" xfId="15164"/>
    <cellStyle name="Normal 515 5 3 2" xfId="32785"/>
    <cellStyle name="Normal 515 5 4" xfId="25860"/>
    <cellStyle name="Normal 515 6" xfId="8036"/>
    <cellStyle name="Normal 515 6 2" xfId="15827"/>
    <cellStyle name="Normal 515 6 2 2" xfId="33448"/>
    <cellStyle name="Normal 515 6 3" xfId="26438"/>
    <cellStyle name="Normal 515 7" xfId="11994"/>
    <cellStyle name="Normal 515 7 2" xfId="29662"/>
    <cellStyle name="Normal 515 8" xfId="23577"/>
    <cellStyle name="Normal 515 9" xfId="52499"/>
    <cellStyle name="Normal 516" xfId="2899"/>
    <cellStyle name="Normal 516 2" xfId="4961"/>
    <cellStyle name="Normal 516 2 2" xfId="8718"/>
    <cellStyle name="Normal 516 2 2 2" xfId="16508"/>
    <cellStyle name="Normal 516 2 2 2 2" xfId="34129"/>
    <cellStyle name="Normal 516 2 2 3" xfId="27105"/>
    <cellStyle name="Normal 516 2 3" xfId="13016"/>
    <cellStyle name="Normal 516 2 3 2" xfId="30651"/>
    <cellStyle name="Normal 516 2 4" xfId="24244"/>
    <cellStyle name="Normal 516 3" xfId="5978"/>
    <cellStyle name="Normal 516 3 2" xfId="9275"/>
    <cellStyle name="Normal 516 3 2 2" xfId="17064"/>
    <cellStyle name="Normal 516 3 2 2 2" xfId="34686"/>
    <cellStyle name="Normal 516 3 2 3" xfId="27649"/>
    <cellStyle name="Normal 516 3 3" xfId="13828"/>
    <cellStyle name="Normal 516 3 3 2" xfId="31454"/>
    <cellStyle name="Normal 516 3 4" xfId="24788"/>
    <cellStyle name="Normal 516 4" xfId="6608"/>
    <cellStyle name="Normal 516 4 2" xfId="9815"/>
    <cellStyle name="Normal 516 4 2 2" xfId="17603"/>
    <cellStyle name="Normal 516 4 2 2 2" xfId="35226"/>
    <cellStyle name="Normal 516 4 2 3" xfId="28185"/>
    <cellStyle name="Normal 516 4 3" xfId="14391"/>
    <cellStyle name="Normal 516 4 3 2" xfId="32012"/>
    <cellStyle name="Normal 516 4 4" xfId="25324"/>
    <cellStyle name="Normal 516 5" xfId="7383"/>
    <cellStyle name="Normal 516 5 2" xfId="10368"/>
    <cellStyle name="Normal 516 5 2 2" xfId="18155"/>
    <cellStyle name="Normal 516 5 2 2 2" xfId="35778"/>
    <cellStyle name="Normal 516 5 2 3" xfId="28721"/>
    <cellStyle name="Normal 516 5 3" xfId="15165"/>
    <cellStyle name="Normal 516 5 3 2" xfId="32786"/>
    <cellStyle name="Normal 516 5 4" xfId="25861"/>
    <cellStyle name="Normal 516 6" xfId="8037"/>
    <cellStyle name="Normal 516 6 2" xfId="15828"/>
    <cellStyle name="Normal 516 6 2 2" xfId="33449"/>
    <cellStyle name="Normal 516 6 3" xfId="26439"/>
    <cellStyle name="Normal 516 7" xfId="11995"/>
    <cellStyle name="Normal 516 7 2" xfId="29663"/>
    <cellStyle name="Normal 516 8" xfId="23578"/>
    <cellStyle name="Normal 516 9" xfId="52500"/>
    <cellStyle name="Normal 517" xfId="2900"/>
    <cellStyle name="Normal 517 2" xfId="4962"/>
    <cellStyle name="Normal 517 2 2" xfId="8719"/>
    <cellStyle name="Normal 517 2 2 2" xfId="16509"/>
    <cellStyle name="Normal 517 2 2 2 2" xfId="34130"/>
    <cellStyle name="Normal 517 2 2 3" xfId="27106"/>
    <cellStyle name="Normal 517 2 3" xfId="13017"/>
    <cellStyle name="Normal 517 2 3 2" xfId="30652"/>
    <cellStyle name="Normal 517 2 4" xfId="24245"/>
    <cellStyle name="Normal 517 3" xfId="5979"/>
    <cellStyle name="Normal 517 3 2" xfId="9276"/>
    <cellStyle name="Normal 517 3 2 2" xfId="17065"/>
    <cellStyle name="Normal 517 3 2 2 2" xfId="34687"/>
    <cellStyle name="Normal 517 3 2 3" xfId="27650"/>
    <cellStyle name="Normal 517 3 3" xfId="13829"/>
    <cellStyle name="Normal 517 3 3 2" xfId="31455"/>
    <cellStyle name="Normal 517 3 4" xfId="24789"/>
    <cellStyle name="Normal 517 4" xfId="6609"/>
    <cellStyle name="Normal 517 4 2" xfId="9816"/>
    <cellStyle name="Normal 517 4 2 2" xfId="17604"/>
    <cellStyle name="Normal 517 4 2 2 2" xfId="35227"/>
    <cellStyle name="Normal 517 4 2 3" xfId="28186"/>
    <cellStyle name="Normal 517 4 3" xfId="14392"/>
    <cellStyle name="Normal 517 4 3 2" xfId="32013"/>
    <cellStyle name="Normal 517 4 4" xfId="25325"/>
    <cellStyle name="Normal 517 5" xfId="7384"/>
    <cellStyle name="Normal 517 5 2" xfId="10369"/>
    <cellStyle name="Normal 517 5 2 2" xfId="18156"/>
    <cellStyle name="Normal 517 5 2 2 2" xfId="35779"/>
    <cellStyle name="Normal 517 5 2 3" xfId="28722"/>
    <cellStyle name="Normal 517 5 3" xfId="15166"/>
    <cellStyle name="Normal 517 5 3 2" xfId="32787"/>
    <cellStyle name="Normal 517 5 4" xfId="25862"/>
    <cellStyle name="Normal 517 6" xfId="8038"/>
    <cellStyle name="Normal 517 6 2" xfId="15829"/>
    <cellStyle name="Normal 517 6 2 2" xfId="33450"/>
    <cellStyle name="Normal 517 6 3" xfId="26440"/>
    <cellStyle name="Normal 517 7" xfId="11996"/>
    <cellStyle name="Normal 517 7 2" xfId="29664"/>
    <cellStyle name="Normal 517 8" xfId="23579"/>
    <cellStyle name="Normal 517 9" xfId="52501"/>
    <cellStyle name="Normal 518" xfId="2901"/>
    <cellStyle name="Normal 518 2" xfId="4963"/>
    <cellStyle name="Normal 518 2 2" xfId="8720"/>
    <cellStyle name="Normal 518 2 2 2" xfId="16510"/>
    <cellStyle name="Normal 518 2 2 2 2" xfId="34131"/>
    <cellStyle name="Normal 518 2 2 3" xfId="27107"/>
    <cellStyle name="Normal 518 2 3" xfId="13018"/>
    <cellStyle name="Normal 518 2 3 2" xfId="30653"/>
    <cellStyle name="Normal 518 2 4" xfId="24246"/>
    <cellStyle name="Normal 518 3" xfId="5980"/>
    <cellStyle name="Normal 518 3 2" xfId="9277"/>
    <cellStyle name="Normal 518 3 2 2" xfId="17066"/>
    <cellStyle name="Normal 518 3 2 2 2" xfId="34688"/>
    <cellStyle name="Normal 518 3 2 3" xfId="27651"/>
    <cellStyle name="Normal 518 3 3" xfId="13830"/>
    <cellStyle name="Normal 518 3 3 2" xfId="31456"/>
    <cellStyle name="Normal 518 3 4" xfId="24790"/>
    <cellStyle name="Normal 518 4" xfId="6610"/>
    <cellStyle name="Normal 518 4 2" xfId="9817"/>
    <cellStyle name="Normal 518 4 2 2" xfId="17605"/>
    <cellStyle name="Normal 518 4 2 2 2" xfId="35228"/>
    <cellStyle name="Normal 518 4 2 3" xfId="28187"/>
    <cellStyle name="Normal 518 4 3" xfId="14393"/>
    <cellStyle name="Normal 518 4 3 2" xfId="32014"/>
    <cellStyle name="Normal 518 4 4" xfId="25326"/>
    <cellStyle name="Normal 518 5" xfId="7385"/>
    <cellStyle name="Normal 518 5 2" xfId="10370"/>
    <cellStyle name="Normal 518 5 2 2" xfId="18157"/>
    <cellStyle name="Normal 518 5 2 2 2" xfId="35780"/>
    <cellStyle name="Normal 518 5 2 3" xfId="28723"/>
    <cellStyle name="Normal 518 5 3" xfId="15167"/>
    <cellStyle name="Normal 518 5 3 2" xfId="32788"/>
    <cellStyle name="Normal 518 5 4" xfId="25863"/>
    <cellStyle name="Normal 518 6" xfId="8039"/>
    <cellStyle name="Normal 518 6 2" xfId="15830"/>
    <cellStyle name="Normal 518 6 2 2" xfId="33451"/>
    <cellStyle name="Normal 518 6 3" xfId="26441"/>
    <cellStyle name="Normal 518 7" xfId="11997"/>
    <cellStyle name="Normal 518 7 2" xfId="29665"/>
    <cellStyle name="Normal 518 8" xfId="23580"/>
    <cellStyle name="Normal 518 9" xfId="52502"/>
    <cellStyle name="Normal 519" xfId="2902"/>
    <cellStyle name="Normal 519 2" xfId="4964"/>
    <cellStyle name="Normal 519 2 2" xfId="8721"/>
    <cellStyle name="Normal 519 2 2 2" xfId="16511"/>
    <cellStyle name="Normal 519 2 2 2 2" xfId="34132"/>
    <cellStyle name="Normal 519 2 2 3" xfId="27108"/>
    <cellStyle name="Normal 519 2 3" xfId="13019"/>
    <cellStyle name="Normal 519 2 3 2" xfId="30654"/>
    <cellStyle name="Normal 519 2 4" xfId="24247"/>
    <cellStyle name="Normal 519 3" xfId="5981"/>
    <cellStyle name="Normal 519 3 2" xfId="9278"/>
    <cellStyle name="Normal 519 3 2 2" xfId="17067"/>
    <cellStyle name="Normal 519 3 2 2 2" xfId="34689"/>
    <cellStyle name="Normal 519 3 2 3" xfId="27652"/>
    <cellStyle name="Normal 519 3 3" xfId="13831"/>
    <cellStyle name="Normal 519 3 3 2" xfId="31457"/>
    <cellStyle name="Normal 519 3 4" xfId="24791"/>
    <cellStyle name="Normal 519 4" xfId="6611"/>
    <cellStyle name="Normal 519 4 2" xfId="9818"/>
    <cellStyle name="Normal 519 4 2 2" xfId="17606"/>
    <cellStyle name="Normal 519 4 2 2 2" xfId="35229"/>
    <cellStyle name="Normal 519 4 2 3" xfId="28188"/>
    <cellStyle name="Normal 519 4 3" xfId="14394"/>
    <cellStyle name="Normal 519 4 3 2" xfId="32015"/>
    <cellStyle name="Normal 519 4 4" xfId="25327"/>
    <cellStyle name="Normal 519 5" xfId="7386"/>
    <cellStyle name="Normal 519 5 2" xfId="10371"/>
    <cellStyle name="Normal 519 5 2 2" xfId="18158"/>
    <cellStyle name="Normal 519 5 2 2 2" xfId="35781"/>
    <cellStyle name="Normal 519 5 2 3" xfId="28724"/>
    <cellStyle name="Normal 519 5 3" xfId="15168"/>
    <cellStyle name="Normal 519 5 3 2" xfId="32789"/>
    <cellStyle name="Normal 519 5 4" xfId="25864"/>
    <cellStyle name="Normal 519 6" xfId="8040"/>
    <cellStyle name="Normal 519 6 2" xfId="15831"/>
    <cellStyle name="Normal 519 6 2 2" xfId="33452"/>
    <cellStyle name="Normal 519 6 3" xfId="26442"/>
    <cellStyle name="Normal 519 7" xfId="11998"/>
    <cellStyle name="Normal 519 7 2" xfId="29666"/>
    <cellStyle name="Normal 519 8" xfId="23581"/>
    <cellStyle name="Normal 519 9" xfId="52503"/>
    <cellStyle name="Normal 52" xfId="2903"/>
    <cellStyle name="Normal 52 2" xfId="4965"/>
    <cellStyle name="Normal 52 3" xfId="52504"/>
    <cellStyle name="Normal 520" xfId="2904"/>
    <cellStyle name="Normal 520 2" xfId="4966"/>
    <cellStyle name="Normal 520 2 2" xfId="8722"/>
    <cellStyle name="Normal 520 2 2 2" xfId="16512"/>
    <cellStyle name="Normal 520 2 2 2 2" xfId="34133"/>
    <cellStyle name="Normal 520 2 2 3" xfId="27109"/>
    <cellStyle name="Normal 520 2 3" xfId="13020"/>
    <cellStyle name="Normal 520 2 3 2" xfId="30655"/>
    <cellStyle name="Normal 520 2 4" xfId="24248"/>
    <cellStyle name="Normal 520 3" xfId="5982"/>
    <cellStyle name="Normal 520 3 2" xfId="9279"/>
    <cellStyle name="Normal 520 3 2 2" xfId="17068"/>
    <cellStyle name="Normal 520 3 2 2 2" xfId="34690"/>
    <cellStyle name="Normal 520 3 2 3" xfId="27653"/>
    <cellStyle name="Normal 520 3 3" xfId="13832"/>
    <cellStyle name="Normal 520 3 3 2" xfId="31458"/>
    <cellStyle name="Normal 520 3 4" xfId="24792"/>
    <cellStyle name="Normal 520 4" xfId="6612"/>
    <cellStyle name="Normal 520 4 2" xfId="9819"/>
    <cellStyle name="Normal 520 4 2 2" xfId="17607"/>
    <cellStyle name="Normal 520 4 2 2 2" xfId="35230"/>
    <cellStyle name="Normal 520 4 2 3" xfId="28189"/>
    <cellStyle name="Normal 520 4 3" xfId="14395"/>
    <cellStyle name="Normal 520 4 3 2" xfId="32016"/>
    <cellStyle name="Normal 520 4 4" xfId="25328"/>
    <cellStyle name="Normal 520 5" xfId="7387"/>
    <cellStyle name="Normal 520 5 2" xfId="10372"/>
    <cellStyle name="Normal 520 5 2 2" xfId="18159"/>
    <cellStyle name="Normal 520 5 2 2 2" xfId="35782"/>
    <cellStyle name="Normal 520 5 2 3" xfId="28725"/>
    <cellStyle name="Normal 520 5 3" xfId="15169"/>
    <cellStyle name="Normal 520 5 3 2" xfId="32790"/>
    <cellStyle name="Normal 520 5 4" xfId="25865"/>
    <cellStyle name="Normal 520 6" xfId="8041"/>
    <cellStyle name="Normal 520 6 2" xfId="15832"/>
    <cellStyle name="Normal 520 6 2 2" xfId="33453"/>
    <cellStyle name="Normal 520 6 3" xfId="26443"/>
    <cellStyle name="Normal 520 7" xfId="11999"/>
    <cellStyle name="Normal 520 7 2" xfId="29667"/>
    <cellStyle name="Normal 520 8" xfId="23582"/>
    <cellStyle name="Normal 520 9" xfId="52505"/>
    <cellStyle name="Normal 521" xfId="2905"/>
    <cellStyle name="Normal 521 2" xfId="4967"/>
    <cellStyle name="Normal 521 2 2" xfId="8723"/>
    <cellStyle name="Normal 521 2 2 2" xfId="16513"/>
    <cellStyle name="Normal 521 2 2 2 2" xfId="34134"/>
    <cellStyle name="Normal 521 2 2 3" xfId="27110"/>
    <cellStyle name="Normal 521 2 3" xfId="13021"/>
    <cellStyle name="Normal 521 2 3 2" xfId="30656"/>
    <cellStyle name="Normal 521 2 4" xfId="24249"/>
    <cellStyle name="Normal 521 3" xfId="5983"/>
    <cellStyle name="Normal 521 3 2" xfId="9280"/>
    <cellStyle name="Normal 521 3 2 2" xfId="17069"/>
    <cellStyle name="Normal 521 3 2 2 2" xfId="34691"/>
    <cellStyle name="Normal 521 3 2 3" xfId="27654"/>
    <cellStyle name="Normal 521 3 3" xfId="13833"/>
    <cellStyle name="Normal 521 3 3 2" xfId="31459"/>
    <cellStyle name="Normal 521 3 4" xfId="24793"/>
    <cellStyle name="Normal 521 4" xfId="6613"/>
    <cellStyle name="Normal 521 4 2" xfId="9820"/>
    <cellStyle name="Normal 521 4 2 2" xfId="17608"/>
    <cellStyle name="Normal 521 4 2 2 2" xfId="35231"/>
    <cellStyle name="Normal 521 4 2 3" xfId="28190"/>
    <cellStyle name="Normal 521 4 3" xfId="14396"/>
    <cellStyle name="Normal 521 4 3 2" xfId="32017"/>
    <cellStyle name="Normal 521 4 4" xfId="25329"/>
    <cellStyle name="Normal 521 5" xfId="7388"/>
    <cellStyle name="Normal 521 5 2" xfId="10373"/>
    <cellStyle name="Normal 521 5 2 2" xfId="18160"/>
    <cellStyle name="Normal 521 5 2 2 2" xfId="35783"/>
    <cellStyle name="Normal 521 5 2 3" xfId="28726"/>
    <cellStyle name="Normal 521 5 3" xfId="15170"/>
    <cellStyle name="Normal 521 5 3 2" xfId="32791"/>
    <cellStyle name="Normal 521 5 4" xfId="25866"/>
    <cellStyle name="Normal 521 6" xfId="8042"/>
    <cellStyle name="Normal 521 6 2" xfId="15833"/>
    <cellStyle name="Normal 521 6 2 2" xfId="33454"/>
    <cellStyle name="Normal 521 6 3" xfId="26444"/>
    <cellStyle name="Normal 521 7" xfId="12000"/>
    <cellStyle name="Normal 521 7 2" xfId="29668"/>
    <cellStyle name="Normal 521 8" xfId="23583"/>
    <cellStyle name="Normal 521 9" xfId="52506"/>
    <cellStyle name="Normal 522" xfId="2906"/>
    <cellStyle name="Normal 522 2" xfId="4968"/>
    <cellStyle name="Normal 522 2 2" xfId="8724"/>
    <cellStyle name="Normal 522 2 2 2" xfId="16514"/>
    <cellStyle name="Normal 522 2 2 2 2" xfId="34135"/>
    <cellStyle name="Normal 522 2 2 3" xfId="27111"/>
    <cellStyle name="Normal 522 2 3" xfId="13022"/>
    <cellStyle name="Normal 522 2 3 2" xfId="30657"/>
    <cellStyle name="Normal 522 2 4" xfId="24250"/>
    <cellStyle name="Normal 522 3" xfId="5984"/>
    <cellStyle name="Normal 522 3 2" xfId="9281"/>
    <cellStyle name="Normal 522 3 2 2" xfId="17070"/>
    <cellStyle name="Normal 522 3 2 2 2" xfId="34692"/>
    <cellStyle name="Normal 522 3 2 3" xfId="27655"/>
    <cellStyle name="Normal 522 3 3" xfId="13834"/>
    <cellStyle name="Normal 522 3 3 2" xfId="31460"/>
    <cellStyle name="Normal 522 3 4" xfId="24794"/>
    <cellStyle name="Normal 522 4" xfId="6614"/>
    <cellStyle name="Normal 522 4 2" xfId="9821"/>
    <cellStyle name="Normal 522 4 2 2" xfId="17609"/>
    <cellStyle name="Normal 522 4 2 2 2" xfId="35232"/>
    <cellStyle name="Normal 522 4 2 3" xfId="28191"/>
    <cellStyle name="Normal 522 4 3" xfId="14397"/>
    <cellStyle name="Normal 522 4 3 2" xfId="32018"/>
    <cellStyle name="Normal 522 4 4" xfId="25330"/>
    <cellStyle name="Normal 522 5" xfId="7389"/>
    <cellStyle name="Normal 522 5 2" xfId="10374"/>
    <cellStyle name="Normal 522 5 2 2" xfId="18161"/>
    <cellStyle name="Normal 522 5 2 2 2" xfId="35784"/>
    <cellStyle name="Normal 522 5 2 3" xfId="28727"/>
    <cellStyle name="Normal 522 5 3" xfId="15171"/>
    <cellStyle name="Normal 522 5 3 2" xfId="32792"/>
    <cellStyle name="Normal 522 5 4" xfId="25867"/>
    <cellStyle name="Normal 522 6" xfId="8043"/>
    <cellStyle name="Normal 522 6 2" xfId="15834"/>
    <cellStyle name="Normal 522 6 2 2" xfId="33455"/>
    <cellStyle name="Normal 522 6 3" xfId="26445"/>
    <cellStyle name="Normal 522 7" xfId="12001"/>
    <cellStyle name="Normal 522 7 2" xfId="29669"/>
    <cellStyle name="Normal 522 8" xfId="23584"/>
    <cellStyle name="Normal 522 9" xfId="52507"/>
    <cellStyle name="Normal 523" xfId="2907"/>
    <cellStyle name="Normal 523 2" xfId="4969"/>
    <cellStyle name="Normal 523 2 2" xfId="8725"/>
    <cellStyle name="Normal 523 2 2 2" xfId="16515"/>
    <cellStyle name="Normal 523 2 2 2 2" xfId="34136"/>
    <cellStyle name="Normal 523 2 2 3" xfId="27112"/>
    <cellStyle name="Normal 523 2 3" xfId="13023"/>
    <cellStyle name="Normal 523 2 3 2" xfId="30658"/>
    <cellStyle name="Normal 523 2 4" xfId="24251"/>
    <cellStyle name="Normal 523 3" xfId="5985"/>
    <cellStyle name="Normal 523 3 2" xfId="9282"/>
    <cellStyle name="Normal 523 3 2 2" xfId="17071"/>
    <cellStyle name="Normal 523 3 2 2 2" xfId="34693"/>
    <cellStyle name="Normal 523 3 2 3" xfId="27656"/>
    <cellStyle name="Normal 523 3 3" xfId="13835"/>
    <cellStyle name="Normal 523 3 3 2" xfId="31461"/>
    <cellStyle name="Normal 523 3 4" xfId="24795"/>
    <cellStyle name="Normal 523 4" xfId="6615"/>
    <cellStyle name="Normal 523 4 2" xfId="9822"/>
    <cellStyle name="Normal 523 4 2 2" xfId="17610"/>
    <cellStyle name="Normal 523 4 2 2 2" xfId="35233"/>
    <cellStyle name="Normal 523 4 2 3" xfId="28192"/>
    <cellStyle name="Normal 523 4 3" xfId="14398"/>
    <cellStyle name="Normal 523 4 3 2" xfId="32019"/>
    <cellStyle name="Normal 523 4 4" xfId="25331"/>
    <cellStyle name="Normal 523 5" xfId="7390"/>
    <cellStyle name="Normal 523 5 2" xfId="10375"/>
    <cellStyle name="Normal 523 5 2 2" xfId="18162"/>
    <cellStyle name="Normal 523 5 2 2 2" xfId="35785"/>
    <cellStyle name="Normal 523 5 2 3" xfId="28728"/>
    <cellStyle name="Normal 523 5 3" xfId="15172"/>
    <cellStyle name="Normal 523 5 3 2" xfId="32793"/>
    <cellStyle name="Normal 523 5 4" xfId="25868"/>
    <cellStyle name="Normal 523 6" xfId="8044"/>
    <cellStyle name="Normal 523 6 2" xfId="15835"/>
    <cellStyle name="Normal 523 6 2 2" xfId="33456"/>
    <cellStyle name="Normal 523 6 3" xfId="26446"/>
    <cellStyle name="Normal 523 7" xfId="12002"/>
    <cellStyle name="Normal 523 7 2" xfId="29670"/>
    <cellStyle name="Normal 523 8" xfId="23585"/>
    <cellStyle name="Normal 523 9" xfId="52508"/>
    <cellStyle name="Normal 524" xfId="2908"/>
    <cellStyle name="Normal 524 2" xfId="4970"/>
    <cellStyle name="Normal 524 2 2" xfId="8726"/>
    <cellStyle name="Normal 524 2 2 2" xfId="16516"/>
    <cellStyle name="Normal 524 2 2 2 2" xfId="34137"/>
    <cellStyle name="Normal 524 2 2 3" xfId="27113"/>
    <cellStyle name="Normal 524 2 3" xfId="13024"/>
    <cellStyle name="Normal 524 2 3 2" xfId="30659"/>
    <cellStyle name="Normal 524 2 4" xfId="24252"/>
    <cellStyle name="Normal 524 3" xfId="5986"/>
    <cellStyle name="Normal 524 3 2" xfId="9283"/>
    <cellStyle name="Normal 524 3 2 2" xfId="17072"/>
    <cellStyle name="Normal 524 3 2 2 2" xfId="34694"/>
    <cellStyle name="Normal 524 3 2 3" xfId="27657"/>
    <cellStyle name="Normal 524 3 3" xfId="13836"/>
    <cellStyle name="Normal 524 3 3 2" xfId="31462"/>
    <cellStyle name="Normal 524 3 4" xfId="24796"/>
    <cellStyle name="Normal 524 4" xfId="6616"/>
    <cellStyle name="Normal 524 4 2" xfId="9823"/>
    <cellStyle name="Normal 524 4 2 2" xfId="17611"/>
    <cellStyle name="Normal 524 4 2 2 2" xfId="35234"/>
    <cellStyle name="Normal 524 4 2 3" xfId="28193"/>
    <cellStyle name="Normal 524 4 3" xfId="14399"/>
    <cellStyle name="Normal 524 4 3 2" xfId="32020"/>
    <cellStyle name="Normal 524 4 4" xfId="25332"/>
    <cellStyle name="Normal 524 5" xfId="7391"/>
    <cellStyle name="Normal 524 5 2" xfId="10376"/>
    <cellStyle name="Normal 524 5 2 2" xfId="18163"/>
    <cellStyle name="Normal 524 5 2 2 2" xfId="35786"/>
    <cellStyle name="Normal 524 5 2 3" xfId="28729"/>
    <cellStyle name="Normal 524 5 3" xfId="15173"/>
    <cellStyle name="Normal 524 5 3 2" xfId="32794"/>
    <cellStyle name="Normal 524 5 4" xfId="25869"/>
    <cellStyle name="Normal 524 6" xfId="8045"/>
    <cellStyle name="Normal 524 6 2" xfId="15836"/>
    <cellStyle name="Normal 524 6 2 2" xfId="33457"/>
    <cellStyle name="Normal 524 6 3" xfId="26447"/>
    <cellStyle name="Normal 524 7" xfId="12003"/>
    <cellStyle name="Normal 524 7 2" xfId="29671"/>
    <cellStyle name="Normal 524 8" xfId="23586"/>
    <cellStyle name="Normal 524 9" xfId="52509"/>
    <cellStyle name="Normal 525" xfId="2909"/>
    <cellStyle name="Normal 525 2" xfId="4971"/>
    <cellStyle name="Normal 525 2 2" xfId="8727"/>
    <cellStyle name="Normal 525 2 2 2" xfId="16517"/>
    <cellStyle name="Normal 525 2 2 2 2" xfId="34138"/>
    <cellStyle name="Normal 525 2 2 3" xfId="27114"/>
    <cellStyle name="Normal 525 2 3" xfId="13025"/>
    <cellStyle name="Normal 525 2 3 2" xfId="30660"/>
    <cellStyle name="Normal 525 2 4" xfId="24253"/>
    <cellStyle name="Normal 525 3" xfId="5987"/>
    <cellStyle name="Normal 525 3 2" xfId="9284"/>
    <cellStyle name="Normal 525 3 2 2" xfId="17073"/>
    <cellStyle name="Normal 525 3 2 2 2" xfId="34695"/>
    <cellStyle name="Normal 525 3 2 3" xfId="27658"/>
    <cellStyle name="Normal 525 3 3" xfId="13837"/>
    <cellStyle name="Normal 525 3 3 2" xfId="31463"/>
    <cellStyle name="Normal 525 3 4" xfId="24797"/>
    <cellStyle name="Normal 525 4" xfId="6617"/>
    <cellStyle name="Normal 525 4 2" xfId="9824"/>
    <cellStyle name="Normal 525 4 2 2" xfId="17612"/>
    <cellStyle name="Normal 525 4 2 2 2" xfId="35235"/>
    <cellStyle name="Normal 525 4 2 3" xfId="28194"/>
    <cellStyle name="Normal 525 4 3" xfId="14400"/>
    <cellStyle name="Normal 525 4 3 2" xfId="32021"/>
    <cellStyle name="Normal 525 4 4" xfId="25333"/>
    <cellStyle name="Normal 525 5" xfId="7392"/>
    <cellStyle name="Normal 525 5 2" xfId="10377"/>
    <cellStyle name="Normal 525 5 2 2" xfId="18164"/>
    <cellStyle name="Normal 525 5 2 2 2" xfId="35787"/>
    <cellStyle name="Normal 525 5 2 3" xfId="28730"/>
    <cellStyle name="Normal 525 5 3" xfId="15174"/>
    <cellStyle name="Normal 525 5 3 2" xfId="32795"/>
    <cellStyle name="Normal 525 5 4" xfId="25870"/>
    <cellStyle name="Normal 525 6" xfId="8046"/>
    <cellStyle name="Normal 525 6 2" xfId="15837"/>
    <cellStyle name="Normal 525 6 2 2" xfId="33458"/>
    <cellStyle name="Normal 525 6 3" xfId="26448"/>
    <cellStyle name="Normal 525 7" xfId="12004"/>
    <cellStyle name="Normal 525 7 2" xfId="29672"/>
    <cellStyle name="Normal 525 8" xfId="23587"/>
    <cellStyle name="Normal 525 9" xfId="52510"/>
    <cellStyle name="Normal 526" xfId="2910"/>
    <cellStyle name="Normal 526 2" xfId="4972"/>
    <cellStyle name="Normal 526 2 2" xfId="8728"/>
    <cellStyle name="Normal 526 2 2 2" xfId="16518"/>
    <cellStyle name="Normal 526 2 2 2 2" xfId="34139"/>
    <cellStyle name="Normal 526 2 2 3" xfId="27115"/>
    <cellStyle name="Normal 526 2 3" xfId="13026"/>
    <cellStyle name="Normal 526 2 3 2" xfId="30661"/>
    <cellStyle name="Normal 526 2 4" xfId="24254"/>
    <cellStyle name="Normal 526 3" xfId="5988"/>
    <cellStyle name="Normal 526 3 2" xfId="9285"/>
    <cellStyle name="Normal 526 3 2 2" xfId="17074"/>
    <cellStyle name="Normal 526 3 2 2 2" xfId="34696"/>
    <cellStyle name="Normal 526 3 2 3" xfId="27659"/>
    <cellStyle name="Normal 526 3 3" xfId="13838"/>
    <cellStyle name="Normal 526 3 3 2" xfId="31464"/>
    <cellStyle name="Normal 526 3 4" xfId="24798"/>
    <cellStyle name="Normal 526 4" xfId="6618"/>
    <cellStyle name="Normal 526 4 2" xfId="9825"/>
    <cellStyle name="Normal 526 4 2 2" xfId="17613"/>
    <cellStyle name="Normal 526 4 2 2 2" xfId="35236"/>
    <cellStyle name="Normal 526 4 2 3" xfId="28195"/>
    <cellStyle name="Normal 526 4 3" xfId="14401"/>
    <cellStyle name="Normal 526 4 3 2" xfId="32022"/>
    <cellStyle name="Normal 526 4 4" xfId="25334"/>
    <cellStyle name="Normal 526 5" xfId="7393"/>
    <cellStyle name="Normal 526 5 2" xfId="10378"/>
    <cellStyle name="Normal 526 5 2 2" xfId="18165"/>
    <cellStyle name="Normal 526 5 2 2 2" xfId="35788"/>
    <cellStyle name="Normal 526 5 2 3" xfId="28731"/>
    <cellStyle name="Normal 526 5 3" xfId="15175"/>
    <cellStyle name="Normal 526 5 3 2" xfId="32796"/>
    <cellStyle name="Normal 526 5 4" xfId="25871"/>
    <cellStyle name="Normal 526 6" xfId="8047"/>
    <cellStyle name="Normal 526 6 2" xfId="15838"/>
    <cellStyle name="Normal 526 6 2 2" xfId="33459"/>
    <cellStyle name="Normal 526 6 3" xfId="26449"/>
    <cellStyle name="Normal 526 7" xfId="12005"/>
    <cellStyle name="Normal 526 7 2" xfId="29673"/>
    <cellStyle name="Normal 526 8" xfId="23588"/>
    <cellStyle name="Normal 526 9" xfId="52511"/>
    <cellStyle name="Normal 527" xfId="2911"/>
    <cellStyle name="Normal 527 2" xfId="4973"/>
    <cellStyle name="Normal 527 2 2" xfId="8729"/>
    <cellStyle name="Normal 527 2 2 2" xfId="16519"/>
    <cellStyle name="Normal 527 2 2 2 2" xfId="34140"/>
    <cellStyle name="Normal 527 2 2 3" xfId="27116"/>
    <cellStyle name="Normal 527 2 3" xfId="13027"/>
    <cellStyle name="Normal 527 2 3 2" xfId="30662"/>
    <cellStyle name="Normal 527 2 4" xfId="24255"/>
    <cellStyle name="Normal 527 3" xfId="5989"/>
    <cellStyle name="Normal 527 3 2" xfId="9286"/>
    <cellStyle name="Normal 527 3 2 2" xfId="17075"/>
    <cellStyle name="Normal 527 3 2 2 2" xfId="34697"/>
    <cellStyle name="Normal 527 3 2 3" xfId="27660"/>
    <cellStyle name="Normal 527 3 3" xfId="13839"/>
    <cellStyle name="Normal 527 3 3 2" xfId="31465"/>
    <cellStyle name="Normal 527 3 4" xfId="24799"/>
    <cellStyle name="Normal 527 4" xfId="6619"/>
    <cellStyle name="Normal 527 4 2" xfId="9826"/>
    <cellStyle name="Normal 527 4 2 2" xfId="17614"/>
    <cellStyle name="Normal 527 4 2 2 2" xfId="35237"/>
    <cellStyle name="Normal 527 4 2 3" xfId="28196"/>
    <cellStyle name="Normal 527 4 3" xfId="14402"/>
    <cellStyle name="Normal 527 4 3 2" xfId="32023"/>
    <cellStyle name="Normal 527 4 4" xfId="25335"/>
    <cellStyle name="Normal 527 5" xfId="7394"/>
    <cellStyle name="Normal 527 5 2" xfId="10379"/>
    <cellStyle name="Normal 527 5 2 2" xfId="18166"/>
    <cellStyle name="Normal 527 5 2 2 2" xfId="35789"/>
    <cellStyle name="Normal 527 5 2 3" xfId="28732"/>
    <cellStyle name="Normal 527 5 3" xfId="15176"/>
    <cellStyle name="Normal 527 5 3 2" xfId="32797"/>
    <cellStyle name="Normal 527 5 4" xfId="25872"/>
    <cellStyle name="Normal 527 6" xfId="8048"/>
    <cellStyle name="Normal 527 6 2" xfId="15839"/>
    <cellStyle name="Normal 527 6 2 2" xfId="33460"/>
    <cellStyle name="Normal 527 6 3" xfId="26450"/>
    <cellStyle name="Normal 527 7" xfId="12006"/>
    <cellStyle name="Normal 527 7 2" xfId="29674"/>
    <cellStyle name="Normal 527 8" xfId="23589"/>
    <cellStyle name="Normal 527 9" xfId="52512"/>
    <cellStyle name="Normal 528" xfId="2912"/>
    <cellStyle name="Normal 528 2" xfId="4974"/>
    <cellStyle name="Normal 528 2 2" xfId="8730"/>
    <cellStyle name="Normal 528 2 2 2" xfId="16520"/>
    <cellStyle name="Normal 528 2 2 2 2" xfId="34141"/>
    <cellStyle name="Normal 528 2 2 3" xfId="27117"/>
    <cellStyle name="Normal 528 2 3" xfId="13028"/>
    <cellStyle name="Normal 528 2 3 2" xfId="30663"/>
    <cellStyle name="Normal 528 2 4" xfId="24256"/>
    <cellStyle name="Normal 528 3" xfId="5990"/>
    <cellStyle name="Normal 528 3 2" xfId="9287"/>
    <cellStyle name="Normal 528 3 2 2" xfId="17076"/>
    <cellStyle name="Normal 528 3 2 2 2" xfId="34698"/>
    <cellStyle name="Normal 528 3 2 3" xfId="27661"/>
    <cellStyle name="Normal 528 3 3" xfId="13840"/>
    <cellStyle name="Normal 528 3 3 2" xfId="31466"/>
    <cellStyle name="Normal 528 3 4" xfId="24800"/>
    <cellStyle name="Normal 528 4" xfId="6620"/>
    <cellStyle name="Normal 528 4 2" xfId="9827"/>
    <cellStyle name="Normal 528 4 2 2" xfId="17615"/>
    <cellStyle name="Normal 528 4 2 2 2" xfId="35238"/>
    <cellStyle name="Normal 528 4 2 3" xfId="28197"/>
    <cellStyle name="Normal 528 4 3" xfId="14403"/>
    <cellStyle name="Normal 528 4 3 2" xfId="32024"/>
    <cellStyle name="Normal 528 4 4" xfId="25336"/>
    <cellStyle name="Normal 528 5" xfId="7395"/>
    <cellStyle name="Normal 528 5 2" xfId="10380"/>
    <cellStyle name="Normal 528 5 2 2" xfId="18167"/>
    <cellStyle name="Normal 528 5 2 2 2" xfId="35790"/>
    <cellStyle name="Normal 528 5 2 3" xfId="28733"/>
    <cellStyle name="Normal 528 5 3" xfId="15177"/>
    <cellStyle name="Normal 528 5 3 2" xfId="32798"/>
    <cellStyle name="Normal 528 5 4" xfId="25873"/>
    <cellStyle name="Normal 528 6" xfId="8049"/>
    <cellStyle name="Normal 528 6 2" xfId="15840"/>
    <cellStyle name="Normal 528 6 2 2" xfId="33461"/>
    <cellStyle name="Normal 528 6 3" xfId="26451"/>
    <cellStyle name="Normal 528 7" xfId="12007"/>
    <cellStyle name="Normal 528 7 2" xfId="29675"/>
    <cellStyle name="Normal 528 8" xfId="23590"/>
    <cellStyle name="Normal 528 9" xfId="52513"/>
    <cellStyle name="Normal 529" xfId="2913"/>
    <cellStyle name="Normal 529 2" xfId="4976"/>
    <cellStyle name="Normal 529 2 2" xfId="8731"/>
    <cellStyle name="Normal 529 2 2 2" xfId="16521"/>
    <cellStyle name="Normal 529 2 2 2 2" xfId="34142"/>
    <cellStyle name="Normal 529 2 2 3" xfId="27118"/>
    <cellStyle name="Normal 529 2 3" xfId="13029"/>
    <cellStyle name="Normal 529 2 3 2" xfId="30664"/>
    <cellStyle name="Normal 529 2 4" xfId="24257"/>
    <cellStyle name="Normal 529 3" xfId="4975"/>
    <cellStyle name="Normal 529 4" xfId="8050"/>
    <cellStyle name="Normal 529 4 2" xfId="15841"/>
    <cellStyle name="Normal 529 4 2 2" xfId="33462"/>
    <cellStyle name="Normal 529 4 3" xfId="26452"/>
    <cellStyle name="Normal 529 5" xfId="12008"/>
    <cellStyle name="Normal 529 5 2" xfId="29676"/>
    <cellStyle name="Normal 529 6" xfId="23591"/>
    <cellStyle name="Normal 529 7" xfId="52514"/>
    <cellStyle name="Normal 53" xfId="2914"/>
    <cellStyle name="Normal 53 2" xfId="4977"/>
    <cellStyle name="Normal 53 3" xfId="52515"/>
    <cellStyle name="Normal 530" xfId="2915"/>
    <cellStyle name="Normal 530 2" xfId="4978"/>
    <cellStyle name="Normal 530 2 2" xfId="8732"/>
    <cellStyle name="Normal 530 2 2 2" xfId="16522"/>
    <cellStyle name="Normal 530 2 2 2 2" xfId="34143"/>
    <cellStyle name="Normal 530 2 2 3" xfId="27119"/>
    <cellStyle name="Normal 530 2 3" xfId="13030"/>
    <cellStyle name="Normal 530 2 3 2" xfId="30665"/>
    <cellStyle name="Normal 530 2 4" xfId="24258"/>
    <cellStyle name="Normal 530 3" xfId="5991"/>
    <cellStyle name="Normal 530 3 2" xfId="9288"/>
    <cellStyle name="Normal 530 3 2 2" xfId="17077"/>
    <cellStyle name="Normal 530 3 2 2 2" xfId="34699"/>
    <cellStyle name="Normal 530 3 2 3" xfId="27662"/>
    <cellStyle name="Normal 530 3 3" xfId="13841"/>
    <cellStyle name="Normal 530 3 3 2" xfId="31467"/>
    <cellStyle name="Normal 530 3 4" xfId="24801"/>
    <cellStyle name="Normal 530 4" xfId="6621"/>
    <cellStyle name="Normal 530 4 2" xfId="9828"/>
    <cellStyle name="Normal 530 4 2 2" xfId="17616"/>
    <cellStyle name="Normal 530 4 2 2 2" xfId="35239"/>
    <cellStyle name="Normal 530 4 2 3" xfId="28198"/>
    <cellStyle name="Normal 530 4 3" xfId="14404"/>
    <cellStyle name="Normal 530 4 3 2" xfId="32025"/>
    <cellStyle name="Normal 530 4 4" xfId="25337"/>
    <cellStyle name="Normal 530 5" xfId="7396"/>
    <cellStyle name="Normal 530 5 2" xfId="10381"/>
    <cellStyle name="Normal 530 5 2 2" xfId="18168"/>
    <cellStyle name="Normal 530 5 2 2 2" xfId="35791"/>
    <cellStyle name="Normal 530 5 2 3" xfId="28734"/>
    <cellStyle name="Normal 530 5 3" xfId="15178"/>
    <cellStyle name="Normal 530 5 3 2" xfId="32799"/>
    <cellStyle name="Normal 530 5 4" xfId="25874"/>
    <cellStyle name="Normal 530 6" xfId="8051"/>
    <cellStyle name="Normal 530 6 2" xfId="15842"/>
    <cellStyle name="Normal 530 6 2 2" xfId="33463"/>
    <cellStyle name="Normal 530 6 3" xfId="26453"/>
    <cellStyle name="Normal 530 7" xfId="12009"/>
    <cellStyle name="Normal 530 7 2" xfId="29677"/>
    <cellStyle name="Normal 530 8" xfId="23592"/>
    <cellStyle name="Normal 530 9" xfId="52516"/>
    <cellStyle name="Normal 531" xfId="2916"/>
    <cellStyle name="Normal 531 2" xfId="2917"/>
    <cellStyle name="Normal 531 2 2" xfId="4980"/>
    <cellStyle name="Normal 531 2 3" xfId="52518"/>
    <cellStyle name="Normal 531 3" xfId="4981"/>
    <cellStyle name="Normal 531 4" xfId="4979"/>
    <cellStyle name="Normal 531 4 2" xfId="8733"/>
    <cellStyle name="Normal 531 4 2 2" xfId="16523"/>
    <cellStyle name="Normal 531 4 2 2 2" xfId="34144"/>
    <cellStyle name="Normal 531 4 2 3" xfId="27120"/>
    <cellStyle name="Normal 531 4 3" xfId="13031"/>
    <cellStyle name="Normal 531 4 3 2" xfId="30666"/>
    <cellStyle name="Normal 531 4 4" xfId="24259"/>
    <cellStyle name="Normal 531 5" xfId="5992"/>
    <cellStyle name="Normal 531 5 2" xfId="9289"/>
    <cellStyle name="Normal 531 5 2 2" xfId="17078"/>
    <cellStyle name="Normal 531 5 2 2 2" xfId="34700"/>
    <cellStyle name="Normal 531 5 2 3" xfId="27663"/>
    <cellStyle name="Normal 531 5 3" xfId="13842"/>
    <cellStyle name="Normal 531 5 3 2" xfId="31468"/>
    <cellStyle name="Normal 531 5 4" xfId="24802"/>
    <cellStyle name="Normal 531 6" xfId="6622"/>
    <cellStyle name="Normal 531 6 2" xfId="9829"/>
    <cellStyle name="Normal 531 6 2 2" xfId="17617"/>
    <cellStyle name="Normal 531 6 2 2 2" xfId="35240"/>
    <cellStyle name="Normal 531 6 2 3" xfId="28199"/>
    <cellStyle name="Normal 531 6 3" xfId="14405"/>
    <cellStyle name="Normal 531 6 3 2" xfId="32026"/>
    <cellStyle name="Normal 531 6 4" xfId="25338"/>
    <cellStyle name="Normal 531 7" xfId="7397"/>
    <cellStyle name="Normal 531 7 2" xfId="10382"/>
    <cellStyle name="Normal 531 7 2 2" xfId="18169"/>
    <cellStyle name="Normal 531 7 2 2 2" xfId="35792"/>
    <cellStyle name="Normal 531 7 2 3" xfId="28735"/>
    <cellStyle name="Normal 531 7 3" xfId="15179"/>
    <cellStyle name="Normal 531 7 3 2" xfId="32800"/>
    <cellStyle name="Normal 531 7 4" xfId="25875"/>
    <cellStyle name="Normal 531 8" xfId="52517"/>
    <cellStyle name="Normal 532" xfId="2918"/>
    <cellStyle name="Normal 532 2" xfId="4982"/>
    <cellStyle name="Normal 532 2 2" xfId="8734"/>
    <cellStyle name="Normal 532 2 2 2" xfId="16524"/>
    <cellStyle name="Normal 532 2 2 2 2" xfId="34145"/>
    <cellStyle name="Normal 532 2 2 3" xfId="27121"/>
    <cellStyle name="Normal 532 2 3" xfId="13032"/>
    <cellStyle name="Normal 532 2 3 2" xfId="30667"/>
    <cellStyle name="Normal 532 2 4" xfId="24260"/>
    <cellStyle name="Normal 532 3" xfId="5993"/>
    <cellStyle name="Normal 532 3 2" xfId="9290"/>
    <cellStyle name="Normal 532 3 2 2" xfId="17079"/>
    <cellStyle name="Normal 532 3 2 2 2" xfId="34701"/>
    <cellStyle name="Normal 532 3 2 3" xfId="27664"/>
    <cellStyle name="Normal 532 3 3" xfId="13843"/>
    <cellStyle name="Normal 532 3 3 2" xfId="31469"/>
    <cellStyle name="Normal 532 3 4" xfId="24803"/>
    <cellStyle name="Normal 532 4" xfId="6623"/>
    <cellStyle name="Normal 532 4 2" xfId="9830"/>
    <cellStyle name="Normal 532 4 2 2" xfId="17618"/>
    <cellStyle name="Normal 532 4 2 2 2" xfId="35241"/>
    <cellStyle name="Normal 532 4 2 3" xfId="28200"/>
    <cellStyle name="Normal 532 4 3" xfId="14406"/>
    <cellStyle name="Normal 532 4 3 2" xfId="32027"/>
    <cellStyle name="Normal 532 4 4" xfId="25339"/>
    <cellStyle name="Normal 532 5" xfId="7398"/>
    <cellStyle name="Normal 532 5 2" xfId="10383"/>
    <cellStyle name="Normal 532 5 2 2" xfId="18170"/>
    <cellStyle name="Normal 532 5 2 2 2" xfId="35793"/>
    <cellStyle name="Normal 532 5 2 3" xfId="28736"/>
    <cellStyle name="Normal 532 5 3" xfId="15180"/>
    <cellStyle name="Normal 532 5 3 2" xfId="32801"/>
    <cellStyle name="Normal 532 5 4" xfId="25876"/>
    <cellStyle name="Normal 532 6" xfId="8052"/>
    <cellStyle name="Normal 532 6 2" xfId="15843"/>
    <cellStyle name="Normal 532 6 2 2" xfId="33464"/>
    <cellStyle name="Normal 532 6 3" xfId="26454"/>
    <cellStyle name="Normal 532 7" xfId="12011"/>
    <cellStyle name="Normal 532 7 2" xfId="29679"/>
    <cellStyle name="Normal 532 8" xfId="23593"/>
    <cellStyle name="Normal 532 9" xfId="52519"/>
    <cellStyle name="Normal 533" xfId="2919"/>
    <cellStyle name="Normal 533 2" xfId="4984"/>
    <cellStyle name="Normal 533 2 2" xfId="8735"/>
    <cellStyle name="Normal 533 2 2 2" xfId="16525"/>
    <cellStyle name="Normal 533 2 2 2 2" xfId="34146"/>
    <cellStyle name="Normal 533 2 2 3" xfId="27122"/>
    <cellStyle name="Normal 533 2 3" xfId="13033"/>
    <cellStyle name="Normal 533 2 3 2" xfId="30668"/>
    <cellStyle name="Normal 533 2 4" xfId="24261"/>
    <cellStyle name="Normal 533 3" xfId="4983"/>
    <cellStyle name="Normal 533 4" xfId="8053"/>
    <cellStyle name="Normal 533 4 2" xfId="15844"/>
    <cellStyle name="Normal 533 4 2 2" xfId="33465"/>
    <cellStyle name="Normal 533 4 3" xfId="26455"/>
    <cellStyle name="Normal 533 5" xfId="12012"/>
    <cellStyle name="Normal 533 5 2" xfId="29680"/>
    <cellStyle name="Normal 533 6" xfId="23594"/>
    <cellStyle name="Normal 533 7" xfId="52520"/>
    <cellStyle name="Normal 534" xfId="2920"/>
    <cellStyle name="Normal 534 2" xfId="4986"/>
    <cellStyle name="Normal 534 3" xfId="4987"/>
    <cellStyle name="Normal 534 4" xfId="4988"/>
    <cellStyle name="Normal 534 4 2" xfId="8736"/>
    <cellStyle name="Normal 534 4 2 2" xfId="16526"/>
    <cellStyle name="Normal 534 4 2 2 2" xfId="34147"/>
    <cellStyle name="Normal 534 4 2 3" xfId="27123"/>
    <cellStyle name="Normal 534 4 3" xfId="13034"/>
    <cellStyle name="Normal 534 4 3 2" xfId="30669"/>
    <cellStyle name="Normal 534 4 4" xfId="24262"/>
    <cellStyle name="Normal 534 5" xfId="4985"/>
    <cellStyle name="Normal 534 6" xfId="8054"/>
    <cellStyle name="Normal 534 6 2" xfId="15845"/>
    <cellStyle name="Normal 534 6 2 2" xfId="33466"/>
    <cellStyle name="Normal 534 6 3" xfId="26456"/>
    <cellStyle name="Normal 534 7" xfId="12013"/>
    <cellStyle name="Normal 534 7 2" xfId="29681"/>
    <cellStyle name="Normal 534 8" xfId="23595"/>
    <cellStyle name="Normal 534 9" xfId="52521"/>
    <cellStyle name="Normal 535" xfId="2921"/>
    <cellStyle name="Normal 535 2" xfId="4989"/>
    <cellStyle name="Normal 535 3" xfId="4990"/>
    <cellStyle name="Normal 535 4" xfId="52522"/>
    <cellStyle name="Normal 536" xfId="2922"/>
    <cellStyle name="Normal 536 2" xfId="4991"/>
    <cellStyle name="Normal 536 3" xfId="4992"/>
    <cellStyle name="Normal 536 4" xfId="52523"/>
    <cellStyle name="Normal 537" xfId="2923"/>
    <cellStyle name="Normal 537 2" xfId="4993"/>
    <cellStyle name="Normal 537 3" xfId="4994"/>
    <cellStyle name="Normal 537 4" xfId="52524"/>
    <cellStyle name="Normal 538" xfId="2924"/>
    <cellStyle name="Normal 538 2" xfId="4996"/>
    <cellStyle name="Normal 538 3" xfId="4997"/>
    <cellStyle name="Normal 538 4" xfId="4995"/>
    <cellStyle name="Normal 538 5" xfId="52525"/>
    <cellStyle name="Normal 539" xfId="2925"/>
    <cellStyle name="Normal 539 2" xfId="4999"/>
    <cellStyle name="Normal 539 3" xfId="5000"/>
    <cellStyle name="Normal 539 4" xfId="4998"/>
    <cellStyle name="Normal 539 5" xfId="52526"/>
    <cellStyle name="Normal 54" xfId="2926"/>
    <cellStyle name="Normal 54 2" xfId="5001"/>
    <cellStyle name="Normal 54 3" xfId="52527"/>
    <cellStyle name="Normal 540" xfId="2927"/>
    <cellStyle name="Normal 540 2" xfId="5002"/>
    <cellStyle name="Normal 540 3" xfId="5003"/>
    <cellStyle name="Normal 540 4" xfId="52528"/>
    <cellStyle name="Normal 541" xfId="2928"/>
    <cellStyle name="Normal 541 2" xfId="5005"/>
    <cellStyle name="Normal 541 3" xfId="5006"/>
    <cellStyle name="Normal 541 4" xfId="5004"/>
    <cellStyle name="Normal 541 5" xfId="52529"/>
    <cellStyle name="Normal 542" xfId="2929"/>
    <cellStyle name="Normal 542 2" xfId="5007"/>
    <cellStyle name="Normal 542 3" xfId="5008"/>
    <cellStyle name="Normal 542 4" xfId="52530"/>
    <cellStyle name="Normal 543" xfId="2930"/>
    <cellStyle name="Normal 543 2" xfId="5009"/>
    <cellStyle name="Normal 543 3" xfId="5010"/>
    <cellStyle name="Normal 543 4" xfId="52531"/>
    <cellStyle name="Normal 544" xfId="2931"/>
    <cellStyle name="Normal 544 2" xfId="5012"/>
    <cellStyle name="Normal 544 3" xfId="5013"/>
    <cellStyle name="Normal 544 4" xfId="5011"/>
    <cellStyle name="Normal 544 5" xfId="52532"/>
    <cellStyle name="Normal 545" xfId="2932"/>
    <cellStyle name="Normal 545 2" xfId="5014"/>
    <cellStyle name="Normal 545 3" xfId="5015"/>
    <cellStyle name="Normal 545 4" xfId="52533"/>
    <cellStyle name="Normal 546" xfId="2933"/>
    <cellStyle name="Normal 546 2" xfId="5017"/>
    <cellStyle name="Normal 546 3" xfId="5018"/>
    <cellStyle name="Normal 546 4" xfId="5016"/>
    <cellStyle name="Normal 546 5" xfId="52534"/>
    <cellStyle name="Normal 547" xfId="2934"/>
    <cellStyle name="Normal 547 2" xfId="5019"/>
    <cellStyle name="Normal 547 3" xfId="5020"/>
    <cellStyle name="Normal 547 4" xfId="52535"/>
    <cellStyle name="Normal 548" xfId="2935"/>
    <cellStyle name="Normal 548 2" xfId="5021"/>
    <cellStyle name="Normal 548 3" xfId="5022"/>
    <cellStyle name="Normal 548 4" xfId="52536"/>
    <cellStyle name="Normal 549" xfId="2936"/>
    <cellStyle name="Normal 549 2" xfId="5024"/>
    <cellStyle name="Normal 549 3" xfId="5025"/>
    <cellStyle name="Normal 549 4" xfId="5023"/>
    <cellStyle name="Normal 549 5" xfId="52537"/>
    <cellStyle name="Normal 55" xfId="2937"/>
    <cellStyle name="Normal 55 2" xfId="5026"/>
    <cellStyle name="Normal 55 3" xfId="52538"/>
    <cellStyle name="Normal 550" xfId="2938"/>
    <cellStyle name="Normal 550 2" xfId="5027"/>
    <cellStyle name="Normal 550 3" xfId="5028"/>
    <cellStyle name="Normal 551" xfId="2939"/>
    <cellStyle name="Normal 551 2" xfId="5029"/>
    <cellStyle name="Normal 551 3" xfId="5030"/>
    <cellStyle name="Normal 552" xfId="2940"/>
    <cellStyle name="Normal 552 2" xfId="5031"/>
    <cellStyle name="Normal 552 3" xfId="5032"/>
    <cellStyle name="Normal 553" xfId="2941"/>
    <cellStyle name="Normal 553 2" xfId="5033"/>
    <cellStyle name="Normal 553 3" xfId="5034"/>
    <cellStyle name="Normal 554" xfId="2942"/>
    <cellStyle name="Normal 554 2" xfId="5035"/>
    <cellStyle name="Normal 554 3" xfId="5036"/>
    <cellStyle name="Normal 555" xfId="2943"/>
    <cellStyle name="Normal 555 2" xfId="5037"/>
    <cellStyle name="Normal 555 3" xfId="5038"/>
    <cellStyle name="Normal 556" xfId="2944"/>
    <cellStyle name="Normal 556 2" xfId="5039"/>
    <cellStyle name="Normal 556 3" xfId="5040"/>
    <cellStyle name="Normal 557" xfId="2945"/>
    <cellStyle name="Normal 557 2" xfId="5041"/>
    <cellStyle name="Normal 557 3" xfId="5042"/>
    <cellStyle name="Normal 558" xfId="2946"/>
    <cellStyle name="Normal 558 2" xfId="5043"/>
    <cellStyle name="Normal 558 3" xfId="5044"/>
    <cellStyle name="Normal 559" xfId="2947"/>
    <cellStyle name="Normal 559 2" xfId="5045"/>
    <cellStyle name="Normal 559 3" xfId="5046"/>
    <cellStyle name="Normal 559 4" xfId="52539"/>
    <cellStyle name="Normal 56" xfId="2948"/>
    <cellStyle name="Normal 56 2" xfId="5047"/>
    <cellStyle name="Normal 56 3" xfId="52540"/>
    <cellStyle name="Normal 560" xfId="2949"/>
    <cellStyle name="Normal 560 2" xfId="5049"/>
    <cellStyle name="Normal 560 3" xfId="5050"/>
    <cellStyle name="Normal 560 4" xfId="5048"/>
    <cellStyle name="Normal 561" xfId="5051"/>
    <cellStyle name="Normal 561 2" xfId="5052"/>
    <cellStyle name="Normal 561 3" xfId="5053"/>
    <cellStyle name="Normal 562" xfId="5054"/>
    <cellStyle name="Normal 562 2" xfId="5055"/>
    <cellStyle name="Normal 562 3" xfId="5056"/>
    <cellStyle name="Normal 563" xfId="5057"/>
    <cellStyle name="Normal 563 2" xfId="5058"/>
    <cellStyle name="Normal 563 3" xfId="5059"/>
    <cellStyle name="Normal 564" xfId="5060"/>
    <cellStyle name="Normal 564 2" xfId="5061"/>
    <cellStyle name="Normal 564 3" xfId="5062"/>
    <cellStyle name="Normal 565" xfId="5063"/>
    <cellStyle name="Normal 565 2" xfId="5064"/>
    <cellStyle name="Normal 565 3" xfId="5065"/>
    <cellStyle name="Normal 566" xfId="5066"/>
    <cellStyle name="Normal 566 2" xfId="5067"/>
    <cellStyle name="Normal 566 3" xfId="5068"/>
    <cellStyle name="Normal 567" xfId="5069"/>
    <cellStyle name="Normal 567 2" xfId="5070"/>
    <cellStyle name="Normal 567 3" xfId="5071"/>
    <cellStyle name="Normal 568" xfId="2950"/>
    <cellStyle name="Normal 568 2" xfId="2951"/>
    <cellStyle name="Normal 568 2 2" xfId="5073"/>
    <cellStyle name="Normal 568 2 3" xfId="52542"/>
    <cellStyle name="Normal 568 3" xfId="5074"/>
    <cellStyle name="Normal 568 4" xfId="5072"/>
    <cellStyle name="Normal 568 5" xfId="52541"/>
    <cellStyle name="Normal 569" xfId="5075"/>
    <cellStyle name="Normal 569 2" xfId="5076"/>
    <cellStyle name="Normal 569 3" xfId="5077"/>
    <cellStyle name="Normal 57" xfId="2952"/>
    <cellStyle name="Normal 57 2" xfId="5078"/>
    <cellStyle name="Normal 57 3" xfId="52543"/>
    <cellStyle name="Normal 570" xfId="5079"/>
    <cellStyle name="Normal 570 2" xfId="5080"/>
    <cellStyle name="Normal 570 3" xfId="5081"/>
    <cellStyle name="Normal 571" xfId="5082"/>
    <cellStyle name="Normal 571 2" xfId="5083"/>
    <cellStyle name="Normal 571 3" xfId="5084"/>
    <cellStyle name="Normal 572" xfId="5085"/>
    <cellStyle name="Normal 572 2" xfId="5086"/>
    <cellStyle name="Normal 572 3" xfId="5087"/>
    <cellStyle name="Normal 573" xfId="5088"/>
    <cellStyle name="Normal 573 2" xfId="5089"/>
    <cellStyle name="Normal 573 3" xfId="5090"/>
    <cellStyle name="Normal 574" xfId="5091"/>
    <cellStyle name="Normal 574 2" xfId="5092"/>
    <cellStyle name="Normal 574 3" xfId="5093"/>
    <cellStyle name="Normal 575" xfId="5094"/>
    <cellStyle name="Normal 575 2" xfId="5095"/>
    <cellStyle name="Normal 575 3" xfId="5096"/>
    <cellStyle name="Normal 576" xfId="5097"/>
    <cellStyle name="Normal 576 2" xfId="5098"/>
    <cellStyle name="Normal 576 3" xfId="5099"/>
    <cellStyle name="Normal 577" xfId="5100"/>
    <cellStyle name="Normal 577 2" xfId="5101"/>
    <cellStyle name="Normal 577 3" xfId="5102"/>
    <cellStyle name="Normal 578" xfId="5103"/>
    <cellStyle name="Normal 578 2" xfId="5104"/>
    <cellStyle name="Normal 578 3" xfId="5105"/>
    <cellStyle name="Normal 579" xfId="5106"/>
    <cellStyle name="Normal 579 2" xfId="5107"/>
    <cellStyle name="Normal 579 3" xfId="5108"/>
    <cellStyle name="Normal 58" xfId="2953"/>
    <cellStyle name="Normal 58 2" xfId="5109"/>
    <cellStyle name="Normal 58 3" xfId="52544"/>
    <cellStyle name="Normal 580" xfId="5110"/>
    <cellStyle name="Normal 580 2" xfId="5111"/>
    <cellStyle name="Normal 580 3" xfId="5112"/>
    <cellStyle name="Normal 581" xfId="5113"/>
    <cellStyle name="Normal 581 2" xfId="5114"/>
    <cellStyle name="Normal 581 3" xfId="5115"/>
    <cellStyle name="Normal 582" xfId="5116"/>
    <cellStyle name="Normal 582 2" xfId="5117"/>
    <cellStyle name="Normal 582 3" xfId="5118"/>
    <cellStyle name="Normal 583" xfId="5119"/>
    <cellStyle name="Normal 583 2" xfId="5120"/>
    <cellStyle name="Normal 583 3" xfId="5121"/>
    <cellStyle name="Normal 584" xfId="5122"/>
    <cellStyle name="Normal 584 2" xfId="5123"/>
    <cellStyle name="Normal 584 3" xfId="5124"/>
    <cellStyle name="Normal 585" xfId="5125"/>
    <cellStyle name="Normal 585 2" xfId="5126"/>
    <cellStyle name="Normal 585 3" xfId="5127"/>
    <cellStyle name="Normal 586" xfId="5128"/>
    <cellStyle name="Normal 586 2" xfId="5129"/>
    <cellStyle name="Normal 586 3" xfId="5130"/>
    <cellStyle name="Normal 587" xfId="5131"/>
    <cellStyle name="Normal 588" xfId="5132"/>
    <cellStyle name="Normal 589" xfId="5133"/>
    <cellStyle name="Normal 59" xfId="2954"/>
    <cellStyle name="Normal 59 2" xfId="5134"/>
    <cellStyle name="Normal 59 3" xfId="52545"/>
    <cellStyle name="Normal 590" xfId="5135"/>
    <cellStyle name="Normal 591" xfId="5136"/>
    <cellStyle name="Normal 592" xfId="5137"/>
    <cellStyle name="Normal 593" xfId="5138"/>
    <cellStyle name="Normal 594" xfId="5139"/>
    <cellStyle name="Normal 595" xfId="5140"/>
    <cellStyle name="Normal 596" xfId="5141"/>
    <cellStyle name="Normal 597" xfId="5142"/>
    <cellStyle name="Normal 598" xfId="5143"/>
    <cellStyle name="Normal 599" xfId="5144"/>
    <cellStyle name="Normal 6" xfId="129"/>
    <cellStyle name="Normal 6 10" xfId="2956"/>
    <cellStyle name="Normal 6 10 2" xfId="2957"/>
    <cellStyle name="Normal 6 10 2 2" xfId="5146"/>
    <cellStyle name="Normal 6 10 2 3" xfId="52547"/>
    <cellStyle name="Normal 6 10 3" xfId="2958"/>
    <cellStyle name="Normal 6 10 3 2" xfId="2959"/>
    <cellStyle name="Normal 6 10 3 2 2" xfId="5148"/>
    <cellStyle name="Normal 6 10 3 2 3" xfId="52549"/>
    <cellStyle name="Normal 6 10 3 3" xfId="5147"/>
    <cellStyle name="Normal 6 10 3 4" xfId="52548"/>
    <cellStyle name="Normal 6 10 4" xfId="5149"/>
    <cellStyle name="Normal 6 10 5" xfId="5145"/>
    <cellStyle name="Normal 6 10 6" xfId="52546"/>
    <cellStyle name="Normal 6 11" xfId="2960"/>
    <cellStyle name="Normal 6 11 2" xfId="5150"/>
    <cellStyle name="Normal 6 11 3" xfId="52550"/>
    <cellStyle name="Normal 6 12" xfId="2961"/>
    <cellStyle name="Normal 6 12 2" xfId="2962"/>
    <cellStyle name="Normal 6 12 2 2" xfId="5152"/>
    <cellStyle name="Normal 6 12 2 3" xfId="52552"/>
    <cellStyle name="Normal 6 12 3" xfId="5151"/>
    <cellStyle name="Normal 6 12 4" xfId="52551"/>
    <cellStyle name="Normal 6 13" xfId="2963"/>
    <cellStyle name="Normal 6 13 2" xfId="2964"/>
    <cellStyle name="Normal 6 13 2 2" xfId="5154"/>
    <cellStyle name="Normal 6 13 2 3" xfId="5153"/>
    <cellStyle name="Normal 6 13 3" xfId="2965"/>
    <cellStyle name="Normal 6 13 3 2" xfId="2966"/>
    <cellStyle name="Normal 6 13 3 2 2" xfId="5156"/>
    <cellStyle name="Normal 6 13 3 2 3" xfId="52555"/>
    <cellStyle name="Normal 6 13 3 3" xfId="5155"/>
    <cellStyle name="Normal 6 13 3 4" xfId="52554"/>
    <cellStyle name="Normal 6 13 4" xfId="2967"/>
    <cellStyle name="Normal 6 13 4 2" xfId="5158"/>
    <cellStyle name="Normal 6 13 4 3" xfId="5157"/>
    <cellStyle name="Normal 6 13 4 4" xfId="52556"/>
    <cellStyle name="Normal 6 13 5" xfId="2968"/>
    <cellStyle name="Normal 6 13 6" xfId="52553"/>
    <cellStyle name="Normal 6 14" xfId="2969"/>
    <cellStyle name="Normal 6 14 2" xfId="5159"/>
    <cellStyle name="Normal 6 14 3" xfId="52557"/>
    <cellStyle name="Normal 6 15" xfId="2970"/>
    <cellStyle name="Normal 6 15 2" xfId="5160"/>
    <cellStyle name="Normal 6 15 3" xfId="52558"/>
    <cellStyle name="Normal 6 16" xfId="2971"/>
    <cellStyle name="Normal 6 16 2" xfId="2972"/>
    <cellStyle name="Normal 6 16 2 2" xfId="5162"/>
    <cellStyle name="Normal 6 16 2 3" xfId="52560"/>
    <cellStyle name="Normal 6 16 3" xfId="5163"/>
    <cellStyle name="Normal 6 16 4" xfId="5161"/>
    <cellStyle name="Normal 6 16 5" xfId="52559"/>
    <cellStyle name="Normal 6 17" xfId="5164"/>
    <cellStyle name="Normal 6 18" xfId="21942"/>
    <cellStyle name="Normal 6 18 2" xfId="38681"/>
    <cellStyle name="Normal 6 19" xfId="2955"/>
    <cellStyle name="Normal 6 2" xfId="130"/>
    <cellStyle name="Normal 6 2 2" xfId="2974"/>
    <cellStyle name="Normal 6 2 2 2" xfId="22992"/>
    <cellStyle name="Normal 6 2 2 3" xfId="22693"/>
    <cellStyle name="Normal 6 2 3" xfId="2975"/>
    <cellStyle name="Normal 6 2 3 2" xfId="5165"/>
    <cellStyle name="Normal 6 2 3 3" xfId="52561"/>
    <cellStyle name="Normal 6 2 4" xfId="2973"/>
    <cellStyle name="Normal 6 2_Sheet1" xfId="2976"/>
    <cellStyle name="Normal 6 3" xfId="2977"/>
    <cellStyle name="Normal 6 4" xfId="2978"/>
    <cellStyle name="Normal 6 4 2" xfId="2979"/>
    <cellStyle name="Normal 6 4 2 2" xfId="5167"/>
    <cellStyle name="Normal 6 4 2 3" xfId="52563"/>
    <cellStyle name="Normal 6 4 3" xfId="5166"/>
    <cellStyle name="Normal 6 4 4" xfId="52562"/>
    <cellStyle name="Normal 6 5" xfId="2980"/>
    <cellStyle name="Normal 6 5 2" xfId="2981"/>
    <cellStyle name="Normal 6 5 3" xfId="2982"/>
    <cellStyle name="Normal 6 5 3 2" xfId="5169"/>
    <cellStyle name="Normal 6 5 3 3" xfId="52565"/>
    <cellStyle name="Normal 6 5 4" xfId="2983"/>
    <cellStyle name="Normal 6 5 4 2" xfId="2984"/>
    <cellStyle name="Normal 6 5 4 2 2" xfId="5171"/>
    <cellStyle name="Normal 6 5 4 2 3" xfId="52567"/>
    <cellStyle name="Normal 6 5 4 3" xfId="5170"/>
    <cellStyle name="Normal 6 5 4 4" xfId="52566"/>
    <cellStyle name="Normal 6 5 5" xfId="5172"/>
    <cellStyle name="Normal 6 5 6" xfId="5168"/>
    <cellStyle name="Normal 6 5 7" xfId="52564"/>
    <cellStyle name="Normal 6 6" xfId="2985"/>
    <cellStyle name="Normal 6 6 2" xfId="2986"/>
    <cellStyle name="Normal 6 6 2 2" xfId="5174"/>
    <cellStyle name="Normal 6 6 2 3" xfId="52569"/>
    <cellStyle name="Normal 6 6 3" xfId="2987"/>
    <cellStyle name="Normal 6 6 3 2" xfId="2988"/>
    <cellStyle name="Normal 6 6 3 2 2" xfId="5176"/>
    <cellStyle name="Normal 6 6 3 2 3" xfId="52571"/>
    <cellStyle name="Normal 6 6 3 3" xfId="5175"/>
    <cellStyle name="Normal 6 6 3 4" xfId="52570"/>
    <cellStyle name="Normal 6 6 4" xfId="5177"/>
    <cellStyle name="Normal 6 6 5" xfId="5173"/>
    <cellStyle name="Normal 6 6 6" xfId="52568"/>
    <cellStyle name="Normal 6 7" xfId="2989"/>
    <cellStyle name="Normal 6 7 2" xfId="2990"/>
    <cellStyle name="Normal 6 7 2 2" xfId="5179"/>
    <cellStyle name="Normal 6 7 2 3" xfId="52573"/>
    <cellStyle name="Normal 6 7 3" xfId="2991"/>
    <cellStyle name="Normal 6 7 3 2" xfId="2992"/>
    <cellStyle name="Normal 6 7 3 2 2" xfId="5181"/>
    <cellStyle name="Normal 6 7 3 2 3" xfId="52575"/>
    <cellStyle name="Normal 6 7 3 3" xfId="5180"/>
    <cellStyle name="Normal 6 7 3 4" xfId="52574"/>
    <cellStyle name="Normal 6 7 4" xfId="5182"/>
    <cellStyle name="Normal 6 7 5" xfId="5178"/>
    <cellStyle name="Normal 6 7 6" xfId="52572"/>
    <cellStyle name="Normal 6 8" xfId="2993"/>
    <cellStyle name="Normal 6 8 2" xfId="2994"/>
    <cellStyle name="Normal 6 8 2 2" xfId="5184"/>
    <cellStyle name="Normal 6 8 2 3" xfId="52577"/>
    <cellStyle name="Normal 6 8 3" xfId="2995"/>
    <cellStyle name="Normal 6 8 3 2" xfId="2996"/>
    <cellStyle name="Normal 6 8 3 2 2" xfId="5186"/>
    <cellStyle name="Normal 6 8 3 2 3" xfId="52579"/>
    <cellStyle name="Normal 6 8 3 3" xfId="5185"/>
    <cellStyle name="Normal 6 8 3 4" xfId="52578"/>
    <cellStyle name="Normal 6 8 4" xfId="5187"/>
    <cellStyle name="Normal 6 8 5" xfId="5183"/>
    <cellStyle name="Normal 6 8 6" xfId="52576"/>
    <cellStyle name="Normal 6 9" xfId="2997"/>
    <cellStyle name="Normal 6 9 2" xfId="5188"/>
    <cellStyle name="Normal 6 9 3" xfId="52580"/>
    <cellStyle name="Normal 6_Sheet1" xfId="2998"/>
    <cellStyle name="Normal 60" xfId="2999"/>
    <cellStyle name="Normal 60 2" xfId="5189"/>
    <cellStyle name="Normal 60 3" xfId="52581"/>
    <cellStyle name="Normal 600" xfId="5190"/>
    <cellStyle name="Normal 601" xfId="5191"/>
    <cellStyle name="Normal 602" xfId="5192"/>
    <cellStyle name="Normal 603" xfId="5193"/>
    <cellStyle name="Normal 604" xfId="5194"/>
    <cellStyle name="Normal 605" xfId="5195"/>
    <cellStyle name="Normal 606" xfId="5196"/>
    <cellStyle name="Normal 607" xfId="5197"/>
    <cellStyle name="Normal 608" xfId="5198"/>
    <cellStyle name="Normal 609" xfId="5199"/>
    <cellStyle name="Normal 61" xfId="3000"/>
    <cellStyle name="Normal 61 2" xfId="5200"/>
    <cellStyle name="Normal 61 3" xfId="52582"/>
    <cellStyle name="Normal 610" xfId="5201"/>
    <cellStyle name="Normal 611" xfId="5202"/>
    <cellStyle name="Normal 611 2" xfId="5994"/>
    <cellStyle name="Normal 611 2 2" xfId="9291"/>
    <cellStyle name="Normal 611 2 2 2" xfId="17080"/>
    <cellStyle name="Normal 611 2 2 2 2" xfId="34702"/>
    <cellStyle name="Normal 611 2 2 3" xfId="27665"/>
    <cellStyle name="Normal 611 2 3" xfId="13844"/>
    <cellStyle name="Normal 611 2 3 2" xfId="31470"/>
    <cellStyle name="Normal 611 2 4" xfId="24804"/>
    <cellStyle name="Normal 611 3" xfId="6624"/>
    <cellStyle name="Normal 611 3 2" xfId="9831"/>
    <cellStyle name="Normal 611 3 2 2" xfId="17619"/>
    <cellStyle name="Normal 611 3 2 2 2" xfId="35242"/>
    <cellStyle name="Normal 611 3 2 3" xfId="28201"/>
    <cellStyle name="Normal 611 3 3" xfId="14407"/>
    <cellStyle name="Normal 611 3 3 2" xfId="32028"/>
    <cellStyle name="Normal 611 3 4" xfId="25340"/>
    <cellStyle name="Normal 611 4" xfId="7399"/>
    <cellStyle name="Normal 611 4 2" xfId="10384"/>
    <cellStyle name="Normal 611 4 2 2" xfId="18171"/>
    <cellStyle name="Normal 611 4 2 2 2" xfId="35794"/>
    <cellStyle name="Normal 611 4 2 3" xfId="28737"/>
    <cellStyle name="Normal 611 4 3" xfId="15181"/>
    <cellStyle name="Normal 611 4 3 2" xfId="32802"/>
    <cellStyle name="Normal 611 4 4" xfId="25877"/>
    <cellStyle name="Normal 611 5" xfId="8737"/>
    <cellStyle name="Normal 611 5 2" xfId="16527"/>
    <cellStyle name="Normal 611 5 2 2" xfId="34148"/>
    <cellStyle name="Normal 611 5 3" xfId="27124"/>
    <cellStyle name="Normal 611 6" xfId="13194"/>
    <cellStyle name="Normal 611 6 2" xfId="30825"/>
    <cellStyle name="Normal 611 7" xfId="24263"/>
    <cellStyle name="Normal 612" xfId="5203"/>
    <cellStyle name="Normal 612 2" xfId="5995"/>
    <cellStyle name="Normal 612 2 2" xfId="9292"/>
    <cellStyle name="Normal 612 2 2 2" xfId="17081"/>
    <cellStyle name="Normal 612 2 2 2 2" xfId="34703"/>
    <cellStyle name="Normal 612 2 2 3" xfId="27666"/>
    <cellStyle name="Normal 612 2 3" xfId="13845"/>
    <cellStyle name="Normal 612 2 3 2" xfId="31471"/>
    <cellStyle name="Normal 612 2 4" xfId="24805"/>
    <cellStyle name="Normal 612 3" xfId="6625"/>
    <cellStyle name="Normal 612 3 2" xfId="9832"/>
    <cellStyle name="Normal 612 3 2 2" xfId="17620"/>
    <cellStyle name="Normal 612 3 2 2 2" xfId="35243"/>
    <cellStyle name="Normal 612 3 2 3" xfId="28202"/>
    <cellStyle name="Normal 612 3 3" xfId="14408"/>
    <cellStyle name="Normal 612 3 3 2" xfId="32029"/>
    <cellStyle name="Normal 612 3 4" xfId="25341"/>
    <cellStyle name="Normal 612 4" xfId="7400"/>
    <cellStyle name="Normal 612 4 2" xfId="10385"/>
    <cellStyle name="Normal 612 4 2 2" xfId="18172"/>
    <cellStyle name="Normal 612 4 2 2 2" xfId="35795"/>
    <cellStyle name="Normal 612 4 2 3" xfId="28738"/>
    <cellStyle name="Normal 612 4 3" xfId="15182"/>
    <cellStyle name="Normal 612 4 3 2" xfId="32803"/>
    <cellStyle name="Normal 612 4 4" xfId="25878"/>
    <cellStyle name="Normal 612 5" xfId="8738"/>
    <cellStyle name="Normal 612 5 2" xfId="16528"/>
    <cellStyle name="Normal 612 5 2 2" xfId="34149"/>
    <cellStyle name="Normal 612 5 3" xfId="27125"/>
    <cellStyle name="Normal 612 6" xfId="13195"/>
    <cellStyle name="Normal 612 6 2" xfId="30826"/>
    <cellStyle name="Normal 612 7" xfId="24264"/>
    <cellStyle name="Normal 613" xfId="5204"/>
    <cellStyle name="Normal 613 2" xfId="5996"/>
    <cellStyle name="Normal 613 2 2" xfId="9293"/>
    <cellStyle name="Normal 613 2 2 2" xfId="17082"/>
    <cellStyle name="Normal 613 2 2 2 2" xfId="34704"/>
    <cellStyle name="Normal 613 2 2 3" xfId="27667"/>
    <cellStyle name="Normal 613 2 3" xfId="13846"/>
    <cellStyle name="Normal 613 2 3 2" xfId="31472"/>
    <cellStyle name="Normal 613 2 4" xfId="24806"/>
    <cellStyle name="Normal 613 3" xfId="6626"/>
    <cellStyle name="Normal 613 3 2" xfId="9833"/>
    <cellStyle name="Normal 613 3 2 2" xfId="17621"/>
    <cellStyle name="Normal 613 3 2 2 2" xfId="35244"/>
    <cellStyle name="Normal 613 3 2 3" xfId="28203"/>
    <cellStyle name="Normal 613 3 3" xfId="14409"/>
    <cellStyle name="Normal 613 3 3 2" xfId="32030"/>
    <cellStyle name="Normal 613 3 4" xfId="25342"/>
    <cellStyle name="Normal 613 4" xfId="7401"/>
    <cellStyle name="Normal 613 4 2" xfId="10386"/>
    <cellStyle name="Normal 613 4 2 2" xfId="18173"/>
    <cellStyle name="Normal 613 4 2 2 2" xfId="35796"/>
    <cellStyle name="Normal 613 4 2 3" xfId="28739"/>
    <cellStyle name="Normal 613 4 3" xfId="15183"/>
    <cellStyle name="Normal 613 4 3 2" xfId="32804"/>
    <cellStyle name="Normal 613 4 4" xfId="25879"/>
    <cellStyle name="Normal 613 5" xfId="8739"/>
    <cellStyle name="Normal 613 5 2" xfId="16529"/>
    <cellStyle name="Normal 613 5 2 2" xfId="34150"/>
    <cellStyle name="Normal 613 5 3" xfId="27126"/>
    <cellStyle name="Normal 613 6" xfId="13196"/>
    <cellStyle name="Normal 613 6 2" xfId="30827"/>
    <cellStyle name="Normal 613 7" xfId="24265"/>
    <cellStyle name="Normal 614" xfId="5205"/>
    <cellStyle name="Normal 614 2" xfId="5997"/>
    <cellStyle name="Normal 614 2 2" xfId="9294"/>
    <cellStyle name="Normal 614 2 2 2" xfId="17083"/>
    <cellStyle name="Normal 614 2 2 2 2" xfId="34705"/>
    <cellStyle name="Normal 614 2 2 3" xfId="27668"/>
    <cellStyle name="Normal 614 2 3" xfId="13847"/>
    <cellStyle name="Normal 614 2 3 2" xfId="31473"/>
    <cellStyle name="Normal 614 2 4" xfId="24807"/>
    <cellStyle name="Normal 614 3" xfId="6627"/>
    <cellStyle name="Normal 614 3 2" xfId="9834"/>
    <cellStyle name="Normal 614 3 2 2" xfId="17622"/>
    <cellStyle name="Normal 614 3 2 2 2" xfId="35245"/>
    <cellStyle name="Normal 614 3 2 3" xfId="28204"/>
    <cellStyle name="Normal 614 3 3" xfId="14410"/>
    <cellStyle name="Normal 614 3 3 2" xfId="32031"/>
    <cellStyle name="Normal 614 3 4" xfId="25343"/>
    <cellStyle name="Normal 614 4" xfId="7402"/>
    <cellStyle name="Normal 614 4 2" xfId="10387"/>
    <cellStyle name="Normal 614 4 2 2" xfId="18174"/>
    <cellStyle name="Normal 614 4 2 2 2" xfId="35797"/>
    <cellStyle name="Normal 614 4 2 3" xfId="28740"/>
    <cellStyle name="Normal 614 4 3" xfId="15184"/>
    <cellStyle name="Normal 614 4 3 2" xfId="32805"/>
    <cellStyle name="Normal 614 4 4" xfId="25880"/>
    <cellStyle name="Normal 614 5" xfId="8740"/>
    <cellStyle name="Normal 614 5 2" xfId="16530"/>
    <cellStyle name="Normal 614 5 2 2" xfId="34151"/>
    <cellStyle name="Normal 614 5 3" xfId="27127"/>
    <cellStyle name="Normal 614 6" xfId="13197"/>
    <cellStyle name="Normal 614 6 2" xfId="30828"/>
    <cellStyle name="Normal 614 7" xfId="24266"/>
    <cellStyle name="Normal 615" xfId="5206"/>
    <cellStyle name="Normal 615 2" xfId="5998"/>
    <cellStyle name="Normal 615 2 2" xfId="9295"/>
    <cellStyle name="Normal 615 2 2 2" xfId="17084"/>
    <cellStyle name="Normal 615 2 2 2 2" xfId="34706"/>
    <cellStyle name="Normal 615 2 2 3" xfId="27669"/>
    <cellStyle name="Normal 615 2 3" xfId="13848"/>
    <cellStyle name="Normal 615 2 3 2" xfId="31474"/>
    <cellStyle name="Normal 615 2 4" xfId="24808"/>
    <cellStyle name="Normal 615 3" xfId="6628"/>
    <cellStyle name="Normal 615 3 2" xfId="9835"/>
    <cellStyle name="Normal 615 3 2 2" xfId="17623"/>
    <cellStyle name="Normal 615 3 2 2 2" xfId="35246"/>
    <cellStyle name="Normal 615 3 2 3" xfId="28205"/>
    <cellStyle name="Normal 615 3 3" xfId="14411"/>
    <cellStyle name="Normal 615 3 3 2" xfId="32032"/>
    <cellStyle name="Normal 615 3 4" xfId="25344"/>
    <cellStyle name="Normal 615 4" xfId="7403"/>
    <cellStyle name="Normal 615 4 2" xfId="10388"/>
    <cellStyle name="Normal 615 4 2 2" xfId="18175"/>
    <cellStyle name="Normal 615 4 2 2 2" xfId="35798"/>
    <cellStyle name="Normal 615 4 2 3" xfId="28741"/>
    <cellStyle name="Normal 615 4 3" xfId="15185"/>
    <cellStyle name="Normal 615 4 3 2" xfId="32806"/>
    <cellStyle name="Normal 615 4 4" xfId="25881"/>
    <cellStyle name="Normal 615 5" xfId="8741"/>
    <cellStyle name="Normal 615 5 2" xfId="16531"/>
    <cellStyle name="Normal 615 5 2 2" xfId="34152"/>
    <cellStyle name="Normal 615 5 3" xfId="27128"/>
    <cellStyle name="Normal 615 6" xfId="13198"/>
    <cellStyle name="Normal 615 6 2" xfId="30829"/>
    <cellStyle name="Normal 615 7" xfId="24267"/>
    <cellStyle name="Normal 616" xfId="5207"/>
    <cellStyle name="Normal 616 2" xfId="5999"/>
    <cellStyle name="Normal 616 2 2" xfId="9296"/>
    <cellStyle name="Normal 616 2 2 2" xfId="17085"/>
    <cellStyle name="Normal 616 2 2 2 2" xfId="34707"/>
    <cellStyle name="Normal 616 2 2 3" xfId="27670"/>
    <cellStyle name="Normal 616 2 3" xfId="13849"/>
    <cellStyle name="Normal 616 2 3 2" xfId="31475"/>
    <cellStyle name="Normal 616 2 4" xfId="24809"/>
    <cellStyle name="Normal 616 3" xfId="6629"/>
    <cellStyle name="Normal 616 3 2" xfId="9836"/>
    <cellStyle name="Normal 616 3 2 2" xfId="17624"/>
    <cellStyle name="Normal 616 3 2 2 2" xfId="35247"/>
    <cellStyle name="Normal 616 3 2 3" xfId="28206"/>
    <cellStyle name="Normal 616 3 3" xfId="14412"/>
    <cellStyle name="Normal 616 3 3 2" xfId="32033"/>
    <cellStyle name="Normal 616 3 4" xfId="25345"/>
    <cellStyle name="Normal 616 4" xfId="7404"/>
    <cellStyle name="Normal 616 4 2" xfId="10389"/>
    <cellStyle name="Normal 616 4 2 2" xfId="18176"/>
    <cellStyle name="Normal 616 4 2 2 2" xfId="35799"/>
    <cellStyle name="Normal 616 4 2 3" xfId="28742"/>
    <cellStyle name="Normal 616 4 3" xfId="15186"/>
    <cellStyle name="Normal 616 4 3 2" xfId="32807"/>
    <cellStyle name="Normal 616 4 4" xfId="25882"/>
    <cellStyle name="Normal 616 5" xfId="8742"/>
    <cellStyle name="Normal 616 5 2" xfId="16532"/>
    <cellStyle name="Normal 616 5 2 2" xfId="34153"/>
    <cellStyle name="Normal 616 5 3" xfId="27129"/>
    <cellStyle name="Normal 616 6" xfId="13199"/>
    <cellStyle name="Normal 616 6 2" xfId="30830"/>
    <cellStyle name="Normal 616 7" xfId="24268"/>
    <cellStyle name="Normal 617" xfId="5208"/>
    <cellStyle name="Normal 617 2" xfId="6000"/>
    <cellStyle name="Normal 617 2 2" xfId="9297"/>
    <cellStyle name="Normal 617 2 2 2" xfId="17086"/>
    <cellStyle name="Normal 617 2 2 2 2" xfId="34708"/>
    <cellStyle name="Normal 617 2 2 3" xfId="27671"/>
    <cellStyle name="Normal 617 2 3" xfId="13850"/>
    <cellStyle name="Normal 617 2 3 2" xfId="31476"/>
    <cellStyle name="Normal 617 2 4" xfId="24810"/>
    <cellStyle name="Normal 617 3" xfId="6630"/>
    <cellStyle name="Normal 617 3 2" xfId="9837"/>
    <cellStyle name="Normal 617 3 2 2" xfId="17625"/>
    <cellStyle name="Normal 617 3 2 2 2" xfId="35248"/>
    <cellStyle name="Normal 617 3 2 3" xfId="28207"/>
    <cellStyle name="Normal 617 3 3" xfId="14413"/>
    <cellStyle name="Normal 617 3 3 2" xfId="32034"/>
    <cellStyle name="Normal 617 3 4" xfId="25346"/>
    <cellStyle name="Normal 617 4" xfId="7405"/>
    <cellStyle name="Normal 617 4 2" xfId="10390"/>
    <cellStyle name="Normal 617 4 2 2" xfId="18177"/>
    <cellStyle name="Normal 617 4 2 2 2" xfId="35800"/>
    <cellStyle name="Normal 617 4 2 3" xfId="28743"/>
    <cellStyle name="Normal 617 4 3" xfId="15187"/>
    <cellStyle name="Normal 617 4 3 2" xfId="32808"/>
    <cellStyle name="Normal 617 4 4" xfId="25883"/>
    <cellStyle name="Normal 617 5" xfId="8743"/>
    <cellStyle name="Normal 617 5 2" xfId="16533"/>
    <cellStyle name="Normal 617 5 2 2" xfId="34154"/>
    <cellStyle name="Normal 617 5 3" xfId="27130"/>
    <cellStyle name="Normal 617 6" xfId="13200"/>
    <cellStyle name="Normal 617 6 2" xfId="30831"/>
    <cellStyle name="Normal 617 7" xfId="24269"/>
    <cellStyle name="Normal 618" xfId="5209"/>
    <cellStyle name="Normal 618 2" xfId="6001"/>
    <cellStyle name="Normal 618 2 2" xfId="9298"/>
    <cellStyle name="Normal 618 2 2 2" xfId="17087"/>
    <cellStyle name="Normal 618 2 2 2 2" xfId="34709"/>
    <cellStyle name="Normal 618 2 2 3" xfId="27672"/>
    <cellStyle name="Normal 618 2 3" xfId="13851"/>
    <cellStyle name="Normal 618 2 3 2" xfId="31477"/>
    <cellStyle name="Normal 618 2 4" xfId="24811"/>
    <cellStyle name="Normal 618 3" xfId="6631"/>
    <cellStyle name="Normal 618 3 2" xfId="9838"/>
    <cellStyle name="Normal 618 3 2 2" xfId="17626"/>
    <cellStyle name="Normal 618 3 2 2 2" xfId="35249"/>
    <cellStyle name="Normal 618 3 2 3" xfId="28208"/>
    <cellStyle name="Normal 618 3 3" xfId="14414"/>
    <cellStyle name="Normal 618 3 3 2" xfId="32035"/>
    <cellStyle name="Normal 618 3 4" xfId="25347"/>
    <cellStyle name="Normal 618 4" xfId="7406"/>
    <cellStyle name="Normal 618 4 2" xfId="10391"/>
    <cellStyle name="Normal 618 4 2 2" xfId="18178"/>
    <cellStyle name="Normal 618 4 2 2 2" xfId="35801"/>
    <cellStyle name="Normal 618 4 2 3" xfId="28744"/>
    <cellStyle name="Normal 618 4 3" xfId="15188"/>
    <cellStyle name="Normal 618 4 3 2" xfId="32809"/>
    <cellStyle name="Normal 618 4 4" xfId="25884"/>
    <cellStyle name="Normal 618 5" xfId="8744"/>
    <cellStyle name="Normal 618 5 2" xfId="16534"/>
    <cellStyle name="Normal 618 5 2 2" xfId="34155"/>
    <cellStyle name="Normal 618 5 3" xfId="27131"/>
    <cellStyle name="Normal 618 6" xfId="13201"/>
    <cellStyle name="Normal 618 6 2" xfId="30832"/>
    <cellStyle name="Normal 618 7" xfId="24270"/>
    <cellStyle name="Normal 619" xfId="5210"/>
    <cellStyle name="Normal 619 2" xfId="6002"/>
    <cellStyle name="Normal 619 2 2" xfId="9299"/>
    <cellStyle name="Normal 619 2 2 2" xfId="17088"/>
    <cellStyle name="Normal 619 2 2 2 2" xfId="34710"/>
    <cellStyle name="Normal 619 2 2 3" xfId="27673"/>
    <cellStyle name="Normal 619 2 3" xfId="13852"/>
    <cellStyle name="Normal 619 2 3 2" xfId="31478"/>
    <cellStyle name="Normal 619 2 4" xfId="24812"/>
    <cellStyle name="Normal 619 3" xfId="6632"/>
    <cellStyle name="Normal 619 3 2" xfId="9839"/>
    <cellStyle name="Normal 619 3 2 2" xfId="17627"/>
    <cellStyle name="Normal 619 3 2 2 2" xfId="35250"/>
    <cellStyle name="Normal 619 3 2 3" xfId="28209"/>
    <cellStyle name="Normal 619 3 3" xfId="14415"/>
    <cellStyle name="Normal 619 3 3 2" xfId="32036"/>
    <cellStyle name="Normal 619 3 4" xfId="25348"/>
    <cellStyle name="Normal 619 4" xfId="7407"/>
    <cellStyle name="Normal 619 4 2" xfId="10392"/>
    <cellStyle name="Normal 619 4 2 2" xfId="18179"/>
    <cellStyle name="Normal 619 4 2 2 2" xfId="35802"/>
    <cellStyle name="Normal 619 4 2 3" xfId="28745"/>
    <cellStyle name="Normal 619 4 3" xfId="15189"/>
    <cellStyle name="Normal 619 4 3 2" xfId="32810"/>
    <cellStyle name="Normal 619 4 4" xfId="25885"/>
    <cellStyle name="Normal 619 5" xfId="8745"/>
    <cellStyle name="Normal 619 5 2" xfId="16535"/>
    <cellStyle name="Normal 619 5 2 2" xfId="34156"/>
    <cellStyle name="Normal 619 5 3" xfId="27132"/>
    <cellStyle name="Normal 619 6" xfId="13202"/>
    <cellStyle name="Normal 619 6 2" xfId="30833"/>
    <cellStyle name="Normal 619 7" xfId="24271"/>
    <cellStyle name="Normal 62" xfId="3001"/>
    <cellStyle name="Normal 62 2" xfId="5211"/>
    <cellStyle name="Normal 62 3" xfId="52583"/>
    <cellStyle name="Normal 620" xfId="5212"/>
    <cellStyle name="Normal 620 2" xfId="6003"/>
    <cellStyle name="Normal 620 2 2" xfId="9300"/>
    <cellStyle name="Normal 620 2 2 2" xfId="17089"/>
    <cellStyle name="Normal 620 2 2 2 2" xfId="34711"/>
    <cellStyle name="Normal 620 2 2 3" xfId="27674"/>
    <cellStyle name="Normal 620 2 3" xfId="13853"/>
    <cellStyle name="Normal 620 2 3 2" xfId="31479"/>
    <cellStyle name="Normal 620 2 4" xfId="24813"/>
    <cellStyle name="Normal 620 3" xfId="6633"/>
    <cellStyle name="Normal 620 3 2" xfId="9840"/>
    <cellStyle name="Normal 620 3 2 2" xfId="17628"/>
    <cellStyle name="Normal 620 3 2 2 2" xfId="35251"/>
    <cellStyle name="Normal 620 3 2 3" xfId="28210"/>
    <cellStyle name="Normal 620 3 3" xfId="14416"/>
    <cellStyle name="Normal 620 3 3 2" xfId="32037"/>
    <cellStyle name="Normal 620 3 4" xfId="25349"/>
    <cellStyle name="Normal 620 4" xfId="7408"/>
    <cellStyle name="Normal 620 4 2" xfId="10393"/>
    <cellStyle name="Normal 620 4 2 2" xfId="18180"/>
    <cellStyle name="Normal 620 4 2 2 2" xfId="35803"/>
    <cellStyle name="Normal 620 4 2 3" xfId="28746"/>
    <cellStyle name="Normal 620 4 3" xfId="15190"/>
    <cellStyle name="Normal 620 4 3 2" xfId="32811"/>
    <cellStyle name="Normal 620 4 4" xfId="25886"/>
    <cellStyle name="Normal 620 5" xfId="8746"/>
    <cellStyle name="Normal 620 5 2" xfId="16536"/>
    <cellStyle name="Normal 620 5 2 2" xfId="34157"/>
    <cellStyle name="Normal 620 5 3" xfId="27133"/>
    <cellStyle name="Normal 620 6" xfId="13203"/>
    <cellStyle name="Normal 620 6 2" xfId="30834"/>
    <cellStyle name="Normal 620 7" xfId="24272"/>
    <cellStyle name="Normal 621" xfId="5213"/>
    <cellStyle name="Normal 621 2" xfId="6004"/>
    <cellStyle name="Normal 621 2 2" xfId="9301"/>
    <cellStyle name="Normal 621 2 2 2" xfId="17090"/>
    <cellStyle name="Normal 621 2 2 2 2" xfId="34712"/>
    <cellStyle name="Normal 621 2 2 3" xfId="27675"/>
    <cellStyle name="Normal 621 2 3" xfId="13854"/>
    <cellStyle name="Normal 621 2 3 2" xfId="31480"/>
    <cellStyle name="Normal 621 2 4" xfId="24814"/>
    <cellStyle name="Normal 621 3" xfId="6634"/>
    <cellStyle name="Normal 621 3 2" xfId="9841"/>
    <cellStyle name="Normal 621 3 2 2" xfId="17629"/>
    <cellStyle name="Normal 621 3 2 2 2" xfId="35252"/>
    <cellStyle name="Normal 621 3 2 3" xfId="28211"/>
    <cellStyle name="Normal 621 3 3" xfId="14417"/>
    <cellStyle name="Normal 621 3 3 2" xfId="32038"/>
    <cellStyle name="Normal 621 3 4" xfId="25350"/>
    <cellStyle name="Normal 621 4" xfId="7409"/>
    <cellStyle name="Normal 621 4 2" xfId="10394"/>
    <cellStyle name="Normal 621 4 2 2" xfId="18181"/>
    <cellStyle name="Normal 621 4 2 2 2" xfId="35804"/>
    <cellStyle name="Normal 621 4 2 3" xfId="28747"/>
    <cellStyle name="Normal 621 4 3" xfId="15191"/>
    <cellStyle name="Normal 621 4 3 2" xfId="32812"/>
    <cellStyle name="Normal 621 4 4" xfId="25887"/>
    <cellStyle name="Normal 621 5" xfId="8747"/>
    <cellStyle name="Normal 621 5 2" xfId="16537"/>
    <cellStyle name="Normal 621 5 2 2" xfId="34158"/>
    <cellStyle name="Normal 621 5 3" xfId="27134"/>
    <cellStyle name="Normal 621 6" xfId="13204"/>
    <cellStyle name="Normal 621 6 2" xfId="30835"/>
    <cellStyle name="Normal 621 7" xfId="24273"/>
    <cellStyle name="Normal 622" xfId="5214"/>
    <cellStyle name="Normal 622 2" xfId="6005"/>
    <cellStyle name="Normal 622 2 2" xfId="9302"/>
    <cellStyle name="Normal 622 2 2 2" xfId="17091"/>
    <cellStyle name="Normal 622 2 2 2 2" xfId="34713"/>
    <cellStyle name="Normal 622 2 2 3" xfId="27676"/>
    <cellStyle name="Normal 622 2 3" xfId="13855"/>
    <cellStyle name="Normal 622 2 3 2" xfId="31481"/>
    <cellStyle name="Normal 622 2 4" xfId="24815"/>
    <cellStyle name="Normal 622 3" xfId="6635"/>
    <cellStyle name="Normal 622 3 2" xfId="9842"/>
    <cellStyle name="Normal 622 3 2 2" xfId="17630"/>
    <cellStyle name="Normal 622 3 2 2 2" xfId="35253"/>
    <cellStyle name="Normal 622 3 2 3" xfId="28212"/>
    <cellStyle name="Normal 622 3 3" xfId="14418"/>
    <cellStyle name="Normal 622 3 3 2" xfId="32039"/>
    <cellStyle name="Normal 622 3 4" xfId="25351"/>
    <cellStyle name="Normal 622 4" xfId="7410"/>
    <cellStyle name="Normal 622 4 2" xfId="10395"/>
    <cellStyle name="Normal 622 4 2 2" xfId="18182"/>
    <cellStyle name="Normal 622 4 2 2 2" xfId="35805"/>
    <cellStyle name="Normal 622 4 2 3" xfId="28748"/>
    <cellStyle name="Normal 622 4 3" xfId="15192"/>
    <cellStyle name="Normal 622 4 3 2" xfId="32813"/>
    <cellStyle name="Normal 622 4 4" xfId="25888"/>
    <cellStyle name="Normal 622 5" xfId="8748"/>
    <cellStyle name="Normal 622 5 2" xfId="16538"/>
    <cellStyle name="Normal 622 5 2 2" xfId="34159"/>
    <cellStyle name="Normal 622 5 3" xfId="27135"/>
    <cellStyle name="Normal 622 6" xfId="13205"/>
    <cellStyle name="Normal 622 6 2" xfId="30836"/>
    <cellStyle name="Normal 622 7" xfId="24274"/>
    <cellStyle name="Normal 623" xfId="5215"/>
    <cellStyle name="Normal 623 2" xfId="6006"/>
    <cellStyle name="Normal 623 2 2" xfId="9303"/>
    <cellStyle name="Normal 623 2 2 2" xfId="17092"/>
    <cellStyle name="Normal 623 2 2 2 2" xfId="34714"/>
    <cellStyle name="Normal 623 2 2 3" xfId="27677"/>
    <cellStyle name="Normal 623 2 3" xfId="13856"/>
    <cellStyle name="Normal 623 2 3 2" xfId="31482"/>
    <cellStyle name="Normal 623 2 4" xfId="24816"/>
    <cellStyle name="Normal 623 3" xfId="6636"/>
    <cellStyle name="Normal 623 3 2" xfId="9843"/>
    <cellStyle name="Normal 623 3 2 2" xfId="17631"/>
    <cellStyle name="Normal 623 3 2 2 2" xfId="35254"/>
    <cellStyle name="Normal 623 3 2 3" xfId="28213"/>
    <cellStyle name="Normal 623 3 3" xfId="14419"/>
    <cellStyle name="Normal 623 3 3 2" xfId="32040"/>
    <cellStyle name="Normal 623 3 4" xfId="25352"/>
    <cellStyle name="Normal 623 4" xfId="7411"/>
    <cellStyle name="Normal 623 4 2" xfId="10396"/>
    <cellStyle name="Normal 623 4 2 2" xfId="18183"/>
    <cellStyle name="Normal 623 4 2 2 2" xfId="35806"/>
    <cellStyle name="Normal 623 4 2 3" xfId="28749"/>
    <cellStyle name="Normal 623 4 3" xfId="15193"/>
    <cellStyle name="Normal 623 4 3 2" xfId="32814"/>
    <cellStyle name="Normal 623 4 4" xfId="25889"/>
    <cellStyle name="Normal 623 5" xfId="8749"/>
    <cellStyle name="Normal 623 5 2" xfId="16539"/>
    <cellStyle name="Normal 623 5 2 2" xfId="34160"/>
    <cellStyle name="Normal 623 5 3" xfId="27136"/>
    <cellStyle name="Normal 623 6" xfId="13206"/>
    <cellStyle name="Normal 623 6 2" xfId="30837"/>
    <cellStyle name="Normal 623 7" xfId="24275"/>
    <cellStyle name="Normal 624" xfId="5216"/>
    <cellStyle name="Normal 624 2" xfId="6007"/>
    <cellStyle name="Normal 624 2 2" xfId="9304"/>
    <cellStyle name="Normal 624 2 2 2" xfId="17093"/>
    <cellStyle name="Normal 624 2 2 2 2" xfId="34715"/>
    <cellStyle name="Normal 624 2 2 3" xfId="27678"/>
    <cellStyle name="Normal 624 2 3" xfId="13857"/>
    <cellStyle name="Normal 624 2 3 2" xfId="31483"/>
    <cellStyle name="Normal 624 2 4" xfId="24817"/>
    <cellStyle name="Normal 624 3" xfId="6637"/>
    <cellStyle name="Normal 624 3 2" xfId="9844"/>
    <cellStyle name="Normal 624 3 2 2" xfId="17632"/>
    <cellStyle name="Normal 624 3 2 2 2" xfId="35255"/>
    <cellStyle name="Normal 624 3 2 3" xfId="28214"/>
    <cellStyle name="Normal 624 3 3" xfId="14420"/>
    <cellStyle name="Normal 624 3 3 2" xfId="32041"/>
    <cellStyle name="Normal 624 3 4" xfId="25353"/>
    <cellStyle name="Normal 624 4" xfId="7412"/>
    <cellStyle name="Normal 624 4 2" xfId="10397"/>
    <cellStyle name="Normal 624 4 2 2" xfId="18184"/>
    <cellStyle name="Normal 624 4 2 2 2" xfId="35807"/>
    <cellStyle name="Normal 624 4 2 3" xfId="28750"/>
    <cellStyle name="Normal 624 4 3" xfId="15194"/>
    <cellStyle name="Normal 624 4 3 2" xfId="32815"/>
    <cellStyle name="Normal 624 4 4" xfId="25890"/>
    <cellStyle name="Normal 624 5" xfId="8750"/>
    <cellStyle name="Normal 624 5 2" xfId="16540"/>
    <cellStyle name="Normal 624 5 2 2" xfId="34161"/>
    <cellStyle name="Normal 624 5 3" xfId="27137"/>
    <cellStyle name="Normal 624 6" xfId="13207"/>
    <cellStyle name="Normal 624 6 2" xfId="30838"/>
    <cellStyle name="Normal 624 7" xfId="24276"/>
    <cellStyle name="Normal 625" xfId="5217"/>
    <cellStyle name="Normal 625 2" xfId="6008"/>
    <cellStyle name="Normal 625 2 2" xfId="9305"/>
    <cellStyle name="Normal 625 2 2 2" xfId="17094"/>
    <cellStyle name="Normal 625 2 2 2 2" xfId="34716"/>
    <cellStyle name="Normal 625 2 2 3" xfId="27679"/>
    <cellStyle name="Normal 625 2 3" xfId="13858"/>
    <cellStyle name="Normal 625 2 3 2" xfId="31484"/>
    <cellStyle name="Normal 625 2 4" xfId="24818"/>
    <cellStyle name="Normal 625 3" xfId="6638"/>
    <cellStyle name="Normal 625 3 2" xfId="9845"/>
    <cellStyle name="Normal 625 3 2 2" xfId="17633"/>
    <cellStyle name="Normal 625 3 2 2 2" xfId="35256"/>
    <cellStyle name="Normal 625 3 2 3" xfId="28215"/>
    <cellStyle name="Normal 625 3 3" xfId="14421"/>
    <cellStyle name="Normal 625 3 3 2" xfId="32042"/>
    <cellStyle name="Normal 625 3 4" xfId="25354"/>
    <cellStyle name="Normal 625 4" xfId="7413"/>
    <cellStyle name="Normal 625 4 2" xfId="10398"/>
    <cellStyle name="Normal 625 4 2 2" xfId="18185"/>
    <cellStyle name="Normal 625 4 2 2 2" xfId="35808"/>
    <cellStyle name="Normal 625 4 2 3" xfId="28751"/>
    <cellStyle name="Normal 625 4 3" xfId="15195"/>
    <cellStyle name="Normal 625 4 3 2" xfId="32816"/>
    <cellStyle name="Normal 625 4 4" xfId="25891"/>
    <cellStyle name="Normal 625 5" xfId="8751"/>
    <cellStyle name="Normal 625 5 2" xfId="16541"/>
    <cellStyle name="Normal 625 5 2 2" xfId="34162"/>
    <cellStyle name="Normal 625 5 3" xfId="27138"/>
    <cellStyle name="Normal 625 6" xfId="13208"/>
    <cellStyle name="Normal 625 6 2" xfId="30839"/>
    <cellStyle name="Normal 625 7" xfId="24277"/>
    <cellStyle name="Normal 626" xfId="5218"/>
    <cellStyle name="Normal 626 2" xfId="6009"/>
    <cellStyle name="Normal 626 2 2" xfId="9306"/>
    <cellStyle name="Normal 626 2 2 2" xfId="17095"/>
    <cellStyle name="Normal 626 2 2 2 2" xfId="34717"/>
    <cellStyle name="Normal 626 2 2 3" xfId="27680"/>
    <cellStyle name="Normal 626 2 3" xfId="13859"/>
    <cellStyle name="Normal 626 2 3 2" xfId="31485"/>
    <cellStyle name="Normal 626 2 4" xfId="24819"/>
    <cellStyle name="Normal 626 3" xfId="6639"/>
    <cellStyle name="Normal 626 3 2" xfId="9846"/>
    <cellStyle name="Normal 626 3 2 2" xfId="17634"/>
    <cellStyle name="Normal 626 3 2 2 2" xfId="35257"/>
    <cellStyle name="Normal 626 3 2 3" xfId="28216"/>
    <cellStyle name="Normal 626 3 3" xfId="14422"/>
    <cellStyle name="Normal 626 3 3 2" xfId="32043"/>
    <cellStyle name="Normal 626 3 4" xfId="25355"/>
    <cellStyle name="Normal 626 4" xfId="7414"/>
    <cellStyle name="Normal 626 4 2" xfId="10399"/>
    <cellStyle name="Normal 626 4 2 2" xfId="18186"/>
    <cellStyle name="Normal 626 4 2 2 2" xfId="35809"/>
    <cellStyle name="Normal 626 4 2 3" xfId="28752"/>
    <cellStyle name="Normal 626 4 3" xfId="15196"/>
    <cellStyle name="Normal 626 4 3 2" xfId="32817"/>
    <cellStyle name="Normal 626 4 4" xfId="25892"/>
    <cellStyle name="Normal 626 5" xfId="8752"/>
    <cellStyle name="Normal 626 5 2" xfId="16542"/>
    <cellStyle name="Normal 626 5 2 2" xfId="34163"/>
    <cellStyle name="Normal 626 5 3" xfId="27139"/>
    <cellStyle name="Normal 626 6" xfId="13209"/>
    <cellStyle name="Normal 626 6 2" xfId="30840"/>
    <cellStyle name="Normal 626 7" xfId="24278"/>
    <cellStyle name="Normal 627" xfId="5219"/>
    <cellStyle name="Normal 627 2" xfId="6010"/>
    <cellStyle name="Normal 627 2 2" xfId="9307"/>
    <cellStyle name="Normal 627 2 2 2" xfId="17096"/>
    <cellStyle name="Normal 627 2 2 2 2" xfId="34718"/>
    <cellStyle name="Normal 627 2 2 3" xfId="27681"/>
    <cellStyle name="Normal 627 2 3" xfId="13860"/>
    <cellStyle name="Normal 627 2 3 2" xfId="31486"/>
    <cellStyle name="Normal 627 2 4" xfId="24820"/>
    <cellStyle name="Normal 627 3" xfId="6640"/>
    <cellStyle name="Normal 627 3 2" xfId="9847"/>
    <cellStyle name="Normal 627 3 2 2" xfId="17635"/>
    <cellStyle name="Normal 627 3 2 2 2" xfId="35258"/>
    <cellStyle name="Normal 627 3 2 3" xfId="28217"/>
    <cellStyle name="Normal 627 3 3" xfId="14423"/>
    <cellStyle name="Normal 627 3 3 2" xfId="32044"/>
    <cellStyle name="Normal 627 3 4" xfId="25356"/>
    <cellStyle name="Normal 627 4" xfId="7415"/>
    <cellStyle name="Normal 627 4 2" xfId="10400"/>
    <cellStyle name="Normal 627 4 2 2" xfId="18187"/>
    <cellStyle name="Normal 627 4 2 2 2" xfId="35810"/>
    <cellStyle name="Normal 627 4 2 3" xfId="28753"/>
    <cellStyle name="Normal 627 4 3" xfId="15197"/>
    <cellStyle name="Normal 627 4 3 2" xfId="32818"/>
    <cellStyle name="Normal 627 4 4" xfId="25893"/>
    <cellStyle name="Normal 627 5" xfId="8753"/>
    <cellStyle name="Normal 627 5 2" xfId="16543"/>
    <cellStyle name="Normal 627 5 2 2" xfId="34164"/>
    <cellStyle name="Normal 627 5 3" xfId="27140"/>
    <cellStyle name="Normal 627 6" xfId="13210"/>
    <cellStyle name="Normal 627 6 2" xfId="30841"/>
    <cellStyle name="Normal 627 7" xfId="24279"/>
    <cellStyle name="Normal 628" xfId="5220"/>
    <cellStyle name="Normal 628 2" xfId="6011"/>
    <cellStyle name="Normal 628 2 2" xfId="9308"/>
    <cellStyle name="Normal 628 2 2 2" xfId="17097"/>
    <cellStyle name="Normal 628 2 2 2 2" xfId="34719"/>
    <cellStyle name="Normal 628 2 2 3" xfId="27682"/>
    <cellStyle name="Normal 628 2 3" xfId="13861"/>
    <cellStyle name="Normal 628 2 3 2" xfId="31487"/>
    <cellStyle name="Normal 628 2 4" xfId="24821"/>
    <cellStyle name="Normal 628 3" xfId="6641"/>
    <cellStyle name="Normal 628 3 2" xfId="9848"/>
    <cellStyle name="Normal 628 3 2 2" xfId="17636"/>
    <cellStyle name="Normal 628 3 2 2 2" xfId="35259"/>
    <cellStyle name="Normal 628 3 2 3" xfId="28218"/>
    <cellStyle name="Normal 628 3 3" xfId="14424"/>
    <cellStyle name="Normal 628 3 3 2" xfId="32045"/>
    <cellStyle name="Normal 628 3 4" xfId="25357"/>
    <cellStyle name="Normal 628 4" xfId="7416"/>
    <cellStyle name="Normal 628 4 2" xfId="10401"/>
    <cellStyle name="Normal 628 4 2 2" xfId="18188"/>
    <cellStyle name="Normal 628 4 2 2 2" xfId="35811"/>
    <cellStyle name="Normal 628 4 2 3" xfId="28754"/>
    <cellStyle name="Normal 628 4 3" xfId="15198"/>
    <cellStyle name="Normal 628 4 3 2" xfId="32819"/>
    <cellStyle name="Normal 628 4 4" xfId="25894"/>
    <cellStyle name="Normal 628 5" xfId="8754"/>
    <cellStyle name="Normal 628 5 2" xfId="16544"/>
    <cellStyle name="Normal 628 5 2 2" xfId="34165"/>
    <cellStyle name="Normal 628 5 3" xfId="27141"/>
    <cellStyle name="Normal 628 6" xfId="13211"/>
    <cellStyle name="Normal 628 6 2" xfId="30842"/>
    <cellStyle name="Normal 628 7" xfId="24280"/>
    <cellStyle name="Normal 629" xfId="5221"/>
    <cellStyle name="Normal 629 2" xfId="6012"/>
    <cellStyle name="Normal 629 2 2" xfId="9309"/>
    <cellStyle name="Normal 629 2 2 2" xfId="17098"/>
    <cellStyle name="Normal 629 2 2 2 2" xfId="34720"/>
    <cellStyle name="Normal 629 2 2 3" xfId="27683"/>
    <cellStyle name="Normal 629 2 3" xfId="13862"/>
    <cellStyle name="Normal 629 2 3 2" xfId="31488"/>
    <cellStyle name="Normal 629 2 4" xfId="24822"/>
    <cellStyle name="Normal 629 3" xfId="6642"/>
    <cellStyle name="Normal 629 3 2" xfId="9849"/>
    <cellStyle name="Normal 629 3 2 2" xfId="17637"/>
    <cellStyle name="Normal 629 3 2 2 2" xfId="35260"/>
    <cellStyle name="Normal 629 3 2 3" xfId="28219"/>
    <cellStyle name="Normal 629 3 3" xfId="14425"/>
    <cellStyle name="Normal 629 3 3 2" xfId="32046"/>
    <cellStyle name="Normal 629 3 4" xfId="25358"/>
    <cellStyle name="Normal 629 4" xfId="7417"/>
    <cellStyle name="Normal 629 4 2" xfId="10402"/>
    <cellStyle name="Normal 629 4 2 2" xfId="18189"/>
    <cellStyle name="Normal 629 4 2 2 2" xfId="35812"/>
    <cellStyle name="Normal 629 4 2 3" xfId="28755"/>
    <cellStyle name="Normal 629 4 3" xfId="15199"/>
    <cellStyle name="Normal 629 4 3 2" xfId="32820"/>
    <cellStyle name="Normal 629 4 4" xfId="25895"/>
    <cellStyle name="Normal 629 5" xfId="8755"/>
    <cellStyle name="Normal 629 5 2" xfId="16545"/>
    <cellStyle name="Normal 629 5 2 2" xfId="34166"/>
    <cellStyle name="Normal 629 5 3" xfId="27142"/>
    <cellStyle name="Normal 629 6" xfId="13212"/>
    <cellStyle name="Normal 629 6 2" xfId="30843"/>
    <cellStyle name="Normal 629 7" xfId="24281"/>
    <cellStyle name="Normal 63" xfId="3002"/>
    <cellStyle name="Normal 63 2" xfId="5222"/>
    <cellStyle name="Normal 63 3" xfId="52584"/>
    <cellStyle name="Normal 630" xfId="5223"/>
    <cellStyle name="Normal 630 2" xfId="6013"/>
    <cellStyle name="Normal 630 2 2" xfId="9310"/>
    <cellStyle name="Normal 630 2 2 2" xfId="17099"/>
    <cellStyle name="Normal 630 2 2 2 2" xfId="34721"/>
    <cellStyle name="Normal 630 2 2 3" xfId="27684"/>
    <cellStyle name="Normal 630 2 3" xfId="13863"/>
    <cellStyle name="Normal 630 2 3 2" xfId="31489"/>
    <cellStyle name="Normal 630 2 4" xfId="24823"/>
    <cellStyle name="Normal 630 3" xfId="6643"/>
    <cellStyle name="Normal 630 3 2" xfId="9850"/>
    <cellStyle name="Normal 630 3 2 2" xfId="17638"/>
    <cellStyle name="Normal 630 3 2 2 2" xfId="35261"/>
    <cellStyle name="Normal 630 3 2 3" xfId="28220"/>
    <cellStyle name="Normal 630 3 3" xfId="14426"/>
    <cellStyle name="Normal 630 3 3 2" xfId="32047"/>
    <cellStyle name="Normal 630 3 4" xfId="25359"/>
    <cellStyle name="Normal 630 4" xfId="7418"/>
    <cellStyle name="Normal 630 4 2" xfId="10403"/>
    <cellStyle name="Normal 630 4 2 2" xfId="18190"/>
    <cellStyle name="Normal 630 4 2 2 2" xfId="35813"/>
    <cellStyle name="Normal 630 4 2 3" xfId="28756"/>
    <cellStyle name="Normal 630 4 3" xfId="15200"/>
    <cellStyle name="Normal 630 4 3 2" xfId="32821"/>
    <cellStyle name="Normal 630 4 4" xfId="25896"/>
    <cellStyle name="Normal 630 5" xfId="8756"/>
    <cellStyle name="Normal 630 5 2" xfId="16546"/>
    <cellStyle name="Normal 630 5 2 2" xfId="34167"/>
    <cellStyle name="Normal 630 5 3" xfId="27143"/>
    <cellStyle name="Normal 630 6" xfId="13213"/>
    <cellStyle name="Normal 630 6 2" xfId="30844"/>
    <cellStyle name="Normal 630 7" xfId="24282"/>
    <cellStyle name="Normal 631" xfId="5224"/>
    <cellStyle name="Normal 631 2" xfId="6014"/>
    <cellStyle name="Normal 631 2 2" xfId="9311"/>
    <cellStyle name="Normal 631 2 2 2" xfId="17100"/>
    <cellStyle name="Normal 631 2 2 2 2" xfId="34722"/>
    <cellStyle name="Normal 631 2 2 3" xfId="27685"/>
    <cellStyle name="Normal 631 2 3" xfId="13864"/>
    <cellStyle name="Normal 631 2 3 2" xfId="31490"/>
    <cellStyle name="Normal 631 2 4" xfId="24824"/>
    <cellStyle name="Normal 631 3" xfId="6644"/>
    <cellStyle name="Normal 631 3 2" xfId="9851"/>
    <cellStyle name="Normal 631 3 2 2" xfId="17639"/>
    <cellStyle name="Normal 631 3 2 2 2" xfId="35262"/>
    <cellStyle name="Normal 631 3 2 3" xfId="28221"/>
    <cellStyle name="Normal 631 3 3" xfId="14427"/>
    <cellStyle name="Normal 631 3 3 2" xfId="32048"/>
    <cellStyle name="Normal 631 3 4" xfId="25360"/>
    <cellStyle name="Normal 631 4" xfId="7419"/>
    <cellStyle name="Normal 631 4 2" xfId="10404"/>
    <cellStyle name="Normal 631 4 2 2" xfId="18191"/>
    <cellStyle name="Normal 631 4 2 2 2" xfId="35814"/>
    <cellStyle name="Normal 631 4 2 3" xfId="28757"/>
    <cellStyle name="Normal 631 4 3" xfId="15201"/>
    <cellStyle name="Normal 631 4 3 2" xfId="32822"/>
    <cellStyle name="Normal 631 4 4" xfId="25897"/>
    <cellStyle name="Normal 631 5" xfId="8757"/>
    <cellStyle name="Normal 631 5 2" xfId="16547"/>
    <cellStyle name="Normal 631 5 2 2" xfId="34168"/>
    <cellStyle name="Normal 631 5 3" xfId="27144"/>
    <cellStyle name="Normal 631 6" xfId="13214"/>
    <cellStyle name="Normal 631 6 2" xfId="30845"/>
    <cellStyle name="Normal 631 7" xfId="24283"/>
    <cellStyle name="Normal 632" xfId="5225"/>
    <cellStyle name="Normal 632 2" xfId="6015"/>
    <cellStyle name="Normal 632 2 2" xfId="9312"/>
    <cellStyle name="Normal 632 2 2 2" xfId="17101"/>
    <cellStyle name="Normal 632 2 2 2 2" xfId="34723"/>
    <cellStyle name="Normal 632 2 2 3" xfId="27686"/>
    <cellStyle name="Normal 632 2 3" xfId="13865"/>
    <cellStyle name="Normal 632 2 3 2" xfId="31491"/>
    <cellStyle name="Normal 632 2 4" xfId="24825"/>
    <cellStyle name="Normal 632 3" xfId="6645"/>
    <cellStyle name="Normal 632 3 2" xfId="9852"/>
    <cellStyle name="Normal 632 3 2 2" xfId="17640"/>
    <cellStyle name="Normal 632 3 2 2 2" xfId="35263"/>
    <cellStyle name="Normal 632 3 2 3" xfId="28222"/>
    <cellStyle name="Normal 632 3 3" xfId="14428"/>
    <cellStyle name="Normal 632 3 3 2" xfId="32049"/>
    <cellStyle name="Normal 632 3 4" xfId="25361"/>
    <cellStyle name="Normal 632 4" xfId="7420"/>
    <cellStyle name="Normal 632 4 2" xfId="10405"/>
    <cellStyle name="Normal 632 4 2 2" xfId="18192"/>
    <cellStyle name="Normal 632 4 2 2 2" xfId="35815"/>
    <cellStyle name="Normal 632 4 2 3" xfId="28758"/>
    <cellStyle name="Normal 632 4 3" xfId="15202"/>
    <cellStyle name="Normal 632 4 3 2" xfId="32823"/>
    <cellStyle name="Normal 632 4 4" xfId="25898"/>
    <cellStyle name="Normal 632 5" xfId="8758"/>
    <cellStyle name="Normal 632 5 2" xfId="16548"/>
    <cellStyle name="Normal 632 5 2 2" xfId="34169"/>
    <cellStyle name="Normal 632 5 3" xfId="27145"/>
    <cellStyle name="Normal 632 6" xfId="13215"/>
    <cellStyle name="Normal 632 6 2" xfId="30846"/>
    <cellStyle name="Normal 632 7" xfId="24284"/>
    <cellStyle name="Normal 633" xfId="5226"/>
    <cellStyle name="Normal 633 2" xfId="6016"/>
    <cellStyle name="Normal 633 2 2" xfId="9313"/>
    <cellStyle name="Normal 633 2 2 2" xfId="17102"/>
    <cellStyle name="Normal 633 2 2 2 2" xfId="34724"/>
    <cellStyle name="Normal 633 2 2 3" xfId="27687"/>
    <cellStyle name="Normal 633 2 3" xfId="13866"/>
    <cellStyle name="Normal 633 2 3 2" xfId="31492"/>
    <cellStyle name="Normal 633 2 4" xfId="24826"/>
    <cellStyle name="Normal 633 3" xfId="6646"/>
    <cellStyle name="Normal 633 3 2" xfId="9853"/>
    <cellStyle name="Normal 633 3 2 2" xfId="17641"/>
    <cellStyle name="Normal 633 3 2 2 2" xfId="35264"/>
    <cellStyle name="Normal 633 3 2 3" xfId="28223"/>
    <cellStyle name="Normal 633 3 3" xfId="14429"/>
    <cellStyle name="Normal 633 3 3 2" xfId="32050"/>
    <cellStyle name="Normal 633 3 4" xfId="25362"/>
    <cellStyle name="Normal 633 4" xfId="7421"/>
    <cellStyle name="Normal 633 4 2" xfId="10406"/>
    <cellStyle name="Normal 633 4 2 2" xfId="18193"/>
    <cellStyle name="Normal 633 4 2 2 2" xfId="35816"/>
    <cellStyle name="Normal 633 4 2 3" xfId="28759"/>
    <cellStyle name="Normal 633 4 3" xfId="15203"/>
    <cellStyle name="Normal 633 4 3 2" xfId="32824"/>
    <cellStyle name="Normal 633 4 4" xfId="25899"/>
    <cellStyle name="Normal 633 5" xfId="8759"/>
    <cellStyle name="Normal 633 5 2" xfId="16549"/>
    <cellStyle name="Normal 633 5 2 2" xfId="34170"/>
    <cellStyle name="Normal 633 5 3" xfId="27146"/>
    <cellStyle name="Normal 633 6" xfId="13216"/>
    <cellStyle name="Normal 633 6 2" xfId="30847"/>
    <cellStyle name="Normal 633 7" xfId="24285"/>
    <cellStyle name="Normal 634" xfId="5227"/>
    <cellStyle name="Normal 634 2" xfId="6017"/>
    <cellStyle name="Normal 634 2 2" xfId="9314"/>
    <cellStyle name="Normal 634 2 2 2" xfId="17103"/>
    <cellStyle name="Normal 634 2 2 2 2" xfId="34725"/>
    <cellStyle name="Normal 634 2 2 3" xfId="27688"/>
    <cellStyle name="Normal 634 2 3" xfId="13867"/>
    <cellStyle name="Normal 634 2 3 2" xfId="31493"/>
    <cellStyle name="Normal 634 2 4" xfId="24827"/>
    <cellStyle name="Normal 634 3" xfId="6647"/>
    <cellStyle name="Normal 634 3 2" xfId="9854"/>
    <cellStyle name="Normal 634 3 2 2" xfId="17642"/>
    <cellStyle name="Normal 634 3 2 2 2" xfId="35265"/>
    <cellStyle name="Normal 634 3 2 3" xfId="28224"/>
    <cellStyle name="Normal 634 3 3" xfId="14430"/>
    <cellStyle name="Normal 634 3 3 2" xfId="32051"/>
    <cellStyle name="Normal 634 3 4" xfId="25363"/>
    <cellStyle name="Normal 634 4" xfId="7422"/>
    <cellStyle name="Normal 634 4 2" xfId="10407"/>
    <cellStyle name="Normal 634 4 2 2" xfId="18194"/>
    <cellStyle name="Normal 634 4 2 2 2" xfId="35817"/>
    <cellStyle name="Normal 634 4 2 3" xfId="28760"/>
    <cellStyle name="Normal 634 4 3" xfId="15204"/>
    <cellStyle name="Normal 634 4 3 2" xfId="32825"/>
    <cellStyle name="Normal 634 4 4" xfId="25900"/>
    <cellStyle name="Normal 634 5" xfId="8760"/>
    <cellStyle name="Normal 634 5 2" xfId="16550"/>
    <cellStyle name="Normal 634 5 2 2" xfId="34171"/>
    <cellStyle name="Normal 634 5 3" xfId="27147"/>
    <cellStyle name="Normal 634 6" xfId="13217"/>
    <cellStyle name="Normal 634 6 2" xfId="30848"/>
    <cellStyle name="Normal 634 7" xfId="24286"/>
    <cellStyle name="Normal 635" xfId="5228"/>
    <cellStyle name="Normal 635 2" xfId="6018"/>
    <cellStyle name="Normal 635 2 2" xfId="9315"/>
    <cellStyle name="Normal 635 2 2 2" xfId="17104"/>
    <cellStyle name="Normal 635 2 2 2 2" xfId="34726"/>
    <cellStyle name="Normal 635 2 2 3" xfId="27689"/>
    <cellStyle name="Normal 635 2 3" xfId="13868"/>
    <cellStyle name="Normal 635 2 3 2" xfId="31494"/>
    <cellStyle name="Normal 635 2 4" xfId="24828"/>
    <cellStyle name="Normal 635 3" xfId="6648"/>
    <cellStyle name="Normal 635 3 2" xfId="9855"/>
    <cellStyle name="Normal 635 3 2 2" xfId="17643"/>
    <cellStyle name="Normal 635 3 2 2 2" xfId="35266"/>
    <cellStyle name="Normal 635 3 2 3" xfId="28225"/>
    <cellStyle name="Normal 635 3 3" xfId="14431"/>
    <cellStyle name="Normal 635 3 3 2" xfId="32052"/>
    <cellStyle name="Normal 635 3 4" xfId="25364"/>
    <cellStyle name="Normal 635 4" xfId="7423"/>
    <cellStyle name="Normal 635 4 2" xfId="10408"/>
    <cellStyle name="Normal 635 4 2 2" xfId="18195"/>
    <cellStyle name="Normal 635 4 2 2 2" xfId="35818"/>
    <cellStyle name="Normal 635 4 2 3" xfId="28761"/>
    <cellStyle name="Normal 635 4 3" xfId="15205"/>
    <cellStyle name="Normal 635 4 3 2" xfId="32826"/>
    <cellStyle name="Normal 635 4 4" xfId="25901"/>
    <cellStyle name="Normal 635 5" xfId="8761"/>
    <cellStyle name="Normal 635 5 2" xfId="16551"/>
    <cellStyle name="Normal 635 5 2 2" xfId="34172"/>
    <cellStyle name="Normal 635 5 3" xfId="27148"/>
    <cellStyle name="Normal 635 6" xfId="13218"/>
    <cellStyle name="Normal 635 6 2" xfId="30849"/>
    <cellStyle name="Normal 635 7" xfId="24287"/>
    <cellStyle name="Normal 636" xfId="5229"/>
    <cellStyle name="Normal 636 2" xfId="6019"/>
    <cellStyle name="Normal 636 2 2" xfId="9316"/>
    <cellStyle name="Normal 636 2 2 2" xfId="17105"/>
    <cellStyle name="Normal 636 2 2 2 2" xfId="34727"/>
    <cellStyle name="Normal 636 2 2 3" xfId="27690"/>
    <cellStyle name="Normal 636 2 3" xfId="13869"/>
    <cellStyle name="Normal 636 2 3 2" xfId="31495"/>
    <cellStyle name="Normal 636 2 4" xfId="24829"/>
    <cellStyle name="Normal 636 3" xfId="6649"/>
    <cellStyle name="Normal 636 3 2" xfId="9856"/>
    <cellStyle name="Normal 636 3 2 2" xfId="17644"/>
    <cellStyle name="Normal 636 3 2 2 2" xfId="35267"/>
    <cellStyle name="Normal 636 3 2 3" xfId="28226"/>
    <cellStyle name="Normal 636 3 3" xfId="14432"/>
    <cellStyle name="Normal 636 3 3 2" xfId="32053"/>
    <cellStyle name="Normal 636 3 4" xfId="25365"/>
    <cellStyle name="Normal 636 4" xfId="7424"/>
    <cellStyle name="Normal 636 4 2" xfId="10409"/>
    <cellStyle name="Normal 636 4 2 2" xfId="18196"/>
    <cellStyle name="Normal 636 4 2 2 2" xfId="35819"/>
    <cellStyle name="Normal 636 4 2 3" xfId="28762"/>
    <cellStyle name="Normal 636 4 3" xfId="15206"/>
    <cellStyle name="Normal 636 4 3 2" xfId="32827"/>
    <cellStyle name="Normal 636 4 4" xfId="25902"/>
    <cellStyle name="Normal 636 5" xfId="8762"/>
    <cellStyle name="Normal 636 5 2" xfId="16552"/>
    <cellStyle name="Normal 636 5 2 2" xfId="34173"/>
    <cellStyle name="Normal 636 5 3" xfId="27149"/>
    <cellStyle name="Normal 636 6" xfId="13219"/>
    <cellStyle name="Normal 636 6 2" xfId="30850"/>
    <cellStyle name="Normal 636 7" xfId="24288"/>
    <cellStyle name="Normal 637" xfId="5230"/>
    <cellStyle name="Normal 637 2" xfId="6020"/>
    <cellStyle name="Normal 637 2 2" xfId="9317"/>
    <cellStyle name="Normal 637 2 2 2" xfId="17106"/>
    <cellStyle name="Normal 637 2 2 2 2" xfId="34728"/>
    <cellStyle name="Normal 637 2 2 3" xfId="27691"/>
    <cellStyle name="Normal 637 2 3" xfId="13870"/>
    <cellStyle name="Normal 637 2 3 2" xfId="31496"/>
    <cellStyle name="Normal 637 2 4" xfId="24830"/>
    <cellStyle name="Normal 637 3" xfId="6650"/>
    <cellStyle name="Normal 637 3 2" xfId="9857"/>
    <cellStyle name="Normal 637 3 2 2" xfId="17645"/>
    <cellStyle name="Normal 637 3 2 2 2" xfId="35268"/>
    <cellStyle name="Normal 637 3 2 3" xfId="28227"/>
    <cellStyle name="Normal 637 3 3" xfId="14433"/>
    <cellStyle name="Normal 637 3 3 2" xfId="32054"/>
    <cellStyle name="Normal 637 3 4" xfId="25366"/>
    <cellStyle name="Normal 637 4" xfId="7425"/>
    <cellStyle name="Normal 637 4 2" xfId="10410"/>
    <cellStyle name="Normal 637 4 2 2" xfId="18197"/>
    <cellStyle name="Normal 637 4 2 2 2" xfId="35820"/>
    <cellStyle name="Normal 637 4 2 3" xfId="28763"/>
    <cellStyle name="Normal 637 4 3" xfId="15207"/>
    <cellStyle name="Normal 637 4 3 2" xfId="32828"/>
    <cellStyle name="Normal 637 4 4" xfId="25903"/>
    <cellStyle name="Normal 637 5" xfId="8763"/>
    <cellStyle name="Normal 637 5 2" xfId="16553"/>
    <cellStyle name="Normal 637 5 2 2" xfId="34174"/>
    <cellStyle name="Normal 637 5 3" xfId="27150"/>
    <cellStyle name="Normal 637 6" xfId="13220"/>
    <cellStyle name="Normal 637 6 2" xfId="30851"/>
    <cellStyle name="Normal 637 7" xfId="24289"/>
    <cellStyle name="Normal 638" xfId="5231"/>
    <cellStyle name="Normal 638 2" xfId="6021"/>
    <cellStyle name="Normal 638 2 2" xfId="9318"/>
    <cellStyle name="Normal 638 2 2 2" xfId="17107"/>
    <cellStyle name="Normal 638 2 2 2 2" xfId="34729"/>
    <cellStyle name="Normal 638 2 2 3" xfId="27692"/>
    <cellStyle name="Normal 638 2 3" xfId="13871"/>
    <cellStyle name="Normal 638 2 3 2" xfId="31497"/>
    <cellStyle name="Normal 638 2 4" xfId="24831"/>
    <cellStyle name="Normal 638 3" xfId="6651"/>
    <cellStyle name="Normal 638 3 2" xfId="9858"/>
    <cellStyle name="Normal 638 3 2 2" xfId="17646"/>
    <cellStyle name="Normal 638 3 2 2 2" xfId="35269"/>
    <cellStyle name="Normal 638 3 2 3" xfId="28228"/>
    <cellStyle name="Normal 638 3 3" xfId="14434"/>
    <cellStyle name="Normal 638 3 3 2" xfId="32055"/>
    <cellStyle name="Normal 638 3 4" xfId="25367"/>
    <cellStyle name="Normal 638 4" xfId="7426"/>
    <cellStyle name="Normal 638 4 2" xfId="10411"/>
    <cellStyle name="Normal 638 4 2 2" xfId="18198"/>
    <cellStyle name="Normal 638 4 2 2 2" xfId="35821"/>
    <cellStyle name="Normal 638 4 2 3" xfId="28764"/>
    <cellStyle name="Normal 638 4 3" xfId="15208"/>
    <cellStyle name="Normal 638 4 3 2" xfId="32829"/>
    <cellStyle name="Normal 638 4 4" xfId="25904"/>
    <cellStyle name="Normal 638 5" xfId="8764"/>
    <cellStyle name="Normal 638 5 2" xfId="16554"/>
    <cellStyle name="Normal 638 5 2 2" xfId="34175"/>
    <cellStyle name="Normal 638 5 3" xfId="27151"/>
    <cellStyle name="Normal 638 6" xfId="13221"/>
    <cellStyle name="Normal 638 6 2" xfId="30852"/>
    <cellStyle name="Normal 638 7" xfId="24290"/>
    <cellStyle name="Normal 639" xfId="5232"/>
    <cellStyle name="Normal 639 2" xfId="6022"/>
    <cellStyle name="Normal 639 2 2" xfId="9319"/>
    <cellStyle name="Normal 639 2 2 2" xfId="17108"/>
    <cellStyle name="Normal 639 2 2 2 2" xfId="34730"/>
    <cellStyle name="Normal 639 2 2 3" xfId="27693"/>
    <cellStyle name="Normal 639 2 3" xfId="13872"/>
    <cellStyle name="Normal 639 2 3 2" xfId="31498"/>
    <cellStyle name="Normal 639 2 4" xfId="24832"/>
    <cellStyle name="Normal 639 3" xfId="6652"/>
    <cellStyle name="Normal 639 3 2" xfId="9859"/>
    <cellStyle name="Normal 639 3 2 2" xfId="17647"/>
    <cellStyle name="Normal 639 3 2 2 2" xfId="35270"/>
    <cellStyle name="Normal 639 3 2 3" xfId="28229"/>
    <cellStyle name="Normal 639 3 3" xfId="14435"/>
    <cellStyle name="Normal 639 3 3 2" xfId="32056"/>
    <cellStyle name="Normal 639 3 4" xfId="25368"/>
    <cellStyle name="Normal 639 4" xfId="7427"/>
    <cellStyle name="Normal 639 4 2" xfId="10412"/>
    <cellStyle name="Normal 639 4 2 2" xfId="18199"/>
    <cellStyle name="Normal 639 4 2 2 2" xfId="35822"/>
    <cellStyle name="Normal 639 4 2 3" xfId="28765"/>
    <cellStyle name="Normal 639 4 3" xfId="15209"/>
    <cellStyle name="Normal 639 4 3 2" xfId="32830"/>
    <cellStyle name="Normal 639 4 4" xfId="25905"/>
    <cellStyle name="Normal 639 5" xfId="8765"/>
    <cellStyle name="Normal 639 5 2" xfId="16555"/>
    <cellStyle name="Normal 639 5 2 2" xfId="34176"/>
    <cellStyle name="Normal 639 5 3" xfId="27152"/>
    <cellStyle name="Normal 639 6" xfId="13222"/>
    <cellStyle name="Normal 639 6 2" xfId="30853"/>
    <cellStyle name="Normal 639 7" xfId="24291"/>
    <cellStyle name="Normal 64" xfId="3003"/>
    <cellStyle name="Normal 64 2" xfId="3004"/>
    <cellStyle name="Normal 64 2 10" xfId="52585"/>
    <cellStyle name="Normal 64 2 2" xfId="5233"/>
    <cellStyle name="Normal 64 2 2 2" xfId="8766"/>
    <cellStyle name="Normal 64 2 2 2 2" xfId="16556"/>
    <cellStyle name="Normal 64 2 2 2 2 2" xfId="34177"/>
    <cellStyle name="Normal 64 2 2 2 3" xfId="27153"/>
    <cellStyle name="Normal 64 2 2 3" xfId="13223"/>
    <cellStyle name="Normal 64 2 2 3 2" xfId="30854"/>
    <cellStyle name="Normal 64 2 2 4" xfId="24292"/>
    <cellStyle name="Normal 64 2 3" xfId="6023"/>
    <cellStyle name="Normal 64 2 3 2" xfId="9320"/>
    <cellStyle name="Normal 64 2 3 2 2" xfId="17109"/>
    <cellStyle name="Normal 64 2 3 2 2 2" xfId="34731"/>
    <cellStyle name="Normal 64 2 3 2 3" xfId="27694"/>
    <cellStyle name="Normal 64 2 3 3" xfId="13873"/>
    <cellStyle name="Normal 64 2 3 3 2" xfId="31499"/>
    <cellStyle name="Normal 64 2 3 4" xfId="24833"/>
    <cellStyle name="Normal 64 2 4" xfId="6653"/>
    <cellStyle name="Normal 64 2 4 2" xfId="9860"/>
    <cellStyle name="Normal 64 2 4 2 2" xfId="17648"/>
    <cellStyle name="Normal 64 2 4 2 2 2" xfId="35271"/>
    <cellStyle name="Normal 64 2 4 2 3" xfId="28230"/>
    <cellStyle name="Normal 64 2 4 3" xfId="14436"/>
    <cellStyle name="Normal 64 2 4 3 2" xfId="32057"/>
    <cellStyle name="Normal 64 2 4 4" xfId="25369"/>
    <cellStyle name="Normal 64 2 5" xfId="7428"/>
    <cellStyle name="Normal 64 2 5 2" xfId="10413"/>
    <cellStyle name="Normal 64 2 5 2 2" xfId="18200"/>
    <cellStyle name="Normal 64 2 5 2 2 2" xfId="35823"/>
    <cellStyle name="Normal 64 2 5 2 3" xfId="28766"/>
    <cellStyle name="Normal 64 2 5 3" xfId="15210"/>
    <cellStyle name="Normal 64 2 5 3 2" xfId="32831"/>
    <cellStyle name="Normal 64 2 5 4" xfId="25906"/>
    <cellStyle name="Normal 64 2 6" xfId="8055"/>
    <cellStyle name="Normal 64 2 6 2" xfId="15846"/>
    <cellStyle name="Normal 64 2 6 2 2" xfId="33467"/>
    <cellStyle name="Normal 64 2 6 3" xfId="26457"/>
    <cellStyle name="Normal 64 2 7" xfId="12026"/>
    <cellStyle name="Normal 64 2 7 2" xfId="29691"/>
    <cellStyle name="Normal 64 2 8" xfId="21980"/>
    <cellStyle name="Normal 64 2 8 2" xfId="38710"/>
    <cellStyle name="Normal 64 2 9" xfId="23596"/>
    <cellStyle name="Normal 64 3" xfId="3005"/>
    <cellStyle name="Normal 64 3 2" xfId="3006"/>
    <cellStyle name="Normal 64 3_Sheet1" xfId="3007"/>
    <cellStyle name="Normal 64 4" xfId="3008"/>
    <cellStyle name="Normal 64 5" xfId="22993"/>
    <cellStyle name="Normal 64 6" xfId="22566"/>
    <cellStyle name="Normal 64 7" xfId="22882"/>
    <cellStyle name="Normal 64_Sheet1" xfId="3009"/>
    <cellStyle name="Normal 640" xfId="5234"/>
    <cellStyle name="Normal 640 2" xfId="6024"/>
    <cellStyle name="Normal 640 2 2" xfId="9321"/>
    <cellStyle name="Normal 640 2 2 2" xfId="17110"/>
    <cellStyle name="Normal 640 2 2 2 2" xfId="34732"/>
    <cellStyle name="Normal 640 2 2 3" xfId="27695"/>
    <cellStyle name="Normal 640 2 3" xfId="13874"/>
    <cellStyle name="Normal 640 2 3 2" xfId="31500"/>
    <cellStyle name="Normal 640 2 4" xfId="24834"/>
    <cellStyle name="Normal 640 3" xfId="6654"/>
    <cellStyle name="Normal 640 3 2" xfId="9861"/>
    <cellStyle name="Normal 640 3 2 2" xfId="17649"/>
    <cellStyle name="Normal 640 3 2 2 2" xfId="35272"/>
    <cellStyle name="Normal 640 3 2 3" xfId="28231"/>
    <cellStyle name="Normal 640 3 3" xfId="14437"/>
    <cellStyle name="Normal 640 3 3 2" xfId="32058"/>
    <cellStyle name="Normal 640 3 4" xfId="25370"/>
    <cellStyle name="Normal 640 4" xfId="7429"/>
    <cellStyle name="Normal 640 4 2" xfId="10414"/>
    <cellStyle name="Normal 640 4 2 2" xfId="18201"/>
    <cellStyle name="Normal 640 4 2 2 2" xfId="35824"/>
    <cellStyle name="Normal 640 4 2 3" xfId="28767"/>
    <cellStyle name="Normal 640 4 3" xfId="15211"/>
    <cellStyle name="Normal 640 4 3 2" xfId="32832"/>
    <cellStyle name="Normal 640 4 4" xfId="25907"/>
    <cellStyle name="Normal 640 5" xfId="8767"/>
    <cellStyle name="Normal 640 5 2" xfId="16557"/>
    <cellStyle name="Normal 640 5 2 2" xfId="34178"/>
    <cellStyle name="Normal 640 5 3" xfId="27154"/>
    <cellStyle name="Normal 640 6" xfId="13224"/>
    <cellStyle name="Normal 640 6 2" xfId="30855"/>
    <cellStyle name="Normal 640 7" xfId="24293"/>
    <cellStyle name="Normal 641" xfId="5235"/>
    <cellStyle name="Normal 641 2" xfId="6025"/>
    <cellStyle name="Normal 641 2 2" xfId="9322"/>
    <cellStyle name="Normal 641 2 2 2" xfId="17111"/>
    <cellStyle name="Normal 641 2 2 2 2" xfId="34733"/>
    <cellStyle name="Normal 641 2 2 3" xfId="27696"/>
    <cellStyle name="Normal 641 2 3" xfId="13875"/>
    <cellStyle name="Normal 641 2 3 2" xfId="31501"/>
    <cellStyle name="Normal 641 2 4" xfId="24835"/>
    <cellStyle name="Normal 641 3" xfId="6655"/>
    <cellStyle name="Normal 641 3 2" xfId="9862"/>
    <cellStyle name="Normal 641 3 2 2" xfId="17650"/>
    <cellStyle name="Normal 641 3 2 2 2" xfId="35273"/>
    <cellStyle name="Normal 641 3 2 3" xfId="28232"/>
    <cellStyle name="Normal 641 3 3" xfId="14438"/>
    <cellStyle name="Normal 641 3 3 2" xfId="32059"/>
    <cellStyle name="Normal 641 3 4" xfId="25371"/>
    <cellStyle name="Normal 641 4" xfId="7430"/>
    <cellStyle name="Normal 641 4 2" xfId="10415"/>
    <cellStyle name="Normal 641 4 2 2" xfId="18202"/>
    <cellStyle name="Normal 641 4 2 2 2" xfId="35825"/>
    <cellStyle name="Normal 641 4 2 3" xfId="28768"/>
    <cellStyle name="Normal 641 4 3" xfId="15212"/>
    <cellStyle name="Normal 641 4 3 2" xfId="32833"/>
    <cellStyle name="Normal 641 4 4" xfId="25908"/>
    <cellStyle name="Normal 641 5" xfId="8768"/>
    <cellStyle name="Normal 641 5 2" xfId="16558"/>
    <cellStyle name="Normal 641 5 2 2" xfId="34179"/>
    <cellStyle name="Normal 641 5 3" xfId="27155"/>
    <cellStyle name="Normal 641 6" xfId="13225"/>
    <cellStyle name="Normal 641 6 2" xfId="30856"/>
    <cellStyle name="Normal 641 7" xfId="24294"/>
    <cellStyle name="Normal 642" xfId="5236"/>
    <cellStyle name="Normal 642 2" xfId="6026"/>
    <cellStyle name="Normal 642 2 2" xfId="9323"/>
    <cellStyle name="Normal 642 2 2 2" xfId="17112"/>
    <cellStyle name="Normal 642 2 2 2 2" xfId="34734"/>
    <cellStyle name="Normal 642 2 2 3" xfId="27697"/>
    <cellStyle name="Normal 642 2 3" xfId="13876"/>
    <cellStyle name="Normal 642 2 3 2" xfId="31502"/>
    <cellStyle name="Normal 642 2 4" xfId="24836"/>
    <cellStyle name="Normal 642 3" xfId="6656"/>
    <cellStyle name="Normal 642 3 2" xfId="9863"/>
    <cellStyle name="Normal 642 3 2 2" xfId="17651"/>
    <cellStyle name="Normal 642 3 2 2 2" xfId="35274"/>
    <cellStyle name="Normal 642 3 2 3" xfId="28233"/>
    <cellStyle name="Normal 642 3 3" xfId="14439"/>
    <cellStyle name="Normal 642 3 3 2" xfId="32060"/>
    <cellStyle name="Normal 642 3 4" xfId="25372"/>
    <cellStyle name="Normal 642 4" xfId="7431"/>
    <cellStyle name="Normal 642 4 2" xfId="10416"/>
    <cellStyle name="Normal 642 4 2 2" xfId="18203"/>
    <cellStyle name="Normal 642 4 2 2 2" xfId="35826"/>
    <cellStyle name="Normal 642 4 2 3" xfId="28769"/>
    <cellStyle name="Normal 642 4 3" xfId="15213"/>
    <cellStyle name="Normal 642 4 3 2" xfId="32834"/>
    <cellStyle name="Normal 642 4 4" xfId="25909"/>
    <cellStyle name="Normal 642 5" xfId="8769"/>
    <cellStyle name="Normal 642 5 2" xfId="16559"/>
    <cellStyle name="Normal 642 5 2 2" xfId="34180"/>
    <cellStyle name="Normal 642 5 3" xfId="27156"/>
    <cellStyle name="Normal 642 6" xfId="13226"/>
    <cellStyle name="Normal 642 6 2" xfId="30857"/>
    <cellStyle name="Normal 642 7" xfId="24295"/>
    <cellStyle name="Normal 643" xfId="5237"/>
    <cellStyle name="Normal 643 2" xfId="6027"/>
    <cellStyle name="Normal 643 2 2" xfId="9324"/>
    <cellStyle name="Normal 643 2 2 2" xfId="17113"/>
    <cellStyle name="Normal 643 2 2 2 2" xfId="34735"/>
    <cellStyle name="Normal 643 2 2 3" xfId="27698"/>
    <cellStyle name="Normal 643 2 3" xfId="13877"/>
    <cellStyle name="Normal 643 2 3 2" xfId="31503"/>
    <cellStyle name="Normal 643 2 4" xfId="24837"/>
    <cellStyle name="Normal 643 3" xfId="6657"/>
    <cellStyle name="Normal 643 3 2" xfId="9864"/>
    <cellStyle name="Normal 643 3 2 2" xfId="17652"/>
    <cellStyle name="Normal 643 3 2 2 2" xfId="35275"/>
    <cellStyle name="Normal 643 3 2 3" xfId="28234"/>
    <cellStyle name="Normal 643 3 3" xfId="14440"/>
    <cellStyle name="Normal 643 3 3 2" xfId="32061"/>
    <cellStyle name="Normal 643 3 4" xfId="25373"/>
    <cellStyle name="Normal 643 4" xfId="7432"/>
    <cellStyle name="Normal 643 4 2" xfId="10417"/>
    <cellStyle name="Normal 643 4 2 2" xfId="18204"/>
    <cellStyle name="Normal 643 4 2 2 2" xfId="35827"/>
    <cellStyle name="Normal 643 4 2 3" xfId="28770"/>
    <cellStyle name="Normal 643 4 3" xfId="15214"/>
    <cellStyle name="Normal 643 4 3 2" xfId="32835"/>
    <cellStyle name="Normal 643 4 4" xfId="25910"/>
    <cellStyle name="Normal 643 5" xfId="8770"/>
    <cellStyle name="Normal 643 5 2" xfId="16560"/>
    <cellStyle name="Normal 643 5 2 2" xfId="34181"/>
    <cellStyle name="Normal 643 5 3" xfId="27157"/>
    <cellStyle name="Normal 643 6" xfId="13227"/>
    <cellStyle name="Normal 643 6 2" xfId="30858"/>
    <cellStyle name="Normal 643 7" xfId="24296"/>
    <cellStyle name="Normal 644" xfId="5238"/>
    <cellStyle name="Normal 644 2" xfId="6028"/>
    <cellStyle name="Normal 644 2 2" xfId="9325"/>
    <cellStyle name="Normal 644 2 2 2" xfId="17114"/>
    <cellStyle name="Normal 644 2 2 2 2" xfId="34736"/>
    <cellStyle name="Normal 644 2 2 3" xfId="27699"/>
    <cellStyle name="Normal 644 2 3" xfId="13878"/>
    <cellStyle name="Normal 644 2 3 2" xfId="31504"/>
    <cellStyle name="Normal 644 2 4" xfId="24838"/>
    <cellStyle name="Normal 644 3" xfId="6658"/>
    <cellStyle name="Normal 644 3 2" xfId="9865"/>
    <cellStyle name="Normal 644 3 2 2" xfId="17653"/>
    <cellStyle name="Normal 644 3 2 2 2" xfId="35276"/>
    <cellStyle name="Normal 644 3 2 3" xfId="28235"/>
    <cellStyle name="Normal 644 3 3" xfId="14441"/>
    <cellStyle name="Normal 644 3 3 2" xfId="32062"/>
    <cellStyle name="Normal 644 3 4" xfId="25374"/>
    <cellStyle name="Normal 644 4" xfId="7433"/>
    <cellStyle name="Normal 644 4 2" xfId="10418"/>
    <cellStyle name="Normal 644 4 2 2" xfId="18205"/>
    <cellStyle name="Normal 644 4 2 2 2" xfId="35828"/>
    <cellStyle name="Normal 644 4 2 3" xfId="28771"/>
    <cellStyle name="Normal 644 4 3" xfId="15215"/>
    <cellStyle name="Normal 644 4 3 2" xfId="32836"/>
    <cellStyle name="Normal 644 4 4" xfId="25911"/>
    <cellStyle name="Normal 644 5" xfId="8771"/>
    <cellStyle name="Normal 644 5 2" xfId="16561"/>
    <cellStyle name="Normal 644 5 2 2" xfId="34182"/>
    <cellStyle name="Normal 644 5 3" xfId="27158"/>
    <cellStyle name="Normal 644 6" xfId="13228"/>
    <cellStyle name="Normal 644 6 2" xfId="30859"/>
    <cellStyle name="Normal 644 7" xfId="24297"/>
    <cellStyle name="Normal 645" xfId="5239"/>
    <cellStyle name="Normal 645 2" xfId="6029"/>
    <cellStyle name="Normal 645 2 2" xfId="9326"/>
    <cellStyle name="Normal 645 2 2 2" xfId="17115"/>
    <cellStyle name="Normal 645 2 2 2 2" xfId="34737"/>
    <cellStyle name="Normal 645 2 2 3" xfId="27700"/>
    <cellStyle name="Normal 645 2 3" xfId="13879"/>
    <cellStyle name="Normal 645 2 3 2" xfId="31505"/>
    <cellStyle name="Normal 645 2 4" xfId="24839"/>
    <cellStyle name="Normal 645 3" xfId="6659"/>
    <cellStyle name="Normal 645 3 2" xfId="9866"/>
    <cellStyle name="Normal 645 3 2 2" xfId="17654"/>
    <cellStyle name="Normal 645 3 2 2 2" xfId="35277"/>
    <cellStyle name="Normal 645 3 2 3" xfId="28236"/>
    <cellStyle name="Normal 645 3 3" xfId="14442"/>
    <cellStyle name="Normal 645 3 3 2" xfId="32063"/>
    <cellStyle name="Normal 645 3 4" xfId="25375"/>
    <cellStyle name="Normal 645 4" xfId="7434"/>
    <cellStyle name="Normal 645 4 2" xfId="10419"/>
    <cellStyle name="Normal 645 4 2 2" xfId="18206"/>
    <cellStyle name="Normal 645 4 2 2 2" xfId="35829"/>
    <cellStyle name="Normal 645 4 2 3" xfId="28772"/>
    <cellStyle name="Normal 645 4 3" xfId="15216"/>
    <cellStyle name="Normal 645 4 3 2" xfId="32837"/>
    <cellStyle name="Normal 645 4 4" xfId="25912"/>
    <cellStyle name="Normal 645 5" xfId="8772"/>
    <cellStyle name="Normal 645 5 2" xfId="16562"/>
    <cellStyle name="Normal 645 5 2 2" xfId="34183"/>
    <cellStyle name="Normal 645 5 3" xfId="27159"/>
    <cellStyle name="Normal 645 6" xfId="13229"/>
    <cellStyle name="Normal 645 6 2" xfId="30860"/>
    <cellStyle name="Normal 645 7" xfId="24298"/>
    <cellStyle name="Normal 646" xfId="5240"/>
    <cellStyle name="Normal 646 2" xfId="5241"/>
    <cellStyle name="Normal 646 3" xfId="5242"/>
    <cellStyle name="Normal 646 4" xfId="8773"/>
    <cellStyle name="Normal 646 4 2" xfId="16563"/>
    <cellStyle name="Normal 646 4 2 2" xfId="34184"/>
    <cellStyle name="Normal 646 4 3" xfId="27160"/>
    <cellStyle name="Normal 646 5" xfId="13230"/>
    <cellStyle name="Normal 646 5 2" xfId="30861"/>
    <cellStyle name="Normal 646 6" xfId="24299"/>
    <cellStyle name="Normal 647" xfId="5243"/>
    <cellStyle name="Normal 647 2" xfId="8774"/>
    <cellStyle name="Normal 647 2 2" xfId="16564"/>
    <cellStyle name="Normal 647 2 2 2" xfId="34185"/>
    <cellStyle name="Normal 647 2 3" xfId="27161"/>
    <cellStyle name="Normal 647 3" xfId="13231"/>
    <cellStyle name="Normal 647 3 2" xfId="30862"/>
    <cellStyle name="Normal 647 4" xfId="24300"/>
    <cellStyle name="Normal 648" xfId="5244"/>
    <cellStyle name="Normal 648 2" xfId="8775"/>
    <cellStyle name="Normal 648 2 2" xfId="16565"/>
    <cellStyle name="Normal 648 2 2 2" xfId="34186"/>
    <cellStyle name="Normal 648 2 3" xfId="27162"/>
    <cellStyle name="Normal 648 3" xfId="13232"/>
    <cellStyle name="Normal 648 3 2" xfId="30863"/>
    <cellStyle name="Normal 648 4" xfId="24301"/>
    <cellStyle name="Normal 649" xfId="5245"/>
    <cellStyle name="Normal 65" xfId="3010"/>
    <cellStyle name="Normal 65 2" xfId="5246"/>
    <cellStyle name="Normal 65 3" xfId="52586"/>
    <cellStyle name="Normal 650" xfId="5247"/>
    <cellStyle name="Normal 650 2" xfId="8776"/>
    <cellStyle name="Normal 650 2 2" xfId="16566"/>
    <cellStyle name="Normal 650 2 2 2" xfId="34187"/>
    <cellStyle name="Normal 650 2 3" xfId="27163"/>
    <cellStyle name="Normal 650 3" xfId="13233"/>
    <cellStyle name="Normal 650 3 2" xfId="30864"/>
    <cellStyle name="Normal 650 4" xfId="24302"/>
    <cellStyle name="Normal 651" xfId="3451"/>
    <cellStyle name="Normal 652" xfId="3447"/>
    <cellStyle name="Normal 652 2" xfId="8069"/>
    <cellStyle name="Normal 652 2 2" xfId="15859"/>
    <cellStyle name="Normal 652 2 2 2" xfId="33480"/>
    <cellStyle name="Normal 652 2 3" xfId="26469"/>
    <cellStyle name="Normal 652 3" xfId="12174"/>
    <cellStyle name="Normal 652 3 2" xfId="29832"/>
    <cellStyle name="Normal 652 4" xfId="23608"/>
    <cellStyle name="Normal 653" xfId="5505"/>
    <cellStyle name="Normal 654" xfId="6133"/>
    <cellStyle name="Normal 655" xfId="6671"/>
    <cellStyle name="Normal 656" xfId="7509"/>
    <cellStyle name="Normal 657" xfId="8068"/>
    <cellStyle name="Normal 658" xfId="7508"/>
    <cellStyle name="Normal 659" xfId="7503"/>
    <cellStyle name="Normal 659 2" xfId="15296"/>
    <cellStyle name="Normal 659 2 2" xfId="32917"/>
    <cellStyle name="Normal 659 3" xfId="25924"/>
    <cellStyle name="Normal 66" xfId="3011"/>
    <cellStyle name="Normal 66 2" xfId="5248"/>
    <cellStyle name="Normal 66 3" xfId="52587"/>
    <cellStyle name="Normal 660" xfId="18855"/>
    <cellStyle name="Normal 660 2" xfId="36478"/>
    <cellStyle name="Normal 661" xfId="21921"/>
    <cellStyle name="Normal 661 2" xfId="38660"/>
    <cellStyle name="Normal 662" xfId="22648"/>
    <cellStyle name="Normal 662 2" xfId="38871"/>
    <cellStyle name="Normal 663" xfId="21931"/>
    <cellStyle name="Normal 663 2" xfId="38670"/>
    <cellStyle name="Normal 664" xfId="23042"/>
    <cellStyle name="Normal 664 2" xfId="39025"/>
    <cellStyle name="Normal 665" xfId="22863"/>
    <cellStyle name="Normal 665 2" xfId="39002"/>
    <cellStyle name="Normal 666" xfId="23067"/>
    <cellStyle name="Normal 667" xfId="23066"/>
    <cellStyle name="Normal 668" xfId="22011"/>
    <cellStyle name="Normal 669" xfId="47451"/>
    <cellStyle name="Normal 67" xfId="3012"/>
    <cellStyle name="Normal 67 2" xfId="5249"/>
    <cellStyle name="Normal 67 3" xfId="52588"/>
    <cellStyle name="Normal 670" xfId="23054"/>
    <cellStyle name="Normal 671" xfId="51451"/>
    <cellStyle name="Normal 672" xfId="51464"/>
    <cellStyle name="Normal 673" xfId="51477"/>
    <cellStyle name="Normal 674" xfId="51490"/>
    <cellStyle name="Normal 675" xfId="51491"/>
    <cellStyle name="Normal 676" xfId="51492"/>
    <cellStyle name="Normal 677" xfId="51493"/>
    <cellStyle name="Normal 678" xfId="51494"/>
    <cellStyle name="Normal 679" xfId="51495"/>
    <cellStyle name="Normal 68" xfId="3013"/>
    <cellStyle name="Normal 68 2" xfId="5250"/>
    <cellStyle name="Normal 68 3" xfId="52589"/>
    <cellStyle name="Normal 680" xfId="51496"/>
    <cellStyle name="Normal 681" xfId="51497"/>
    <cellStyle name="Normal 682" xfId="51498"/>
    <cellStyle name="Normal 683" xfId="51499"/>
    <cellStyle name="Normal 684" xfId="51500"/>
    <cellStyle name="Normal 685" xfId="51501"/>
    <cellStyle name="Normal 686" xfId="51502"/>
    <cellStyle name="Normal 687" xfId="51503"/>
    <cellStyle name="Normal 688" xfId="51504"/>
    <cellStyle name="Normal 689" xfId="51505"/>
    <cellStyle name="Normal 69" xfId="3014"/>
    <cellStyle name="Normal 69 2" xfId="3015"/>
    <cellStyle name="Normal 69 2 2" xfId="5251"/>
    <cellStyle name="Normal 69 2 3" xfId="52590"/>
    <cellStyle name="Normal 69 3" xfId="3016"/>
    <cellStyle name="Normal 69 3 2" xfId="3017"/>
    <cellStyle name="Normal 69 3_Sheet1" xfId="3018"/>
    <cellStyle name="Normal 69 4" xfId="3019"/>
    <cellStyle name="Normal 69 5" xfId="22994"/>
    <cellStyle name="Normal 69_Sheet1" xfId="3020"/>
    <cellStyle name="Normal 690" xfId="51506"/>
    <cellStyle name="Normal 691" xfId="51507"/>
    <cellStyle name="Normal 692" xfId="51508"/>
    <cellStyle name="Normal 693" xfId="51509"/>
    <cellStyle name="Normal 694" xfId="51510"/>
    <cellStyle name="Normal 695" xfId="51511"/>
    <cellStyle name="Normal 696" xfId="51512"/>
    <cellStyle name="Normal 697" xfId="51513"/>
    <cellStyle name="Normal 698" xfId="51514"/>
    <cellStyle name="Normal 699" xfId="51515"/>
    <cellStyle name="Normal 7" xfId="131"/>
    <cellStyle name="Normal 7 2" xfId="3022"/>
    <cellStyle name="Normal 7 2 2" xfId="3023"/>
    <cellStyle name="Normal 7 2_Sheet1" xfId="3024"/>
    <cellStyle name="Normal 7 3" xfId="3025"/>
    <cellStyle name="Normal 7 4" xfId="22567"/>
    <cellStyle name="Normal 7 5" xfId="22881"/>
    <cellStyle name="Normal 7 6" xfId="3021"/>
    <cellStyle name="Normal 7_Sheet1" xfId="3026"/>
    <cellStyle name="Normal 70" xfId="3027"/>
    <cellStyle name="Normal 70 2" xfId="5252"/>
    <cellStyle name="Normal 70 3" xfId="52591"/>
    <cellStyle name="Normal 700" xfId="51516"/>
    <cellStyle name="Normal 701" xfId="51517"/>
    <cellStyle name="Normal 702" xfId="51518"/>
    <cellStyle name="Normal 703" xfId="51519"/>
    <cellStyle name="Normal 704" xfId="51520"/>
    <cellStyle name="Normal 705" xfId="51521"/>
    <cellStyle name="Normal 706" xfId="51522"/>
    <cellStyle name="Normal 707" xfId="51523"/>
    <cellStyle name="Normal 708" xfId="51524"/>
    <cellStyle name="Normal 709" xfId="51525"/>
    <cellStyle name="Normal 71" xfId="3028"/>
    <cellStyle name="Normal 71 2" xfId="5253"/>
    <cellStyle name="Normal 71 3" xfId="52592"/>
    <cellStyle name="Normal 710" xfId="51526"/>
    <cellStyle name="Normal 711" xfId="51527"/>
    <cellStyle name="Normal 712" xfId="51528"/>
    <cellStyle name="Normal 713" xfId="51529"/>
    <cellStyle name="Normal 714" xfId="51530"/>
    <cellStyle name="Normal 715" xfId="51531"/>
    <cellStyle name="Normal 716" xfId="51532"/>
    <cellStyle name="Normal 717" xfId="51533"/>
    <cellStyle name="Normal 718" xfId="51534"/>
    <cellStyle name="Normal 719" xfId="51535"/>
    <cellStyle name="Normal 72" xfId="3029"/>
    <cellStyle name="Normal 72 10" xfId="52593"/>
    <cellStyle name="Normal 72 2" xfId="5254"/>
    <cellStyle name="Normal 72 2 2" xfId="8777"/>
    <cellStyle name="Normal 72 2 2 2" xfId="16567"/>
    <cellStyle name="Normal 72 2 2 2 2" xfId="34188"/>
    <cellStyle name="Normal 72 2 2 3" xfId="27164"/>
    <cellStyle name="Normal 72 2 3" xfId="13238"/>
    <cellStyle name="Normal 72 2 3 2" xfId="30869"/>
    <cellStyle name="Normal 72 2 4" xfId="22995"/>
    <cellStyle name="Normal 72 2 4 2" xfId="39024"/>
    <cellStyle name="Normal 72 2 5" xfId="24303"/>
    <cellStyle name="Normal 72 3" xfId="6030"/>
    <cellStyle name="Normal 72 3 2" xfId="9327"/>
    <cellStyle name="Normal 72 3 2 2" xfId="17116"/>
    <cellStyle name="Normal 72 3 2 2 2" xfId="34738"/>
    <cellStyle name="Normal 72 3 2 3" xfId="27701"/>
    <cellStyle name="Normal 72 3 3" xfId="13880"/>
    <cellStyle name="Normal 72 3 3 2" xfId="31506"/>
    <cellStyle name="Normal 72 3 4" xfId="22568"/>
    <cellStyle name="Normal 72 3 5" xfId="24840"/>
    <cellStyle name="Normal 72 4" xfId="6660"/>
    <cellStyle name="Normal 72 4 2" xfId="9867"/>
    <cellStyle name="Normal 72 4 2 2" xfId="17655"/>
    <cellStyle name="Normal 72 4 2 2 2" xfId="35278"/>
    <cellStyle name="Normal 72 4 2 3" xfId="28237"/>
    <cellStyle name="Normal 72 4 3" xfId="14443"/>
    <cellStyle name="Normal 72 4 3 2" xfId="32064"/>
    <cellStyle name="Normal 72 4 4" xfId="25376"/>
    <cellStyle name="Normal 72 5" xfId="7435"/>
    <cellStyle name="Normal 72 5 2" xfId="10420"/>
    <cellStyle name="Normal 72 5 2 2" xfId="18207"/>
    <cellStyle name="Normal 72 5 2 2 2" xfId="35830"/>
    <cellStyle name="Normal 72 5 2 3" xfId="28773"/>
    <cellStyle name="Normal 72 5 3" xfId="15217"/>
    <cellStyle name="Normal 72 5 3 2" xfId="32838"/>
    <cellStyle name="Normal 72 5 4" xfId="25913"/>
    <cellStyle name="Normal 72 6" xfId="8056"/>
    <cellStyle name="Normal 72 6 2" xfId="15847"/>
    <cellStyle name="Normal 72 6 2 2" xfId="33468"/>
    <cellStyle name="Normal 72 6 3" xfId="26458"/>
    <cellStyle name="Normal 72 7" xfId="12040"/>
    <cellStyle name="Normal 72 7 2" xfId="29705"/>
    <cellStyle name="Normal 72 8" xfId="21981"/>
    <cellStyle name="Normal 72 8 2" xfId="38711"/>
    <cellStyle name="Normal 72 9" xfId="23597"/>
    <cellStyle name="Normal 720" xfId="51536"/>
    <cellStyle name="Normal 721" xfId="51537"/>
    <cellStyle name="Normal 722" xfId="51538"/>
    <cellStyle name="Normal 723" xfId="51539"/>
    <cellStyle name="Normal 724" xfId="51540"/>
    <cellStyle name="Normal 725" xfId="51541"/>
    <cellStyle name="Normal 726" xfId="51542"/>
    <cellStyle name="Normal 727" xfId="51543"/>
    <cellStyle name="Normal 728" xfId="51544"/>
    <cellStyle name="Normal 729" xfId="51545"/>
    <cellStyle name="Normal 73" xfId="3030"/>
    <cellStyle name="Normal 73 2" xfId="5255"/>
    <cellStyle name="Normal 73 3" xfId="52594"/>
    <cellStyle name="Normal 730" xfId="51546"/>
    <cellStyle name="Normal 731" xfId="51547"/>
    <cellStyle name="Normal 732" xfId="51548"/>
    <cellStyle name="Normal 733" xfId="51549"/>
    <cellStyle name="Normal 734" xfId="51550"/>
    <cellStyle name="Normal 735" xfId="51551"/>
    <cellStyle name="Normal 736" xfId="51552"/>
    <cellStyle name="Normal 737" xfId="51553"/>
    <cellStyle name="Normal 738" xfId="51554"/>
    <cellStyle name="Normal 739" xfId="51555"/>
    <cellStyle name="Normal 74" xfId="3031"/>
    <cellStyle name="Normal 74 2" xfId="5256"/>
    <cellStyle name="Normal 74 3" xfId="52595"/>
    <cellStyle name="Normal 740" xfId="51556"/>
    <cellStyle name="Normal 741" xfId="51557"/>
    <cellStyle name="Normal 742" xfId="51558"/>
    <cellStyle name="Normal 743" xfId="51559"/>
    <cellStyle name="Normal 744" xfId="51560"/>
    <cellStyle name="Normal 745" xfId="51561"/>
    <cellStyle name="Normal 746" xfId="51562"/>
    <cellStyle name="Normal 747" xfId="51563"/>
    <cellStyle name="Normal 748" xfId="51564"/>
    <cellStyle name="Normal 749" xfId="51565"/>
    <cellStyle name="Normal 75" xfId="3032"/>
    <cellStyle name="Normal 75 2" xfId="3033"/>
    <cellStyle name="Normal 75 2 2" xfId="3034"/>
    <cellStyle name="Normal 75 2 2 2" xfId="5259"/>
    <cellStyle name="Normal 75 2 2 3" xfId="52598"/>
    <cellStyle name="Normal 75 2 3" xfId="5258"/>
    <cellStyle name="Normal 75 2 4" xfId="52597"/>
    <cellStyle name="Normal 75 2_BallGrid" xfId="3035"/>
    <cellStyle name="Normal 75 3" xfId="5257"/>
    <cellStyle name="Normal 75 4" xfId="52596"/>
    <cellStyle name="Normal 75_BallGrid" xfId="3036"/>
    <cellStyle name="Normal 750" xfId="51566"/>
    <cellStyle name="Normal 751" xfId="51567"/>
    <cellStyle name="Normal 752" xfId="51568"/>
    <cellStyle name="Normal 753" xfId="51569"/>
    <cellStyle name="Normal 754" xfId="51570"/>
    <cellStyle name="Normal 755" xfId="51571"/>
    <cellStyle name="Normal 756" xfId="51572"/>
    <cellStyle name="Normal 757" xfId="51573"/>
    <cellStyle name="Normal 758" xfId="51574"/>
    <cellStyle name="Normal 759" xfId="51575"/>
    <cellStyle name="Normal 76" xfId="3037"/>
    <cellStyle name="Normal 76 2" xfId="3038"/>
    <cellStyle name="Normal 76 2 10" xfId="52599"/>
    <cellStyle name="Normal 76 2 2" xfId="5260"/>
    <cellStyle name="Normal 76 2 2 2" xfId="8778"/>
    <cellStyle name="Normal 76 2 2 2 2" xfId="16568"/>
    <cellStyle name="Normal 76 2 2 2 2 2" xfId="34189"/>
    <cellStyle name="Normal 76 2 2 2 3" xfId="27165"/>
    <cellStyle name="Normal 76 2 2 3" xfId="13243"/>
    <cellStyle name="Normal 76 2 2 3 2" xfId="30874"/>
    <cellStyle name="Normal 76 2 2 4" xfId="24304"/>
    <cellStyle name="Normal 76 2 3" xfId="6031"/>
    <cellStyle name="Normal 76 2 3 2" xfId="9328"/>
    <cellStyle name="Normal 76 2 3 2 2" xfId="17117"/>
    <cellStyle name="Normal 76 2 3 2 2 2" xfId="34739"/>
    <cellStyle name="Normal 76 2 3 2 3" xfId="27702"/>
    <cellStyle name="Normal 76 2 3 3" xfId="13881"/>
    <cellStyle name="Normal 76 2 3 3 2" xfId="31507"/>
    <cellStyle name="Normal 76 2 3 4" xfId="24841"/>
    <cellStyle name="Normal 76 2 4" xfId="6661"/>
    <cellStyle name="Normal 76 2 4 2" xfId="9868"/>
    <cellStyle name="Normal 76 2 4 2 2" xfId="17656"/>
    <cellStyle name="Normal 76 2 4 2 2 2" xfId="35279"/>
    <cellStyle name="Normal 76 2 4 2 3" xfId="28238"/>
    <cellStyle name="Normal 76 2 4 3" xfId="14444"/>
    <cellStyle name="Normal 76 2 4 3 2" xfId="32065"/>
    <cellStyle name="Normal 76 2 4 4" xfId="25377"/>
    <cellStyle name="Normal 76 2 5" xfId="7436"/>
    <cellStyle name="Normal 76 2 5 2" xfId="10421"/>
    <cellStyle name="Normal 76 2 5 2 2" xfId="18208"/>
    <cellStyle name="Normal 76 2 5 2 2 2" xfId="35831"/>
    <cellStyle name="Normal 76 2 5 2 3" xfId="28774"/>
    <cellStyle name="Normal 76 2 5 3" xfId="15218"/>
    <cellStyle name="Normal 76 2 5 3 2" xfId="32839"/>
    <cellStyle name="Normal 76 2 5 4" xfId="25914"/>
    <cellStyle name="Normal 76 2 6" xfId="8057"/>
    <cellStyle name="Normal 76 2 6 2" xfId="15848"/>
    <cellStyle name="Normal 76 2 6 2 2" xfId="33469"/>
    <cellStyle name="Normal 76 2 6 3" xfId="26459"/>
    <cellStyle name="Normal 76 2 7" xfId="12048"/>
    <cellStyle name="Normal 76 2 7 2" xfId="29713"/>
    <cellStyle name="Normal 76 2 8" xfId="21982"/>
    <cellStyle name="Normal 76 2 8 2" xfId="38712"/>
    <cellStyle name="Normal 76 2 9" xfId="23598"/>
    <cellStyle name="Normal 76 3" xfId="3039"/>
    <cellStyle name="Normal 76 3 2" xfId="3040"/>
    <cellStyle name="Normal 76 3_Sheet1" xfId="3041"/>
    <cellStyle name="Normal 76 4" xfId="3042"/>
    <cellStyle name="Normal 76 5" xfId="22996"/>
    <cellStyle name="Normal 76 6" xfId="22569"/>
    <cellStyle name="Normal 76 7" xfId="22280"/>
    <cellStyle name="Normal 76_Sheet1" xfId="3043"/>
    <cellStyle name="Normal 760" xfId="51576"/>
    <cellStyle name="Normal 761" xfId="51577"/>
    <cellStyle name="Normal 762" xfId="51578"/>
    <cellStyle name="Normal 763" xfId="51579"/>
    <cellStyle name="Normal 764" xfId="51580"/>
    <cellStyle name="Normal 765" xfId="51581"/>
    <cellStyle name="Normal 766" xfId="51582"/>
    <cellStyle name="Normal 767" xfId="51583"/>
    <cellStyle name="Normal 768" xfId="51584"/>
    <cellStyle name="Normal 769" xfId="51585"/>
    <cellStyle name="Normal 77" xfId="132"/>
    <cellStyle name="Normal 77 2" xfId="3044"/>
    <cellStyle name="Normal 77 2 2" xfId="3045"/>
    <cellStyle name="Normal 77 2 2 2" xfId="5263"/>
    <cellStyle name="Normal 77 2 2 3" xfId="52602"/>
    <cellStyle name="Normal 77 2 3" xfId="5262"/>
    <cellStyle name="Normal 77 2 4" xfId="52601"/>
    <cellStyle name="Normal 77 2_BallGrid" xfId="3046"/>
    <cellStyle name="Normal 77 3" xfId="5261"/>
    <cellStyle name="Normal 77 4" xfId="52600"/>
    <cellStyle name="Normal 77_BallGrid" xfId="3047"/>
    <cellStyle name="Normal 770" xfId="51586"/>
    <cellStyle name="Normal 771" xfId="51587"/>
    <cellStyle name="Normal 772" xfId="51588"/>
    <cellStyle name="Normal 773" xfId="51589"/>
    <cellStyle name="Normal 774" xfId="51590"/>
    <cellStyle name="Normal 775" xfId="51591"/>
    <cellStyle name="Normal 776" xfId="51592"/>
    <cellStyle name="Normal 777" xfId="51593"/>
    <cellStyle name="Normal 778" xfId="51594"/>
    <cellStyle name="Normal 779" xfId="51595"/>
    <cellStyle name="Normal 78" xfId="3048"/>
    <cellStyle name="Normal 78 2" xfId="3049"/>
    <cellStyle name="Normal 78 2 10" xfId="52603"/>
    <cellStyle name="Normal 78 2 2" xfId="5264"/>
    <cellStyle name="Normal 78 2 2 2" xfId="8779"/>
    <cellStyle name="Normal 78 2 2 2 2" xfId="16569"/>
    <cellStyle name="Normal 78 2 2 2 2 2" xfId="34190"/>
    <cellStyle name="Normal 78 2 2 2 3" xfId="27166"/>
    <cellStyle name="Normal 78 2 2 3" xfId="13244"/>
    <cellStyle name="Normal 78 2 2 3 2" xfId="30875"/>
    <cellStyle name="Normal 78 2 2 4" xfId="24305"/>
    <cellStyle name="Normal 78 2 3" xfId="6032"/>
    <cellStyle name="Normal 78 2 3 2" xfId="9329"/>
    <cellStyle name="Normal 78 2 3 2 2" xfId="17118"/>
    <cellStyle name="Normal 78 2 3 2 2 2" xfId="34740"/>
    <cellStyle name="Normal 78 2 3 2 3" xfId="27703"/>
    <cellStyle name="Normal 78 2 3 3" xfId="13882"/>
    <cellStyle name="Normal 78 2 3 3 2" xfId="31508"/>
    <cellStyle name="Normal 78 2 3 4" xfId="24842"/>
    <cellStyle name="Normal 78 2 4" xfId="6662"/>
    <cellStyle name="Normal 78 2 4 2" xfId="9869"/>
    <cellStyle name="Normal 78 2 4 2 2" xfId="17657"/>
    <cellStyle name="Normal 78 2 4 2 2 2" xfId="35280"/>
    <cellStyle name="Normal 78 2 4 2 3" xfId="28239"/>
    <cellStyle name="Normal 78 2 4 3" xfId="14445"/>
    <cellStyle name="Normal 78 2 4 3 2" xfId="32066"/>
    <cellStyle name="Normal 78 2 4 4" xfId="25378"/>
    <cellStyle name="Normal 78 2 5" xfId="7437"/>
    <cellStyle name="Normal 78 2 5 2" xfId="10422"/>
    <cellStyle name="Normal 78 2 5 2 2" xfId="18209"/>
    <cellStyle name="Normal 78 2 5 2 2 2" xfId="35832"/>
    <cellStyle name="Normal 78 2 5 2 3" xfId="28775"/>
    <cellStyle name="Normal 78 2 5 3" xfId="15219"/>
    <cellStyle name="Normal 78 2 5 3 2" xfId="32840"/>
    <cellStyle name="Normal 78 2 5 4" xfId="25915"/>
    <cellStyle name="Normal 78 2 6" xfId="8058"/>
    <cellStyle name="Normal 78 2 6 2" xfId="15849"/>
    <cellStyle name="Normal 78 2 6 2 2" xfId="33470"/>
    <cellStyle name="Normal 78 2 6 3" xfId="26460"/>
    <cellStyle name="Normal 78 2 7" xfId="12053"/>
    <cellStyle name="Normal 78 2 7 2" xfId="29718"/>
    <cellStyle name="Normal 78 2 8" xfId="21983"/>
    <cellStyle name="Normal 78 2 8 2" xfId="38713"/>
    <cellStyle name="Normal 78 2 9" xfId="23599"/>
    <cellStyle name="Normal 78 3" xfId="3050"/>
    <cellStyle name="Normal 78 3 2" xfId="3051"/>
    <cellStyle name="Normal 78 3_Sheet1" xfId="3052"/>
    <cellStyle name="Normal 78 4" xfId="3053"/>
    <cellStyle name="Normal 78 5" xfId="22997"/>
    <cellStyle name="Normal 78 6" xfId="22570"/>
    <cellStyle name="Normal 78 7" xfId="22878"/>
    <cellStyle name="Normal 78_Sheet1" xfId="3054"/>
    <cellStyle name="Normal 780" xfId="51596"/>
    <cellStyle name="Normal 781" xfId="51597"/>
    <cellStyle name="Normal 782" xfId="51598"/>
    <cellStyle name="Normal 783" xfId="51599"/>
    <cellStyle name="Normal 784" xfId="51600"/>
    <cellStyle name="Normal 785" xfId="51601"/>
    <cellStyle name="Normal 786" xfId="51602"/>
    <cellStyle name="Normal 787" xfId="51603"/>
    <cellStyle name="Normal 788" xfId="51604"/>
    <cellStyle name="Normal 789" xfId="51605"/>
    <cellStyle name="Normal 79" xfId="3055"/>
    <cellStyle name="Normal 79 2" xfId="3056"/>
    <cellStyle name="Normal 79 2 2" xfId="5266"/>
    <cellStyle name="Normal 79 2 3" xfId="52605"/>
    <cellStyle name="Normal 79 3" xfId="5265"/>
    <cellStyle name="Normal 79 4" xfId="52604"/>
    <cellStyle name="Normal 79_BallGrid" xfId="3057"/>
    <cellStyle name="Normal 790" xfId="51606"/>
    <cellStyle name="Normal 791" xfId="3446"/>
    <cellStyle name="Normal 792" xfId="51607"/>
    <cellStyle name="Normal 793" xfId="214"/>
    <cellStyle name="Normal 794" xfId="52876"/>
    <cellStyle name="Normal 8" xfId="189"/>
    <cellStyle name="Normal 8 2" xfId="207"/>
    <cellStyle name="Normal 8 2 2" xfId="3060"/>
    <cellStyle name="Normal 8 2 3" xfId="3059"/>
    <cellStyle name="Normal 8 2_Sheet1" xfId="3061"/>
    <cellStyle name="Normal 8 3" xfId="200"/>
    <cellStyle name="Normal 8 3 2" xfId="3062"/>
    <cellStyle name="Normal 8 4" xfId="22998"/>
    <cellStyle name="Normal 8 5" xfId="22571"/>
    <cellStyle name="Normal 8 6" xfId="22877"/>
    <cellStyle name="Normal 8 7" xfId="3058"/>
    <cellStyle name="Normal 8 8" xfId="53229"/>
    <cellStyle name="Normal 8 9" xfId="53338"/>
    <cellStyle name="Normal 8_Sheet1" xfId="3063"/>
    <cellStyle name="Normal 80" xfId="3064"/>
    <cellStyle name="Normal 80 2" xfId="3065"/>
    <cellStyle name="Normal 80 2 2" xfId="5268"/>
    <cellStyle name="Normal 80 2 3" xfId="52607"/>
    <cellStyle name="Normal 80 3" xfId="5267"/>
    <cellStyle name="Normal 80 4" xfId="52606"/>
    <cellStyle name="Normal 80_BallGrid" xfId="3066"/>
    <cellStyle name="Normal 81" xfId="3067"/>
    <cellStyle name="Normal 81 2" xfId="3068"/>
    <cellStyle name="Normal 81 2 2" xfId="5270"/>
    <cellStyle name="Normal 81 2 3" xfId="52609"/>
    <cellStyle name="Normal 81 3" xfId="5269"/>
    <cellStyle name="Normal 81 4" xfId="52608"/>
    <cellStyle name="Normal 81_BallGrid" xfId="3069"/>
    <cellStyle name="Normal 82" xfId="3070"/>
    <cellStyle name="Normal 82 2" xfId="3071"/>
    <cellStyle name="Normal 82 2 10" xfId="52610"/>
    <cellStyle name="Normal 82 2 2" xfId="5271"/>
    <cellStyle name="Normal 82 2 2 2" xfId="8780"/>
    <cellStyle name="Normal 82 2 2 2 2" xfId="16570"/>
    <cellStyle name="Normal 82 2 2 2 2 2" xfId="34191"/>
    <cellStyle name="Normal 82 2 2 2 3" xfId="27167"/>
    <cellStyle name="Normal 82 2 2 3" xfId="13246"/>
    <cellStyle name="Normal 82 2 2 3 2" xfId="30877"/>
    <cellStyle name="Normal 82 2 2 4" xfId="24306"/>
    <cellStyle name="Normal 82 2 3" xfId="6033"/>
    <cellStyle name="Normal 82 2 3 2" xfId="9330"/>
    <cellStyle name="Normal 82 2 3 2 2" xfId="17119"/>
    <cellStyle name="Normal 82 2 3 2 2 2" xfId="34741"/>
    <cellStyle name="Normal 82 2 3 2 3" xfId="27704"/>
    <cellStyle name="Normal 82 2 3 3" xfId="13883"/>
    <cellStyle name="Normal 82 2 3 3 2" xfId="31509"/>
    <cellStyle name="Normal 82 2 3 4" xfId="24843"/>
    <cellStyle name="Normal 82 2 4" xfId="6663"/>
    <cellStyle name="Normal 82 2 4 2" xfId="9870"/>
    <cellStyle name="Normal 82 2 4 2 2" xfId="17658"/>
    <cellStyle name="Normal 82 2 4 2 2 2" xfId="35281"/>
    <cellStyle name="Normal 82 2 4 2 3" xfId="28240"/>
    <cellStyle name="Normal 82 2 4 3" xfId="14446"/>
    <cellStyle name="Normal 82 2 4 3 2" xfId="32067"/>
    <cellStyle name="Normal 82 2 4 4" xfId="25379"/>
    <cellStyle name="Normal 82 2 5" xfId="7438"/>
    <cellStyle name="Normal 82 2 5 2" xfId="10423"/>
    <cellStyle name="Normal 82 2 5 2 2" xfId="18210"/>
    <cellStyle name="Normal 82 2 5 2 2 2" xfId="35833"/>
    <cellStyle name="Normal 82 2 5 2 3" xfId="28776"/>
    <cellStyle name="Normal 82 2 5 3" xfId="15220"/>
    <cellStyle name="Normal 82 2 5 3 2" xfId="32841"/>
    <cellStyle name="Normal 82 2 5 4" xfId="25916"/>
    <cellStyle name="Normal 82 2 6" xfId="8059"/>
    <cellStyle name="Normal 82 2 6 2" xfId="15850"/>
    <cellStyle name="Normal 82 2 6 2 2" xfId="33471"/>
    <cellStyle name="Normal 82 2 6 3" xfId="26461"/>
    <cellStyle name="Normal 82 2 7" xfId="12057"/>
    <cellStyle name="Normal 82 2 7 2" xfId="29721"/>
    <cellStyle name="Normal 82 2 8" xfId="21984"/>
    <cellStyle name="Normal 82 2 8 2" xfId="38714"/>
    <cellStyle name="Normal 82 2 9" xfId="23600"/>
    <cellStyle name="Normal 82 3" xfId="3072"/>
    <cellStyle name="Normal 82 3 2" xfId="3073"/>
    <cellStyle name="Normal 82 3_Sheet1" xfId="3074"/>
    <cellStyle name="Normal 82 4" xfId="3075"/>
    <cellStyle name="Normal 82 5" xfId="22999"/>
    <cellStyle name="Normal 82 6" xfId="22572"/>
    <cellStyle name="Normal 82 7" xfId="22876"/>
    <cellStyle name="Normal 82_Sheet1" xfId="3076"/>
    <cellStyle name="Normal 83" xfId="3077"/>
    <cellStyle name="Normal 83 2" xfId="3078"/>
    <cellStyle name="Normal 83 2 10" xfId="52611"/>
    <cellStyle name="Normal 83 2 2" xfId="5272"/>
    <cellStyle name="Normal 83 2 2 2" xfId="8781"/>
    <cellStyle name="Normal 83 2 2 2 2" xfId="16571"/>
    <cellStyle name="Normal 83 2 2 2 2 2" xfId="34192"/>
    <cellStyle name="Normal 83 2 2 2 3" xfId="27168"/>
    <cellStyle name="Normal 83 2 2 3" xfId="13247"/>
    <cellStyle name="Normal 83 2 2 3 2" xfId="30878"/>
    <cellStyle name="Normal 83 2 2 4" xfId="24307"/>
    <cellStyle name="Normal 83 2 3" xfId="6034"/>
    <cellStyle name="Normal 83 2 3 2" xfId="9331"/>
    <cellStyle name="Normal 83 2 3 2 2" xfId="17120"/>
    <cellStyle name="Normal 83 2 3 2 2 2" xfId="34742"/>
    <cellStyle name="Normal 83 2 3 2 3" xfId="27705"/>
    <cellStyle name="Normal 83 2 3 3" xfId="13884"/>
    <cellStyle name="Normal 83 2 3 3 2" xfId="31510"/>
    <cellStyle name="Normal 83 2 3 4" xfId="24844"/>
    <cellStyle name="Normal 83 2 4" xfId="6664"/>
    <cellStyle name="Normal 83 2 4 2" xfId="9871"/>
    <cellStyle name="Normal 83 2 4 2 2" xfId="17659"/>
    <cellStyle name="Normal 83 2 4 2 2 2" xfId="35282"/>
    <cellStyle name="Normal 83 2 4 2 3" xfId="28241"/>
    <cellStyle name="Normal 83 2 4 3" xfId="14447"/>
    <cellStyle name="Normal 83 2 4 3 2" xfId="32068"/>
    <cellStyle name="Normal 83 2 4 4" xfId="25380"/>
    <cellStyle name="Normal 83 2 5" xfId="7439"/>
    <cellStyle name="Normal 83 2 5 2" xfId="10424"/>
    <cellStyle name="Normal 83 2 5 2 2" xfId="18211"/>
    <cellStyle name="Normal 83 2 5 2 2 2" xfId="35834"/>
    <cellStyle name="Normal 83 2 5 2 3" xfId="28777"/>
    <cellStyle name="Normal 83 2 5 3" xfId="15221"/>
    <cellStyle name="Normal 83 2 5 3 2" xfId="32842"/>
    <cellStyle name="Normal 83 2 5 4" xfId="25917"/>
    <cellStyle name="Normal 83 2 6" xfId="8060"/>
    <cellStyle name="Normal 83 2 6 2" xfId="15851"/>
    <cellStyle name="Normal 83 2 6 2 2" xfId="33472"/>
    <cellStyle name="Normal 83 2 6 3" xfId="26462"/>
    <cellStyle name="Normal 83 2 7" xfId="12058"/>
    <cellStyle name="Normal 83 2 7 2" xfId="29722"/>
    <cellStyle name="Normal 83 2 8" xfId="21985"/>
    <cellStyle name="Normal 83 2 8 2" xfId="38715"/>
    <cellStyle name="Normal 83 2 9" xfId="23601"/>
    <cellStyle name="Normal 83 3" xfId="3079"/>
    <cellStyle name="Normal 83 3 2" xfId="3080"/>
    <cellStyle name="Normal 83 3_Sheet1" xfId="3081"/>
    <cellStyle name="Normal 83 4" xfId="3082"/>
    <cellStyle name="Normal 83 5" xfId="23000"/>
    <cellStyle name="Normal 83 6" xfId="22573"/>
    <cellStyle name="Normal 83 7" xfId="22875"/>
    <cellStyle name="Normal 83_Sheet1" xfId="3083"/>
    <cellStyle name="Normal 84" xfId="3084"/>
    <cellStyle name="Normal 84 2" xfId="3085"/>
    <cellStyle name="Normal 84 2 10" xfId="52612"/>
    <cellStyle name="Normal 84 2 2" xfId="5273"/>
    <cellStyle name="Normal 84 2 2 2" xfId="8782"/>
    <cellStyle name="Normal 84 2 2 2 2" xfId="16572"/>
    <cellStyle name="Normal 84 2 2 2 2 2" xfId="34193"/>
    <cellStyle name="Normal 84 2 2 2 3" xfId="27169"/>
    <cellStyle name="Normal 84 2 2 3" xfId="13248"/>
    <cellStyle name="Normal 84 2 2 3 2" xfId="30879"/>
    <cellStyle name="Normal 84 2 2 4" xfId="24308"/>
    <cellStyle name="Normal 84 2 3" xfId="6035"/>
    <cellStyle name="Normal 84 2 3 2" xfId="9332"/>
    <cellStyle name="Normal 84 2 3 2 2" xfId="17121"/>
    <cellStyle name="Normal 84 2 3 2 2 2" xfId="34743"/>
    <cellStyle name="Normal 84 2 3 2 3" xfId="27706"/>
    <cellStyle name="Normal 84 2 3 3" xfId="13885"/>
    <cellStyle name="Normal 84 2 3 3 2" xfId="31511"/>
    <cellStyle name="Normal 84 2 3 4" xfId="24845"/>
    <cellStyle name="Normal 84 2 4" xfId="6665"/>
    <cellStyle name="Normal 84 2 4 2" xfId="9872"/>
    <cellStyle name="Normal 84 2 4 2 2" xfId="17660"/>
    <cellStyle name="Normal 84 2 4 2 2 2" xfId="35283"/>
    <cellStyle name="Normal 84 2 4 2 3" xfId="28242"/>
    <cellStyle name="Normal 84 2 4 3" xfId="14448"/>
    <cellStyle name="Normal 84 2 4 3 2" xfId="32069"/>
    <cellStyle name="Normal 84 2 4 4" xfId="25381"/>
    <cellStyle name="Normal 84 2 5" xfId="7440"/>
    <cellStyle name="Normal 84 2 5 2" xfId="10425"/>
    <cellStyle name="Normal 84 2 5 2 2" xfId="18212"/>
    <cellStyle name="Normal 84 2 5 2 2 2" xfId="35835"/>
    <cellStyle name="Normal 84 2 5 2 3" xfId="28778"/>
    <cellStyle name="Normal 84 2 5 3" xfId="15222"/>
    <cellStyle name="Normal 84 2 5 3 2" xfId="32843"/>
    <cellStyle name="Normal 84 2 5 4" xfId="25918"/>
    <cellStyle name="Normal 84 2 6" xfId="8061"/>
    <cellStyle name="Normal 84 2 6 2" xfId="15852"/>
    <cellStyle name="Normal 84 2 6 2 2" xfId="33473"/>
    <cellStyle name="Normal 84 2 6 3" xfId="26463"/>
    <cellStyle name="Normal 84 2 7" xfId="12060"/>
    <cellStyle name="Normal 84 2 7 2" xfId="29724"/>
    <cellStyle name="Normal 84 2 8" xfId="21986"/>
    <cellStyle name="Normal 84 2 8 2" xfId="38716"/>
    <cellStyle name="Normal 84 2 9" xfId="23602"/>
    <cellStyle name="Normal 84 3" xfId="3086"/>
    <cellStyle name="Normal 84 3 2" xfId="3087"/>
    <cellStyle name="Normal 84 3_Sheet1" xfId="3088"/>
    <cellStyle name="Normal 84 4" xfId="3089"/>
    <cellStyle name="Normal 84 5" xfId="23001"/>
    <cellStyle name="Normal 84 6" xfId="22574"/>
    <cellStyle name="Normal 84 7" xfId="22874"/>
    <cellStyle name="Normal 84_Sheet1" xfId="3090"/>
    <cellStyle name="Normal 85" xfId="3091"/>
    <cellStyle name="Normal 85 2" xfId="3092"/>
    <cellStyle name="Normal 85 2 10" xfId="52613"/>
    <cellStyle name="Normal 85 2 2" xfId="5274"/>
    <cellStyle name="Normal 85 2 2 2" xfId="8783"/>
    <cellStyle name="Normal 85 2 2 2 2" xfId="16573"/>
    <cellStyle name="Normal 85 2 2 2 2 2" xfId="34194"/>
    <cellStyle name="Normal 85 2 2 2 3" xfId="27170"/>
    <cellStyle name="Normal 85 2 2 3" xfId="13249"/>
    <cellStyle name="Normal 85 2 2 3 2" xfId="30880"/>
    <cellStyle name="Normal 85 2 2 4" xfId="24309"/>
    <cellStyle name="Normal 85 2 3" xfId="6036"/>
    <cellStyle name="Normal 85 2 3 2" xfId="9333"/>
    <cellStyle name="Normal 85 2 3 2 2" xfId="17122"/>
    <cellStyle name="Normal 85 2 3 2 2 2" xfId="34744"/>
    <cellStyle name="Normal 85 2 3 2 3" xfId="27707"/>
    <cellStyle name="Normal 85 2 3 3" xfId="13886"/>
    <cellStyle name="Normal 85 2 3 3 2" xfId="31512"/>
    <cellStyle name="Normal 85 2 3 4" xfId="24846"/>
    <cellStyle name="Normal 85 2 4" xfId="6666"/>
    <cellStyle name="Normal 85 2 4 2" xfId="9873"/>
    <cellStyle name="Normal 85 2 4 2 2" xfId="17661"/>
    <cellStyle name="Normal 85 2 4 2 2 2" xfId="35284"/>
    <cellStyle name="Normal 85 2 4 2 3" xfId="28243"/>
    <cellStyle name="Normal 85 2 4 3" xfId="14449"/>
    <cellStyle name="Normal 85 2 4 3 2" xfId="32070"/>
    <cellStyle name="Normal 85 2 4 4" xfId="25382"/>
    <cellStyle name="Normal 85 2 5" xfId="7441"/>
    <cellStyle name="Normal 85 2 5 2" xfId="10426"/>
    <cellStyle name="Normal 85 2 5 2 2" xfId="18213"/>
    <cellStyle name="Normal 85 2 5 2 2 2" xfId="35836"/>
    <cellStyle name="Normal 85 2 5 2 3" xfId="28779"/>
    <cellStyle name="Normal 85 2 5 3" xfId="15223"/>
    <cellStyle name="Normal 85 2 5 3 2" xfId="32844"/>
    <cellStyle name="Normal 85 2 5 4" xfId="25919"/>
    <cellStyle name="Normal 85 2 6" xfId="8062"/>
    <cellStyle name="Normal 85 2 6 2" xfId="15853"/>
    <cellStyle name="Normal 85 2 6 2 2" xfId="33474"/>
    <cellStyle name="Normal 85 2 6 3" xfId="26464"/>
    <cellStyle name="Normal 85 2 7" xfId="12062"/>
    <cellStyle name="Normal 85 2 7 2" xfId="29726"/>
    <cellStyle name="Normal 85 2 8" xfId="21987"/>
    <cellStyle name="Normal 85 2 8 2" xfId="38717"/>
    <cellStyle name="Normal 85 2 9" xfId="23603"/>
    <cellStyle name="Normal 85 3" xfId="3093"/>
    <cellStyle name="Normal 85 3 2" xfId="3094"/>
    <cellStyle name="Normal 85 3_Sheet1" xfId="3095"/>
    <cellStyle name="Normal 85 4" xfId="3096"/>
    <cellStyle name="Normal 85 5" xfId="23002"/>
    <cellStyle name="Normal 85 6" xfId="22575"/>
    <cellStyle name="Normal 85 7" xfId="22873"/>
    <cellStyle name="Normal 85_Sheet1" xfId="3097"/>
    <cellStyle name="Normal 86" xfId="3098"/>
    <cellStyle name="Normal 86 2" xfId="3099"/>
    <cellStyle name="Normal 86 2 10" xfId="52614"/>
    <cellStyle name="Normal 86 2 2" xfId="5275"/>
    <cellStyle name="Normal 86 2 2 2" xfId="8784"/>
    <cellStyle name="Normal 86 2 2 2 2" xfId="16574"/>
    <cellStyle name="Normal 86 2 2 2 2 2" xfId="34195"/>
    <cellStyle name="Normal 86 2 2 2 3" xfId="27171"/>
    <cellStyle name="Normal 86 2 2 3" xfId="13250"/>
    <cellStyle name="Normal 86 2 2 3 2" xfId="30881"/>
    <cellStyle name="Normal 86 2 2 4" xfId="24310"/>
    <cellStyle name="Normal 86 2 3" xfId="6037"/>
    <cellStyle name="Normal 86 2 3 2" xfId="9334"/>
    <cellStyle name="Normal 86 2 3 2 2" xfId="17123"/>
    <cellStyle name="Normal 86 2 3 2 2 2" xfId="34745"/>
    <cellStyle name="Normal 86 2 3 2 3" xfId="27708"/>
    <cellStyle name="Normal 86 2 3 3" xfId="13887"/>
    <cellStyle name="Normal 86 2 3 3 2" xfId="31513"/>
    <cellStyle name="Normal 86 2 3 4" xfId="24847"/>
    <cellStyle name="Normal 86 2 4" xfId="6667"/>
    <cellStyle name="Normal 86 2 4 2" xfId="9874"/>
    <cellStyle name="Normal 86 2 4 2 2" xfId="17662"/>
    <cellStyle name="Normal 86 2 4 2 2 2" xfId="35285"/>
    <cellStyle name="Normal 86 2 4 2 3" xfId="28244"/>
    <cellStyle name="Normal 86 2 4 3" xfId="14450"/>
    <cellStyle name="Normal 86 2 4 3 2" xfId="32071"/>
    <cellStyle name="Normal 86 2 4 4" xfId="25383"/>
    <cellStyle name="Normal 86 2 5" xfId="7442"/>
    <cellStyle name="Normal 86 2 5 2" xfId="10427"/>
    <cellStyle name="Normal 86 2 5 2 2" xfId="18214"/>
    <cellStyle name="Normal 86 2 5 2 2 2" xfId="35837"/>
    <cellStyle name="Normal 86 2 5 2 3" xfId="28780"/>
    <cellStyle name="Normal 86 2 5 3" xfId="15224"/>
    <cellStyle name="Normal 86 2 5 3 2" xfId="32845"/>
    <cellStyle name="Normal 86 2 5 4" xfId="25920"/>
    <cellStyle name="Normal 86 2 6" xfId="8063"/>
    <cellStyle name="Normal 86 2 6 2" xfId="15854"/>
    <cellStyle name="Normal 86 2 6 2 2" xfId="33475"/>
    <cellStyle name="Normal 86 2 6 3" xfId="26465"/>
    <cellStyle name="Normal 86 2 7" xfId="12064"/>
    <cellStyle name="Normal 86 2 7 2" xfId="29728"/>
    <cellStyle name="Normal 86 2 8" xfId="21988"/>
    <cellStyle name="Normal 86 2 8 2" xfId="38718"/>
    <cellStyle name="Normal 86 2 9" xfId="23604"/>
    <cellStyle name="Normal 86 3" xfId="3100"/>
    <cellStyle name="Normal 86 3 2" xfId="3101"/>
    <cellStyle name="Normal 86 3_Sheet1" xfId="3102"/>
    <cellStyle name="Normal 86 4" xfId="3103"/>
    <cellStyle name="Normal 86 5" xfId="23003"/>
    <cellStyle name="Normal 86_Sheet1" xfId="3104"/>
    <cellStyle name="Normal 87" xfId="3105"/>
    <cellStyle name="Normal 87 2" xfId="3106"/>
    <cellStyle name="Normal 87 2 10" xfId="52615"/>
    <cellStyle name="Normal 87 2 2" xfId="5276"/>
    <cellStyle name="Normal 87 2 2 2" xfId="8785"/>
    <cellStyle name="Normal 87 2 2 2 2" xfId="16575"/>
    <cellStyle name="Normal 87 2 2 2 2 2" xfId="34196"/>
    <cellStyle name="Normal 87 2 2 2 3" xfId="27172"/>
    <cellStyle name="Normal 87 2 2 3" xfId="13251"/>
    <cellStyle name="Normal 87 2 2 3 2" xfId="30882"/>
    <cellStyle name="Normal 87 2 2 4" xfId="24311"/>
    <cellStyle name="Normal 87 2 3" xfId="6038"/>
    <cellStyle name="Normal 87 2 3 2" xfId="9335"/>
    <cellStyle name="Normal 87 2 3 2 2" xfId="17124"/>
    <cellStyle name="Normal 87 2 3 2 2 2" xfId="34746"/>
    <cellStyle name="Normal 87 2 3 2 3" xfId="27709"/>
    <cellStyle name="Normal 87 2 3 3" xfId="13888"/>
    <cellStyle name="Normal 87 2 3 3 2" xfId="31514"/>
    <cellStyle name="Normal 87 2 3 4" xfId="24848"/>
    <cellStyle name="Normal 87 2 4" xfId="6668"/>
    <cellStyle name="Normal 87 2 4 2" xfId="9875"/>
    <cellStyle name="Normal 87 2 4 2 2" xfId="17663"/>
    <cellStyle name="Normal 87 2 4 2 2 2" xfId="35286"/>
    <cellStyle name="Normal 87 2 4 2 3" xfId="28245"/>
    <cellStyle name="Normal 87 2 4 3" xfId="14451"/>
    <cellStyle name="Normal 87 2 4 3 2" xfId="32072"/>
    <cellStyle name="Normal 87 2 4 4" xfId="25384"/>
    <cellStyle name="Normal 87 2 5" xfId="7443"/>
    <cellStyle name="Normal 87 2 5 2" xfId="10428"/>
    <cellStyle name="Normal 87 2 5 2 2" xfId="18215"/>
    <cellStyle name="Normal 87 2 5 2 2 2" xfId="35838"/>
    <cellStyle name="Normal 87 2 5 2 3" xfId="28781"/>
    <cellStyle name="Normal 87 2 5 3" xfId="15225"/>
    <cellStyle name="Normal 87 2 5 3 2" xfId="32846"/>
    <cellStyle name="Normal 87 2 5 4" xfId="25921"/>
    <cellStyle name="Normal 87 2 6" xfId="8064"/>
    <cellStyle name="Normal 87 2 6 2" xfId="15855"/>
    <cellStyle name="Normal 87 2 6 2 2" xfId="33476"/>
    <cellStyle name="Normal 87 2 6 3" xfId="26466"/>
    <cellStyle name="Normal 87 2 7" xfId="12066"/>
    <cellStyle name="Normal 87 2 7 2" xfId="29730"/>
    <cellStyle name="Normal 87 2 8" xfId="21989"/>
    <cellStyle name="Normal 87 2 8 2" xfId="38719"/>
    <cellStyle name="Normal 87 2 9" xfId="23605"/>
    <cellStyle name="Normal 87 3" xfId="3107"/>
    <cellStyle name="Normal 87 3 2" xfId="3108"/>
    <cellStyle name="Normal 87 3_Sheet1" xfId="3109"/>
    <cellStyle name="Normal 87 4" xfId="3110"/>
    <cellStyle name="Normal 87 5" xfId="23004"/>
    <cellStyle name="Normal 87_Sheet1" xfId="3111"/>
    <cellStyle name="Normal 88" xfId="3112"/>
    <cellStyle name="Normal 88 2" xfId="3113"/>
    <cellStyle name="Normal 88 2 2" xfId="5278"/>
    <cellStyle name="Normal 88 2 3" xfId="22775"/>
    <cellStyle name="Normal 88 2 3 2" xfId="38968"/>
    <cellStyle name="Normal 88 2 4" xfId="52617"/>
    <cellStyle name="Normal 88 3" xfId="5277"/>
    <cellStyle name="Normal 88 4" xfId="22576"/>
    <cellStyle name="Normal 88 4 2" xfId="38863"/>
    <cellStyle name="Normal 88 5" xfId="52616"/>
    <cellStyle name="Normal 88_BallGrid" xfId="3114"/>
    <cellStyle name="Normal 89" xfId="3115"/>
    <cellStyle name="Normal 89 2" xfId="3116"/>
    <cellStyle name="Normal 89 2 10" xfId="52618"/>
    <cellStyle name="Normal 89 2 2" xfId="5279"/>
    <cellStyle name="Normal 89 2 2 2" xfId="8786"/>
    <cellStyle name="Normal 89 2 2 2 2" xfId="16576"/>
    <cellStyle name="Normal 89 2 2 2 2 2" xfId="34197"/>
    <cellStyle name="Normal 89 2 2 2 3" xfId="27173"/>
    <cellStyle name="Normal 89 2 2 3" xfId="13253"/>
    <cellStyle name="Normal 89 2 2 3 2" xfId="30884"/>
    <cellStyle name="Normal 89 2 2 4" xfId="24312"/>
    <cellStyle name="Normal 89 2 3" xfId="6039"/>
    <cellStyle name="Normal 89 2 3 2" xfId="9336"/>
    <cellStyle name="Normal 89 2 3 2 2" xfId="17125"/>
    <cellStyle name="Normal 89 2 3 2 2 2" xfId="34747"/>
    <cellStyle name="Normal 89 2 3 2 3" xfId="27710"/>
    <cellStyle name="Normal 89 2 3 3" xfId="13889"/>
    <cellStyle name="Normal 89 2 3 3 2" xfId="31515"/>
    <cellStyle name="Normal 89 2 3 4" xfId="24849"/>
    <cellStyle name="Normal 89 2 4" xfId="6669"/>
    <cellStyle name="Normal 89 2 4 2" xfId="9876"/>
    <cellStyle name="Normal 89 2 4 2 2" xfId="17664"/>
    <cellStyle name="Normal 89 2 4 2 2 2" xfId="35287"/>
    <cellStyle name="Normal 89 2 4 2 3" xfId="28246"/>
    <cellStyle name="Normal 89 2 4 3" xfId="14452"/>
    <cellStyle name="Normal 89 2 4 3 2" xfId="32073"/>
    <cellStyle name="Normal 89 2 4 4" xfId="25385"/>
    <cellStyle name="Normal 89 2 5" xfId="7444"/>
    <cellStyle name="Normal 89 2 5 2" xfId="10429"/>
    <cellStyle name="Normal 89 2 5 2 2" xfId="18216"/>
    <cellStyle name="Normal 89 2 5 2 2 2" xfId="35839"/>
    <cellStyle name="Normal 89 2 5 2 3" xfId="28782"/>
    <cellStyle name="Normal 89 2 5 3" xfId="15226"/>
    <cellStyle name="Normal 89 2 5 3 2" xfId="32847"/>
    <cellStyle name="Normal 89 2 5 4" xfId="25922"/>
    <cellStyle name="Normal 89 2 6" xfId="8065"/>
    <cellStyle name="Normal 89 2 6 2" xfId="15856"/>
    <cellStyle name="Normal 89 2 6 2 2" xfId="33477"/>
    <cellStyle name="Normal 89 2 6 3" xfId="26467"/>
    <cellStyle name="Normal 89 2 7" xfId="12067"/>
    <cellStyle name="Normal 89 2 7 2" xfId="29731"/>
    <cellStyle name="Normal 89 2 8" xfId="21990"/>
    <cellStyle name="Normal 89 2 8 2" xfId="38720"/>
    <cellStyle name="Normal 89 2 9" xfId="23606"/>
    <cellStyle name="Normal 89 3" xfId="3117"/>
    <cellStyle name="Normal 89 3 2" xfId="3118"/>
    <cellStyle name="Normal 89 3_Sheet1" xfId="3119"/>
    <cellStyle name="Normal 89 4" xfId="3120"/>
    <cellStyle name="Normal 89 5" xfId="23005"/>
    <cellStyle name="Normal 89_Sheet1" xfId="3121"/>
    <cellStyle name="Normal 9" xfId="190"/>
    <cellStyle name="Normal 9 2" xfId="208"/>
    <cellStyle name="Normal 9 2 2" xfId="3124"/>
    <cellStyle name="Normal 9 2 3" xfId="3123"/>
    <cellStyle name="Normal 9 2_Sheet1" xfId="3125"/>
    <cellStyle name="Normal 9 3" xfId="201"/>
    <cellStyle name="Normal 9 3 2" xfId="3126"/>
    <cellStyle name="Normal 9 4" xfId="23006"/>
    <cellStyle name="Normal 9 5" xfId="22577"/>
    <cellStyle name="Normal 9 6" xfId="22265"/>
    <cellStyle name="Normal 9 7" xfId="3122"/>
    <cellStyle name="Normal 9 8" xfId="53230"/>
    <cellStyle name="Normal 9 9" xfId="53339"/>
    <cellStyle name="Normal 9_Sheet1" xfId="3127"/>
    <cellStyle name="Normal 90" xfId="3128"/>
    <cellStyle name="Normal 90 10" xfId="52619"/>
    <cellStyle name="Normal 90 2" xfId="5280"/>
    <cellStyle name="Normal 90 2 2" xfId="8787"/>
    <cellStyle name="Normal 90 2 2 2" xfId="16577"/>
    <cellStyle name="Normal 90 2 2 2 2" xfId="34198"/>
    <cellStyle name="Normal 90 2 2 3" xfId="27174"/>
    <cellStyle name="Normal 90 2 3" xfId="13254"/>
    <cellStyle name="Normal 90 2 3 2" xfId="30885"/>
    <cellStyle name="Normal 90 2 4" xfId="22776"/>
    <cellStyle name="Normal 90 2 4 2" xfId="38969"/>
    <cellStyle name="Normal 90 2 5" xfId="24313"/>
    <cellStyle name="Normal 90 3" xfId="6040"/>
    <cellStyle name="Normal 90 3 2" xfId="9337"/>
    <cellStyle name="Normal 90 3 2 2" xfId="17126"/>
    <cellStyle name="Normal 90 3 2 2 2" xfId="34748"/>
    <cellStyle name="Normal 90 3 2 3" xfId="27711"/>
    <cellStyle name="Normal 90 3 3" xfId="13890"/>
    <cellStyle name="Normal 90 3 3 2" xfId="31516"/>
    <cellStyle name="Normal 90 3 4" xfId="24850"/>
    <cellStyle name="Normal 90 4" xfId="6670"/>
    <cellStyle name="Normal 90 4 2" xfId="9877"/>
    <cellStyle name="Normal 90 4 2 2" xfId="17665"/>
    <cellStyle name="Normal 90 4 2 2 2" xfId="35288"/>
    <cellStyle name="Normal 90 4 2 3" xfId="28247"/>
    <cellStyle name="Normal 90 4 3" xfId="14453"/>
    <cellStyle name="Normal 90 4 3 2" xfId="32074"/>
    <cellStyle name="Normal 90 4 4" xfId="25386"/>
    <cellStyle name="Normal 90 5" xfId="7445"/>
    <cellStyle name="Normal 90 5 2" xfId="10430"/>
    <cellStyle name="Normal 90 5 2 2" xfId="18217"/>
    <cellStyle name="Normal 90 5 2 2 2" xfId="35840"/>
    <cellStyle name="Normal 90 5 2 3" xfId="28783"/>
    <cellStyle name="Normal 90 5 3" xfId="15227"/>
    <cellStyle name="Normal 90 5 3 2" xfId="32848"/>
    <cellStyle name="Normal 90 5 4" xfId="25923"/>
    <cellStyle name="Normal 90 6" xfId="8066"/>
    <cellStyle name="Normal 90 6 2" xfId="15857"/>
    <cellStyle name="Normal 90 6 2 2" xfId="33478"/>
    <cellStyle name="Normal 90 6 3" xfId="26468"/>
    <cellStyle name="Normal 90 7" xfId="12069"/>
    <cellStyle name="Normal 90 7 2" xfId="29732"/>
    <cellStyle name="Normal 90 8" xfId="21991"/>
    <cellStyle name="Normal 90 8 2" xfId="38721"/>
    <cellStyle name="Normal 90 9" xfId="23607"/>
    <cellStyle name="Normal 91" xfId="3129"/>
    <cellStyle name="Normal 91 2" xfId="5281"/>
    <cellStyle name="Normal 91 3" xfId="52620"/>
    <cellStyle name="Normal 92" xfId="3130"/>
    <cellStyle name="Normal 92 2" xfId="5282"/>
    <cellStyle name="Normal 92 3" xfId="52621"/>
    <cellStyle name="Normal 93" xfId="3131"/>
    <cellStyle name="Normal 93 2" xfId="5283"/>
    <cellStyle name="Normal 93 3" xfId="52622"/>
    <cellStyle name="Normal 94" xfId="3132"/>
    <cellStyle name="Normal 94 2" xfId="5284"/>
    <cellStyle name="Normal 94 3" xfId="52623"/>
    <cellStyle name="Normal 95" xfId="3133"/>
    <cellStyle name="Normal 95 2" xfId="5285"/>
    <cellStyle name="Normal 95 3" xfId="52624"/>
    <cellStyle name="Normal 96" xfId="3134"/>
    <cellStyle name="Normal 96 2" xfId="5286"/>
    <cellStyle name="Normal 96 3" xfId="52625"/>
    <cellStyle name="Normal 97" xfId="3135"/>
    <cellStyle name="Normal 97 2" xfId="5287"/>
    <cellStyle name="Normal 97 3" xfId="52626"/>
    <cellStyle name="Normal 98" xfId="3136"/>
    <cellStyle name="Normal 98 2" xfId="5288"/>
    <cellStyle name="Normal 98 2 2" xfId="22777"/>
    <cellStyle name="Normal 98 2 2 2" xfId="38970"/>
    <cellStyle name="Normal 98 3" xfId="23007"/>
    <cellStyle name="Normal 98 4" xfId="22578"/>
    <cellStyle name="Normal 98 4 2" xfId="38864"/>
    <cellStyle name="Normal 98 5" xfId="52627"/>
    <cellStyle name="Normal 99" xfId="3137"/>
    <cellStyle name="Normal 99 2" xfId="5289"/>
    <cellStyle name="Normal 99 3" xfId="22579"/>
    <cellStyle name="Normal 99 3 2" xfId="38865"/>
    <cellStyle name="Normal 99 4" xfId="52628"/>
    <cellStyle name="Note" xfId="160" builtinId="10" customBuiltin="1"/>
    <cellStyle name="Note 10" xfId="3138"/>
    <cellStyle name="Note 10 10" xfId="3139"/>
    <cellStyle name="Note 10 11" xfId="5290"/>
    <cellStyle name="Note 10 2" xfId="3140"/>
    <cellStyle name="Note 10 2 2" xfId="3141"/>
    <cellStyle name="Note 10 3" xfId="3142"/>
    <cellStyle name="Note 10 3 2" xfId="3143"/>
    <cellStyle name="Note 10 4" xfId="3144"/>
    <cellStyle name="Note 10 5" xfId="3145"/>
    <cellStyle name="Note 10 5 2" xfId="3146"/>
    <cellStyle name="Note 10 6" xfId="3147"/>
    <cellStyle name="Note 10 7" xfId="3148"/>
    <cellStyle name="Note 10 8" xfId="3149"/>
    <cellStyle name="Note 10 9" xfId="3150"/>
    <cellStyle name="Note 11" xfId="3151"/>
    <cellStyle name="Note 11 2" xfId="3152"/>
    <cellStyle name="Note 12" xfId="3153"/>
    <cellStyle name="Note 12 2" xfId="5291"/>
    <cellStyle name="Note 12 2 2" xfId="22581"/>
    <cellStyle name="Note 12 3" xfId="22582"/>
    <cellStyle name="Note 13" xfId="3154"/>
    <cellStyle name="Note 13 2" xfId="3155"/>
    <cellStyle name="Note 14" xfId="3156"/>
    <cellStyle name="Note 14 2" xfId="3157"/>
    <cellStyle name="Note 14 2 2" xfId="53232"/>
    <cellStyle name="Note 14 3" xfId="5292"/>
    <cellStyle name="Note 14 3 2" xfId="53340"/>
    <cellStyle name="Note 14 4" xfId="5293"/>
    <cellStyle name="Note 14 5" xfId="5294"/>
    <cellStyle name="Note 14 6" xfId="22583"/>
    <cellStyle name="Note 14 6 2" xfId="47526"/>
    <cellStyle name="Note 14 6 3" xfId="51375"/>
    <cellStyle name="Note 14 6 4" xfId="38867"/>
    <cellStyle name="Note 14 7" xfId="53231"/>
    <cellStyle name="Note 15" xfId="3158"/>
    <cellStyle name="Note 15 2" xfId="3159"/>
    <cellStyle name="Note 15 2 2" xfId="38873"/>
    <cellStyle name="Note 15 2 3" xfId="22662"/>
    <cellStyle name="Note 16" xfId="3160"/>
    <cellStyle name="Note 16 2" xfId="3161"/>
    <cellStyle name="Note 16 2 2" xfId="32918"/>
    <cellStyle name="Note 16 2 2 2" xfId="53342"/>
    <cellStyle name="Note 16 2 3" xfId="15297"/>
    <cellStyle name="Note 16 2 4" xfId="53234"/>
    <cellStyle name="Note 16 3" xfId="22580"/>
    <cellStyle name="Note 16 3 2" xfId="47525"/>
    <cellStyle name="Note 16 3 3" xfId="51374"/>
    <cellStyle name="Note 16 3 4" xfId="38866"/>
    <cellStyle name="Note 16 3 5" xfId="53341"/>
    <cellStyle name="Note 16 4" xfId="25925"/>
    <cellStyle name="Note 16 5" xfId="7504"/>
    <cellStyle name="Note 16 6" xfId="53233"/>
    <cellStyle name="Note 17" xfId="3162"/>
    <cellStyle name="Note 17 2" xfId="36479"/>
    <cellStyle name="Note 17 2 2" xfId="53343"/>
    <cellStyle name="Note 17 3" xfId="18856"/>
    <cellStyle name="Note 18" xfId="3163"/>
    <cellStyle name="Note 19" xfId="51452"/>
    <cellStyle name="Note 2" xfId="133"/>
    <cellStyle name="Note 2 10" xfId="12072"/>
    <cellStyle name="Note 2 10 2" xfId="41797"/>
    <cellStyle name="Note 2 10 3" xfId="39306"/>
    <cellStyle name="Note 2 10 4" xfId="29734"/>
    <cellStyle name="Note 2 11" xfId="19833"/>
    <cellStyle name="Note 2 11 2" xfId="45355"/>
    <cellStyle name="Note 2 11 3" xfId="49261"/>
    <cellStyle name="Note 2 11 4" xfId="37335"/>
    <cellStyle name="Note 2 12" xfId="52629"/>
    <cellStyle name="Note 2 13" xfId="3164"/>
    <cellStyle name="Note 2 14" xfId="52734"/>
    <cellStyle name="Note 2 2" xfId="3165"/>
    <cellStyle name="Note 2 2 2" xfId="5296"/>
    <cellStyle name="Note 2 2 2 2" xfId="10463"/>
    <cellStyle name="Note 2 2 2 2 2" xfId="18250"/>
    <cellStyle name="Note 2 2 2 2 2 2" xfId="43782"/>
    <cellStyle name="Note 2 2 2 2 2 3" xfId="47691"/>
    <cellStyle name="Note 2 2 2 2 2 4" xfId="35873"/>
    <cellStyle name="Note 2 2 2 2 3" xfId="19131"/>
    <cellStyle name="Note 2 2 2 2 3 2" xfId="44653"/>
    <cellStyle name="Note 2 2 2 2 3 3" xfId="48559"/>
    <cellStyle name="Note 2 2 2 2 3 4" xfId="36712"/>
    <cellStyle name="Note 2 2 2 2 4" xfId="12663"/>
    <cellStyle name="Note 2 2 2 2 4 2" xfId="42123"/>
    <cellStyle name="Note 2 2 2 2 4 3" xfId="42666"/>
    <cellStyle name="Note 2 2 2 2 4 4" xfId="30313"/>
    <cellStyle name="Note 2 2 2 2 5" xfId="20663"/>
    <cellStyle name="Note 2 2 2 2 5 2" xfId="46185"/>
    <cellStyle name="Note 2 2 2 2 5 3" xfId="50091"/>
    <cellStyle name="Note 2 2 2 2 5 4" xfId="38055"/>
    <cellStyle name="Note 2 2 2 2 6" xfId="21316"/>
    <cellStyle name="Note 2 2 2 2 6 2" xfId="46838"/>
    <cellStyle name="Note 2 2 2 2 6 3" xfId="50744"/>
    <cellStyle name="Note 2 2 2 2 7" xfId="40641"/>
    <cellStyle name="Note 2 2 2 2 8" xfId="40367"/>
    <cellStyle name="Note 2 2 2 2 9" xfId="53346"/>
    <cellStyle name="Note 2 2 2 3" xfId="8789"/>
    <cellStyle name="Note 2 2 2 3 2" xfId="16579"/>
    <cellStyle name="Note 2 2 2 3 2 2" xfId="43404"/>
    <cellStyle name="Note 2 2 2 3 2 3" xfId="43258"/>
    <cellStyle name="Note 2 2 2 3 2 4" xfId="34200"/>
    <cellStyle name="Note 2 2 2 3 3" xfId="19933"/>
    <cellStyle name="Note 2 2 2 3 3 2" xfId="45455"/>
    <cellStyle name="Note 2 2 2 3 3 3" xfId="49361"/>
    <cellStyle name="Note 2 2 2 3 3 4" xfId="37427"/>
    <cellStyle name="Note 2 2 2 3 4" xfId="12802"/>
    <cellStyle name="Note 2 2 2 3 4 2" xfId="42197"/>
    <cellStyle name="Note 2 2 2 3 4 3" xfId="43297"/>
    <cellStyle name="Note 2 2 2 3 4 4" xfId="30444"/>
    <cellStyle name="Note 2 2 2 3 5" xfId="11577"/>
    <cellStyle name="Note 2 2 2 3 5 2" xfId="41568"/>
    <cellStyle name="Note 2 2 2 3 5 3" xfId="41997"/>
    <cellStyle name="Note 2 2 2 3 5 4" xfId="29272"/>
    <cellStyle name="Note 2 2 2 3 6" xfId="20448"/>
    <cellStyle name="Note 2 2 2 3 6 2" xfId="45970"/>
    <cellStyle name="Note 2 2 2 3 6 3" xfId="49876"/>
    <cellStyle name="Note 2 2 2 3 7" xfId="40266"/>
    <cellStyle name="Note 2 2 2 3 8" xfId="39193"/>
    <cellStyle name="Note 2 2 2 4" xfId="13261"/>
    <cellStyle name="Note 2 2 2 4 2" xfId="42412"/>
    <cellStyle name="Note 2 2 2 4 3" xfId="40297"/>
    <cellStyle name="Note 2 2 2 4 4" xfId="30892"/>
    <cellStyle name="Note 2 2 2 5" xfId="19513"/>
    <cellStyle name="Note 2 2 2 5 2" xfId="45035"/>
    <cellStyle name="Note 2 2 2 5 3" xfId="48941"/>
    <cellStyle name="Note 2 2 2 5 4" xfId="37047"/>
    <cellStyle name="Note 2 2 2 6" xfId="53236"/>
    <cellStyle name="Note 2 2 3" xfId="7447"/>
    <cellStyle name="Note 2 2 3 10" xfId="41680"/>
    <cellStyle name="Note 2 2 3 11" xfId="53345"/>
    <cellStyle name="Note 2 2 3 2" xfId="10717"/>
    <cellStyle name="Note 2 2 3 2 2" xfId="18504"/>
    <cellStyle name="Note 2 2 3 2 2 2" xfId="44036"/>
    <cellStyle name="Note 2 2 3 2 2 3" xfId="47945"/>
    <cellStyle name="Note 2 2 3 2 2 4" xfId="36127"/>
    <cellStyle name="Note 2 2 3 2 3" xfId="19105"/>
    <cellStyle name="Note 2 2 3 2 3 2" xfId="44627"/>
    <cellStyle name="Note 2 2 3 2 3 3" xfId="48533"/>
    <cellStyle name="Note 2 2 3 2 3 4" xfId="36686"/>
    <cellStyle name="Note 2 2 3 2 4" xfId="19371"/>
    <cellStyle name="Note 2 2 3 2 4 2" xfId="44893"/>
    <cellStyle name="Note 2 2 3 2 4 3" xfId="48799"/>
    <cellStyle name="Note 2 2 3 2 4 4" xfId="36923"/>
    <cellStyle name="Note 2 2 3 2 5" xfId="20917"/>
    <cellStyle name="Note 2 2 3 2 5 2" xfId="46439"/>
    <cellStyle name="Note 2 2 3 2 5 3" xfId="50345"/>
    <cellStyle name="Note 2 2 3 2 5 4" xfId="38309"/>
    <cellStyle name="Note 2 2 3 2 6" xfId="21570"/>
    <cellStyle name="Note 2 2 3 2 6 2" xfId="47092"/>
    <cellStyle name="Note 2 2 3 2 6 3" xfId="50998"/>
    <cellStyle name="Note 2 2 3 2 7" xfId="40895"/>
    <cellStyle name="Note 2 2 3 2 8" xfId="40355"/>
    <cellStyle name="Note 2 2 3 3" xfId="11012"/>
    <cellStyle name="Note 2 2 3 3 2" xfId="18799"/>
    <cellStyle name="Note 2 2 3 3 2 2" xfId="44331"/>
    <cellStyle name="Note 2 2 3 3 2 3" xfId="48240"/>
    <cellStyle name="Note 2 2 3 3 2 4" xfId="36422"/>
    <cellStyle name="Note 2 2 3 3 3" xfId="20392"/>
    <cellStyle name="Note 2 2 3 3 3 2" xfId="45914"/>
    <cellStyle name="Note 2 2 3 3 3 3" xfId="49820"/>
    <cellStyle name="Note 2 2 3 3 3 4" xfId="37832"/>
    <cellStyle name="Note 2 2 3 3 4" xfId="20536"/>
    <cellStyle name="Note 2 2 3 3 4 2" xfId="46058"/>
    <cellStyle name="Note 2 2 3 3 4 3" xfId="49964"/>
    <cellStyle name="Note 2 2 3 3 4 4" xfId="37949"/>
    <cellStyle name="Note 2 2 3 3 5" xfId="21212"/>
    <cellStyle name="Note 2 2 3 3 5 2" xfId="46734"/>
    <cellStyle name="Note 2 2 3 3 5 3" xfId="50640"/>
    <cellStyle name="Note 2 2 3 3 5 4" xfId="38604"/>
    <cellStyle name="Note 2 2 3 3 6" xfId="21865"/>
    <cellStyle name="Note 2 2 3 3 6 2" xfId="47387"/>
    <cellStyle name="Note 2 2 3 3 6 3" xfId="51293"/>
    <cellStyle name="Note 2 2 3 3 7" xfId="41190"/>
    <cellStyle name="Note 2 2 3 3 8" xfId="39342"/>
    <cellStyle name="Note 2 2 3 4" xfId="15229"/>
    <cellStyle name="Note 2 2 3 4 2" xfId="43084"/>
    <cellStyle name="Note 2 2 3 4 3" xfId="40121"/>
    <cellStyle name="Note 2 2 3 4 4" xfId="32850"/>
    <cellStyle name="Note 2 2 3 5" xfId="19806"/>
    <cellStyle name="Note 2 2 3 5 2" xfId="45328"/>
    <cellStyle name="Note 2 2 3 5 3" xfId="49234"/>
    <cellStyle name="Note 2 2 3 5 4" xfId="37313"/>
    <cellStyle name="Note 2 2 3 6" xfId="20066"/>
    <cellStyle name="Note 2 2 3 6 2" xfId="45588"/>
    <cellStyle name="Note 2 2 3 6 3" xfId="49494"/>
    <cellStyle name="Note 2 2 3 6 4" xfId="37546"/>
    <cellStyle name="Note 2 2 3 7" xfId="11464"/>
    <cellStyle name="Note 2 2 3 7 2" xfId="41455"/>
    <cellStyle name="Note 2 2 3 7 3" xfId="40189"/>
    <cellStyle name="Note 2 2 3 7 4" xfId="29166"/>
    <cellStyle name="Note 2 2 3 8" xfId="19525"/>
    <cellStyle name="Note 2 2 3 8 2" xfId="45047"/>
    <cellStyle name="Note 2 2 3 8 3" xfId="48953"/>
    <cellStyle name="Note 2 2 3 9" xfId="39944"/>
    <cellStyle name="Note 2 2 4" xfId="12073"/>
    <cellStyle name="Note 2 2 4 2" xfId="41798"/>
    <cellStyle name="Note 2 2 4 3" xfId="41972"/>
    <cellStyle name="Note 2 2 4 4" xfId="29735"/>
    <cellStyle name="Note 2 2 5" xfId="18964"/>
    <cellStyle name="Note 2 2 5 2" xfId="44486"/>
    <cellStyle name="Note 2 2 5 3" xfId="48392"/>
    <cellStyle name="Note 2 2 5 4" xfId="36574"/>
    <cellStyle name="Note 2 2 6" xfId="52630"/>
    <cellStyle name="Note 2 2 7" xfId="53235"/>
    <cellStyle name="Note 2 3" xfId="3166"/>
    <cellStyle name="Note 2 3 2" xfId="5297"/>
    <cellStyle name="Note 2 3 2 2" xfId="10464"/>
    <cellStyle name="Note 2 3 2 2 2" xfId="18251"/>
    <cellStyle name="Note 2 3 2 2 2 2" xfId="43783"/>
    <cellStyle name="Note 2 3 2 2 2 3" xfId="47692"/>
    <cellStyle name="Note 2 3 2 2 2 4" xfId="35874"/>
    <cellStyle name="Note 2 3 2 2 3" xfId="19756"/>
    <cellStyle name="Note 2 3 2 2 3 2" xfId="45278"/>
    <cellStyle name="Note 2 3 2 2 3 3" xfId="49184"/>
    <cellStyle name="Note 2 3 2 2 3 4" xfId="37269"/>
    <cellStyle name="Note 2 3 2 2 4" xfId="19352"/>
    <cellStyle name="Note 2 3 2 2 4 2" xfId="44874"/>
    <cellStyle name="Note 2 3 2 2 4 3" xfId="48780"/>
    <cellStyle name="Note 2 3 2 2 4 4" xfId="36906"/>
    <cellStyle name="Note 2 3 2 2 5" xfId="20664"/>
    <cellStyle name="Note 2 3 2 2 5 2" xfId="46186"/>
    <cellStyle name="Note 2 3 2 2 5 3" xfId="50092"/>
    <cellStyle name="Note 2 3 2 2 5 4" xfId="38056"/>
    <cellStyle name="Note 2 3 2 2 6" xfId="21317"/>
    <cellStyle name="Note 2 3 2 2 6 2" xfId="46839"/>
    <cellStyle name="Note 2 3 2 2 6 3" xfId="50745"/>
    <cellStyle name="Note 2 3 2 2 7" xfId="40642"/>
    <cellStyle name="Note 2 3 2 2 8" xfId="39479"/>
    <cellStyle name="Note 2 3 2 2 9" xfId="53348"/>
    <cellStyle name="Note 2 3 2 3" xfId="8790"/>
    <cellStyle name="Note 2 3 2 3 2" xfId="16580"/>
    <cellStyle name="Note 2 3 2 3 2 2" xfId="43405"/>
    <cellStyle name="Note 2 3 2 3 2 3" xfId="40117"/>
    <cellStyle name="Note 2 3 2 3 2 4" xfId="34201"/>
    <cellStyle name="Note 2 3 2 3 3" xfId="19161"/>
    <cellStyle name="Note 2 3 2 3 3 2" xfId="44683"/>
    <cellStyle name="Note 2 3 2 3 3 3" xfId="48589"/>
    <cellStyle name="Note 2 3 2 3 3 4" xfId="36738"/>
    <cellStyle name="Note 2 3 2 3 4" xfId="11656"/>
    <cellStyle name="Note 2 3 2 3 4 2" xfId="41647"/>
    <cellStyle name="Note 2 3 2 3 4 3" xfId="47481"/>
    <cellStyle name="Note 2 3 2 3 4 4" xfId="29340"/>
    <cellStyle name="Note 2 3 2 3 5" xfId="18967"/>
    <cellStyle name="Note 2 3 2 3 5 2" xfId="44489"/>
    <cellStyle name="Note 2 3 2 3 5 3" xfId="48395"/>
    <cellStyle name="Note 2 3 2 3 5 4" xfId="36577"/>
    <cellStyle name="Note 2 3 2 3 6" xfId="20092"/>
    <cellStyle name="Note 2 3 2 3 6 2" xfId="45614"/>
    <cellStyle name="Note 2 3 2 3 6 3" xfId="49520"/>
    <cellStyle name="Note 2 3 2 3 7" xfId="40267"/>
    <cellStyle name="Note 2 3 2 3 8" xfId="39192"/>
    <cellStyle name="Note 2 3 2 4" xfId="13262"/>
    <cellStyle name="Note 2 3 2 4 2" xfId="42413"/>
    <cellStyle name="Note 2 3 2 4 3" xfId="39414"/>
    <cellStyle name="Note 2 3 2 4 4" xfId="30893"/>
    <cellStyle name="Note 2 3 2 5" xfId="11723"/>
    <cellStyle name="Note 2 3 2 5 2" xfId="41689"/>
    <cellStyle name="Note 2 3 2 5 3" xfId="43180"/>
    <cellStyle name="Note 2 3 2 5 4" xfId="29396"/>
    <cellStyle name="Note 2 3 2 6" xfId="53238"/>
    <cellStyle name="Note 2 3 3" xfId="7448"/>
    <cellStyle name="Note 2 3 3 10" xfId="43243"/>
    <cellStyle name="Note 2 3 3 11" xfId="53347"/>
    <cellStyle name="Note 2 3 3 2" xfId="10718"/>
    <cellStyle name="Note 2 3 3 2 2" xfId="18505"/>
    <cellStyle name="Note 2 3 3 2 2 2" xfId="44037"/>
    <cellStyle name="Note 2 3 3 2 2 3" xfId="47946"/>
    <cellStyle name="Note 2 3 3 2 2 4" xfId="36128"/>
    <cellStyle name="Note 2 3 3 2 3" xfId="19721"/>
    <cellStyle name="Note 2 3 3 2 3 2" xfId="45243"/>
    <cellStyle name="Note 2 3 3 2 3 3" xfId="49149"/>
    <cellStyle name="Note 2 3 3 2 3 4" xfId="37234"/>
    <cellStyle name="Note 2 3 3 2 4" xfId="19958"/>
    <cellStyle name="Note 2 3 3 2 4 2" xfId="45480"/>
    <cellStyle name="Note 2 3 3 2 4 3" xfId="49386"/>
    <cellStyle name="Note 2 3 3 2 4 4" xfId="37448"/>
    <cellStyle name="Note 2 3 3 2 5" xfId="20918"/>
    <cellStyle name="Note 2 3 3 2 5 2" xfId="46440"/>
    <cellStyle name="Note 2 3 3 2 5 3" xfId="50346"/>
    <cellStyle name="Note 2 3 3 2 5 4" xfId="38310"/>
    <cellStyle name="Note 2 3 3 2 6" xfId="21571"/>
    <cellStyle name="Note 2 3 3 2 6 2" xfId="47093"/>
    <cellStyle name="Note 2 3 3 2 6 3" xfId="50999"/>
    <cellStyle name="Note 2 3 3 2 7" xfId="40896"/>
    <cellStyle name="Note 2 3 3 2 8" xfId="39467"/>
    <cellStyle name="Note 2 3 3 3" xfId="11013"/>
    <cellStyle name="Note 2 3 3 3 2" xfId="18800"/>
    <cellStyle name="Note 2 3 3 3 2 2" xfId="44332"/>
    <cellStyle name="Note 2 3 3 3 2 3" xfId="48241"/>
    <cellStyle name="Note 2 3 3 3 2 4" xfId="36423"/>
    <cellStyle name="Note 2 3 3 3 3" xfId="20393"/>
    <cellStyle name="Note 2 3 3 3 3 2" xfId="45915"/>
    <cellStyle name="Note 2 3 3 3 3 3" xfId="49821"/>
    <cellStyle name="Note 2 3 3 3 3 4" xfId="37833"/>
    <cellStyle name="Note 2 3 3 3 4" xfId="20537"/>
    <cellStyle name="Note 2 3 3 3 4 2" xfId="46059"/>
    <cellStyle name="Note 2 3 3 3 4 3" xfId="49965"/>
    <cellStyle name="Note 2 3 3 3 4 4" xfId="37950"/>
    <cellStyle name="Note 2 3 3 3 5" xfId="21213"/>
    <cellStyle name="Note 2 3 3 3 5 2" xfId="46735"/>
    <cellStyle name="Note 2 3 3 3 5 3" xfId="50641"/>
    <cellStyle name="Note 2 3 3 3 5 4" xfId="38605"/>
    <cellStyle name="Note 2 3 3 3 6" xfId="21866"/>
    <cellStyle name="Note 2 3 3 3 6 2" xfId="47388"/>
    <cellStyle name="Note 2 3 3 3 6 3" xfId="51294"/>
    <cellStyle name="Note 2 3 3 3 7" xfId="41191"/>
    <cellStyle name="Note 2 3 3 3 8" xfId="39153"/>
    <cellStyle name="Note 2 3 3 4" xfId="15230"/>
    <cellStyle name="Note 2 3 3 4 2" xfId="43085"/>
    <cellStyle name="Note 2 3 3 4 3" xfId="39235"/>
    <cellStyle name="Note 2 3 3 4 4" xfId="32851"/>
    <cellStyle name="Note 2 3 3 5" xfId="11358"/>
    <cellStyle name="Note 2 3 3 5 2" xfId="41374"/>
    <cellStyle name="Note 2 3 3 5 3" xfId="39655"/>
    <cellStyle name="Note 2 3 3 5 4" xfId="29067"/>
    <cellStyle name="Note 2 3 3 6" xfId="18981"/>
    <cellStyle name="Note 2 3 3 6 2" xfId="44503"/>
    <cellStyle name="Note 2 3 3 6 3" xfId="48409"/>
    <cellStyle name="Note 2 3 3 6 4" xfId="36589"/>
    <cellStyle name="Note 2 3 3 7" xfId="20510"/>
    <cellStyle name="Note 2 3 3 7 2" xfId="46032"/>
    <cellStyle name="Note 2 3 3 7 3" xfId="49938"/>
    <cellStyle name="Note 2 3 3 7 4" xfId="37929"/>
    <cellStyle name="Note 2 3 3 8" xfId="19340"/>
    <cellStyle name="Note 2 3 3 8 2" xfId="44862"/>
    <cellStyle name="Note 2 3 3 8 3" xfId="48768"/>
    <cellStyle name="Note 2 3 3 9" xfId="39945"/>
    <cellStyle name="Note 2 3 4" xfId="12074"/>
    <cellStyle name="Note 2 3 4 2" xfId="41799"/>
    <cellStyle name="Note 2 3 4 3" xfId="43311"/>
    <cellStyle name="Note 2 3 4 4" xfId="29736"/>
    <cellStyle name="Note 2 3 5" xfId="11597"/>
    <cellStyle name="Note 2 3 5 2" xfId="41588"/>
    <cellStyle name="Note 2 3 5 3" xfId="39437"/>
    <cellStyle name="Note 2 3 5 4" xfId="29287"/>
    <cellStyle name="Note 2 3 6" xfId="52631"/>
    <cellStyle name="Note 2 3 7" xfId="53237"/>
    <cellStyle name="Note 2 4" xfId="3167"/>
    <cellStyle name="Note 2 4 2" xfId="5298"/>
    <cellStyle name="Note 2 4 2 2" xfId="10465"/>
    <cellStyle name="Note 2 4 2 2 2" xfId="18252"/>
    <cellStyle name="Note 2 4 2 2 2 2" xfId="43784"/>
    <cellStyle name="Note 2 4 2 2 2 3" xfId="47693"/>
    <cellStyle name="Note 2 4 2 2 2 4" xfId="35875"/>
    <cellStyle name="Note 2 4 2 2 3" xfId="11478"/>
    <cellStyle name="Note 2 4 2 2 3 2" xfId="41469"/>
    <cellStyle name="Note 2 4 2 2 3 3" xfId="42556"/>
    <cellStyle name="Note 2 4 2 2 3 4" xfId="29179"/>
    <cellStyle name="Note 2 4 2 2 4" xfId="11672"/>
    <cellStyle name="Note 2 4 2 2 4 2" xfId="41663"/>
    <cellStyle name="Note 2 4 2 2 4 3" xfId="41991"/>
    <cellStyle name="Note 2 4 2 2 4 4" xfId="29351"/>
    <cellStyle name="Note 2 4 2 2 5" xfId="20665"/>
    <cellStyle name="Note 2 4 2 2 5 2" xfId="46187"/>
    <cellStyle name="Note 2 4 2 2 5 3" xfId="50093"/>
    <cellStyle name="Note 2 4 2 2 5 4" xfId="38057"/>
    <cellStyle name="Note 2 4 2 2 6" xfId="21318"/>
    <cellStyle name="Note 2 4 2 2 6 2" xfId="46840"/>
    <cellStyle name="Note 2 4 2 2 6 3" xfId="50746"/>
    <cellStyle name="Note 2 4 2 2 7" xfId="40643"/>
    <cellStyle name="Note 2 4 2 2 8" xfId="42053"/>
    <cellStyle name="Note 2 4 2 2 9" xfId="53350"/>
    <cellStyle name="Note 2 4 2 3" xfId="8791"/>
    <cellStyle name="Note 2 4 2 3 2" xfId="16581"/>
    <cellStyle name="Note 2 4 2 3 2 2" xfId="43406"/>
    <cellStyle name="Note 2 4 2 3 2 3" xfId="39232"/>
    <cellStyle name="Note 2 4 2 3 2 4" xfId="34202"/>
    <cellStyle name="Note 2 4 2 3 3" xfId="19783"/>
    <cellStyle name="Note 2 4 2 3 3 2" xfId="45305"/>
    <cellStyle name="Note 2 4 2 3 3 3" xfId="49211"/>
    <cellStyle name="Note 2 4 2 3 3 4" xfId="37292"/>
    <cellStyle name="Note 2 4 2 3 4" xfId="19824"/>
    <cellStyle name="Note 2 4 2 3 4 2" xfId="45346"/>
    <cellStyle name="Note 2 4 2 3 4 3" xfId="49252"/>
    <cellStyle name="Note 2 4 2 3 4 4" xfId="37328"/>
    <cellStyle name="Note 2 4 2 3 5" xfId="12664"/>
    <cellStyle name="Note 2 4 2 3 5 2" xfId="42124"/>
    <cellStyle name="Note 2 4 2 3 5 3" xfId="43556"/>
    <cellStyle name="Note 2 4 2 3 5 4" xfId="30314"/>
    <cellStyle name="Note 2 4 2 3 6" xfId="19463"/>
    <cellStyle name="Note 2 4 2 3 6 2" xfId="44985"/>
    <cellStyle name="Note 2 4 2 3 6 3" xfId="48891"/>
    <cellStyle name="Note 2 4 2 3 7" xfId="40268"/>
    <cellStyle name="Note 2 4 2 3 8" xfId="39191"/>
    <cellStyle name="Note 2 4 2 4" xfId="13263"/>
    <cellStyle name="Note 2 4 2 4 2" xfId="42414"/>
    <cellStyle name="Note 2 4 2 4 3" xfId="41937"/>
    <cellStyle name="Note 2 4 2 4 4" xfId="30894"/>
    <cellStyle name="Note 2 4 2 5" xfId="12728"/>
    <cellStyle name="Note 2 4 2 5 2" xfId="42162"/>
    <cellStyle name="Note 2 4 2 5 3" xfId="41949"/>
    <cellStyle name="Note 2 4 2 5 4" xfId="30372"/>
    <cellStyle name="Note 2 4 2 6" xfId="53240"/>
    <cellStyle name="Note 2 4 3" xfId="7449"/>
    <cellStyle name="Note 2 4 3 10" xfId="40102"/>
    <cellStyle name="Note 2 4 3 11" xfId="53349"/>
    <cellStyle name="Note 2 4 3 2" xfId="10719"/>
    <cellStyle name="Note 2 4 3 2 2" xfId="18506"/>
    <cellStyle name="Note 2 4 3 2 2 2" xfId="44038"/>
    <cellStyle name="Note 2 4 3 2 2 3" xfId="47947"/>
    <cellStyle name="Note 2 4 3 2 2 4" xfId="36129"/>
    <cellStyle name="Note 2 4 3 2 3" xfId="12625"/>
    <cellStyle name="Note 2 4 3 2 3 2" xfId="42085"/>
    <cellStyle name="Note 2 4 3 2 3 3" xfId="40421"/>
    <cellStyle name="Note 2 4 3 2 3 4" xfId="30276"/>
    <cellStyle name="Note 2 4 3 2 4" xfId="19950"/>
    <cellStyle name="Note 2 4 3 2 4 2" xfId="45472"/>
    <cellStyle name="Note 2 4 3 2 4 3" xfId="49378"/>
    <cellStyle name="Note 2 4 3 2 4 4" xfId="37441"/>
    <cellStyle name="Note 2 4 3 2 5" xfId="20919"/>
    <cellStyle name="Note 2 4 3 2 5 2" xfId="46441"/>
    <cellStyle name="Note 2 4 3 2 5 3" xfId="50347"/>
    <cellStyle name="Note 2 4 3 2 5 4" xfId="38311"/>
    <cellStyle name="Note 2 4 3 2 6" xfId="21572"/>
    <cellStyle name="Note 2 4 3 2 6 2" xfId="47094"/>
    <cellStyle name="Note 2 4 3 2 6 3" xfId="51000"/>
    <cellStyle name="Note 2 4 3 2 7" xfId="40897"/>
    <cellStyle name="Note 2 4 3 2 8" xfId="42038"/>
    <cellStyle name="Note 2 4 3 3" xfId="11014"/>
    <cellStyle name="Note 2 4 3 3 2" xfId="18801"/>
    <cellStyle name="Note 2 4 3 3 2 2" xfId="44333"/>
    <cellStyle name="Note 2 4 3 3 2 3" xfId="48242"/>
    <cellStyle name="Note 2 4 3 3 2 4" xfId="36424"/>
    <cellStyle name="Note 2 4 3 3 3" xfId="20394"/>
    <cellStyle name="Note 2 4 3 3 3 2" xfId="45916"/>
    <cellStyle name="Note 2 4 3 3 3 3" xfId="49822"/>
    <cellStyle name="Note 2 4 3 3 3 4" xfId="37834"/>
    <cellStyle name="Note 2 4 3 3 4" xfId="20538"/>
    <cellStyle name="Note 2 4 3 3 4 2" xfId="46060"/>
    <cellStyle name="Note 2 4 3 3 4 3" xfId="49966"/>
    <cellStyle name="Note 2 4 3 3 4 4" xfId="37951"/>
    <cellStyle name="Note 2 4 3 3 5" xfId="21214"/>
    <cellStyle name="Note 2 4 3 3 5 2" xfId="46736"/>
    <cellStyle name="Note 2 4 3 3 5 3" xfId="50642"/>
    <cellStyle name="Note 2 4 3 3 5 4" xfId="38606"/>
    <cellStyle name="Note 2 4 3 3 6" xfId="21867"/>
    <cellStyle name="Note 2 4 3 3 6 2" xfId="47389"/>
    <cellStyle name="Note 2 4 3 3 6 3" xfId="51295"/>
    <cellStyle name="Note 2 4 3 3 7" xfId="41192"/>
    <cellStyle name="Note 2 4 3 3 8" xfId="42020"/>
    <cellStyle name="Note 2 4 3 4" xfId="15231"/>
    <cellStyle name="Note 2 4 3 4 2" xfId="43086"/>
    <cellStyle name="Note 2 4 3 4 3" xfId="41910"/>
    <cellStyle name="Note 2 4 3 4 4" xfId="32852"/>
    <cellStyle name="Note 2 4 3 5" xfId="13237"/>
    <cellStyle name="Note 2 4 3 5 2" xfId="42399"/>
    <cellStyle name="Note 2 4 3 5 3" xfId="40408"/>
    <cellStyle name="Note 2 4 3 5 4" xfId="30868"/>
    <cellStyle name="Note 2 4 3 6" xfId="19535"/>
    <cellStyle name="Note 2 4 3 6 2" xfId="45057"/>
    <cellStyle name="Note 2 4 3 6 3" xfId="48963"/>
    <cellStyle name="Note 2 4 3 6 4" xfId="37064"/>
    <cellStyle name="Note 2 4 3 7" xfId="11636"/>
    <cellStyle name="Note 2 4 3 7 2" xfId="41627"/>
    <cellStyle name="Note 2 4 3 7 3" xfId="41361"/>
    <cellStyle name="Note 2 4 3 7 4" xfId="29322"/>
    <cellStyle name="Note 2 4 3 8" xfId="19774"/>
    <cellStyle name="Note 2 4 3 8 2" xfId="45296"/>
    <cellStyle name="Note 2 4 3 8 3" xfId="49202"/>
    <cellStyle name="Note 2 4 3 9" xfId="39946"/>
    <cellStyle name="Note 2 4 4" xfId="12075"/>
    <cellStyle name="Note 2 4 4 2" xfId="41800"/>
    <cellStyle name="Note 2 4 4 3" xfId="40172"/>
    <cellStyle name="Note 2 4 4 4" xfId="29737"/>
    <cellStyle name="Note 2 4 5" xfId="19672"/>
    <cellStyle name="Note 2 4 5 2" xfId="45194"/>
    <cellStyle name="Note 2 4 5 3" xfId="49100"/>
    <cellStyle name="Note 2 4 5 4" xfId="37190"/>
    <cellStyle name="Note 2 4 6" xfId="52632"/>
    <cellStyle name="Note 2 4 7" xfId="53239"/>
    <cellStyle name="Note 2 5" xfId="3168"/>
    <cellStyle name="Note 2 5 2" xfId="5299"/>
    <cellStyle name="Note 2 5 2 2" xfId="10466"/>
    <cellStyle name="Note 2 5 2 2 2" xfId="18253"/>
    <cellStyle name="Note 2 5 2 2 2 2" xfId="43785"/>
    <cellStyle name="Note 2 5 2 2 2 3" xfId="47694"/>
    <cellStyle name="Note 2 5 2 2 2 4" xfId="35876"/>
    <cellStyle name="Note 2 5 2 2 3" xfId="13309"/>
    <cellStyle name="Note 2 5 2 2 3 2" xfId="42460"/>
    <cellStyle name="Note 2 5 2 2 3 3" xfId="40144"/>
    <cellStyle name="Note 2 5 2 2 3 4" xfId="30935"/>
    <cellStyle name="Note 2 5 2 2 4" xfId="20294"/>
    <cellStyle name="Note 2 5 2 2 4 2" xfId="45816"/>
    <cellStyle name="Note 2 5 2 2 4 3" xfId="49722"/>
    <cellStyle name="Note 2 5 2 2 4 4" xfId="37746"/>
    <cellStyle name="Note 2 5 2 2 5" xfId="20666"/>
    <cellStyle name="Note 2 5 2 2 5 2" xfId="46188"/>
    <cellStyle name="Note 2 5 2 2 5 3" xfId="50094"/>
    <cellStyle name="Note 2 5 2 2 5 4" xfId="38058"/>
    <cellStyle name="Note 2 5 2 2 6" xfId="21319"/>
    <cellStyle name="Note 2 5 2 2 6 2" xfId="46841"/>
    <cellStyle name="Note 2 5 2 2 6 3" xfId="50747"/>
    <cellStyle name="Note 2 5 2 2 7" xfId="40644"/>
    <cellStyle name="Note 2 5 2 2 8" xfId="43372"/>
    <cellStyle name="Note 2 5 2 2 9" xfId="53352"/>
    <cellStyle name="Note 2 5 2 3" xfId="8792"/>
    <cellStyle name="Note 2 5 2 3 2" xfId="16582"/>
    <cellStyle name="Note 2 5 2 3 2 2" xfId="43407"/>
    <cellStyle name="Note 2 5 2 3 2 3" xfId="41904"/>
    <cellStyle name="Note 2 5 2 3 2 4" xfId="34203"/>
    <cellStyle name="Note 2 5 2 3 3" xfId="11450"/>
    <cellStyle name="Note 2 5 2 3 3 2" xfId="41441"/>
    <cellStyle name="Note 2 5 2 3 3 3" xfId="42691"/>
    <cellStyle name="Note 2 5 2 3 3 4" xfId="29155"/>
    <cellStyle name="Note 2 5 2 3 4" xfId="18973"/>
    <cellStyle name="Note 2 5 2 3 4 2" xfId="44495"/>
    <cellStyle name="Note 2 5 2 3 4 3" xfId="48401"/>
    <cellStyle name="Note 2 5 2 3 4 4" xfId="36583"/>
    <cellStyle name="Note 2 5 2 3 5" xfId="19942"/>
    <cellStyle name="Note 2 5 2 3 5 2" xfId="45464"/>
    <cellStyle name="Note 2 5 2 3 5 3" xfId="49370"/>
    <cellStyle name="Note 2 5 2 3 5 4" xfId="37433"/>
    <cellStyle name="Note 2 5 2 3 6" xfId="20475"/>
    <cellStyle name="Note 2 5 2 3 6 2" xfId="45997"/>
    <cellStyle name="Note 2 5 2 3 6 3" xfId="49903"/>
    <cellStyle name="Note 2 5 2 3 7" xfId="40269"/>
    <cellStyle name="Note 2 5 2 3 8" xfId="39190"/>
    <cellStyle name="Note 2 5 2 4" xfId="13264"/>
    <cellStyle name="Note 2 5 2 4 2" xfId="42415"/>
    <cellStyle name="Note 2 5 2 4 3" xfId="43287"/>
    <cellStyle name="Note 2 5 2 4 4" xfId="30895"/>
    <cellStyle name="Note 2 5 2 5" xfId="11724"/>
    <cellStyle name="Note 2 5 2 5 2" xfId="41690"/>
    <cellStyle name="Note 2 5 2 5 3" xfId="40039"/>
    <cellStyle name="Note 2 5 2 5 4" xfId="29397"/>
    <cellStyle name="Note 2 5 2 6" xfId="53242"/>
    <cellStyle name="Note 2 5 3" xfId="7450"/>
    <cellStyle name="Note 2 5 3 10" xfId="43071"/>
    <cellStyle name="Note 2 5 3 11" xfId="53351"/>
    <cellStyle name="Note 2 5 3 2" xfId="10720"/>
    <cellStyle name="Note 2 5 3 2 2" xfId="18507"/>
    <cellStyle name="Note 2 5 3 2 2 2" xfId="44039"/>
    <cellStyle name="Note 2 5 3 2 2 3" xfId="47948"/>
    <cellStyle name="Note 2 5 3 2 2 4" xfId="36130"/>
    <cellStyle name="Note 2 5 3 2 3" xfId="19723"/>
    <cellStyle name="Note 2 5 3 2 3 2" xfId="45245"/>
    <cellStyle name="Note 2 5 3 2 3 3" xfId="49151"/>
    <cellStyle name="Note 2 5 3 2 3 4" xfId="37236"/>
    <cellStyle name="Note 2 5 3 2 4" xfId="20087"/>
    <cellStyle name="Note 2 5 3 2 4 2" xfId="45609"/>
    <cellStyle name="Note 2 5 3 2 4 3" xfId="49515"/>
    <cellStyle name="Note 2 5 3 2 4 4" xfId="37562"/>
    <cellStyle name="Note 2 5 3 2 5" xfId="20920"/>
    <cellStyle name="Note 2 5 3 2 5 2" xfId="46442"/>
    <cellStyle name="Note 2 5 3 2 5 3" xfId="50348"/>
    <cellStyle name="Note 2 5 3 2 5 4" xfId="38312"/>
    <cellStyle name="Note 2 5 3 2 6" xfId="21573"/>
    <cellStyle name="Note 2 5 3 2 6 2" xfId="47095"/>
    <cellStyle name="Note 2 5 3 2 6 3" xfId="51001"/>
    <cellStyle name="Note 2 5 3 2 7" xfId="40898"/>
    <cellStyle name="Note 2 5 3 2 8" xfId="43357"/>
    <cellStyle name="Note 2 5 3 3" xfId="11015"/>
    <cellStyle name="Note 2 5 3 3 2" xfId="18802"/>
    <cellStyle name="Note 2 5 3 3 2 2" xfId="44334"/>
    <cellStyle name="Note 2 5 3 3 2 3" xfId="48243"/>
    <cellStyle name="Note 2 5 3 3 2 4" xfId="36425"/>
    <cellStyle name="Note 2 5 3 3 3" xfId="20395"/>
    <cellStyle name="Note 2 5 3 3 3 2" xfId="45917"/>
    <cellStyle name="Note 2 5 3 3 3 3" xfId="49823"/>
    <cellStyle name="Note 2 5 3 3 3 4" xfId="37835"/>
    <cellStyle name="Note 2 5 3 3 4" xfId="20539"/>
    <cellStyle name="Note 2 5 3 3 4 2" xfId="46061"/>
    <cellStyle name="Note 2 5 3 3 4 3" xfId="49967"/>
    <cellStyle name="Note 2 5 3 3 4 4" xfId="37952"/>
    <cellStyle name="Note 2 5 3 3 5" xfId="21215"/>
    <cellStyle name="Note 2 5 3 3 5 2" xfId="46737"/>
    <cellStyle name="Note 2 5 3 3 5 3" xfId="50643"/>
    <cellStyle name="Note 2 5 3 3 5 4" xfId="38607"/>
    <cellStyle name="Note 2 5 3 3 6" xfId="21868"/>
    <cellStyle name="Note 2 5 3 3 6 2" xfId="47390"/>
    <cellStyle name="Note 2 5 3 3 6 3" xfId="51296"/>
    <cellStyle name="Note 2 5 3 3 7" xfId="41193"/>
    <cellStyle name="Note 2 5 3 3 8" xfId="43339"/>
    <cellStyle name="Note 2 5 3 4" xfId="15232"/>
    <cellStyle name="Note 2 5 3 4 2" xfId="43087"/>
    <cellStyle name="Note 2 5 3 4 3" xfId="43264"/>
    <cellStyle name="Note 2 5 3 4 4" xfId="32853"/>
    <cellStyle name="Note 2 5 3 5" xfId="19649"/>
    <cellStyle name="Note 2 5 3 5 2" xfId="45171"/>
    <cellStyle name="Note 2 5 3 5 3" xfId="49077"/>
    <cellStyle name="Note 2 5 3 5 4" xfId="37169"/>
    <cellStyle name="Note 2 5 3 6" xfId="12133"/>
    <cellStyle name="Note 2 5 3 6 2" xfId="41858"/>
    <cellStyle name="Note 2 5 3 6 3" xfId="40425"/>
    <cellStyle name="Note 2 5 3 6 4" xfId="29791"/>
    <cellStyle name="Note 2 5 3 7" xfId="13906"/>
    <cellStyle name="Note 2 5 3 7 2" xfId="42622"/>
    <cellStyle name="Note 2 5 3 7 3" xfId="47556"/>
    <cellStyle name="Note 2 5 3 7 4" xfId="31529"/>
    <cellStyle name="Note 2 5 3 8" xfId="19467"/>
    <cellStyle name="Note 2 5 3 8 2" xfId="44989"/>
    <cellStyle name="Note 2 5 3 8 3" xfId="48895"/>
    <cellStyle name="Note 2 5 3 9" xfId="39947"/>
    <cellStyle name="Note 2 5 4" xfId="12076"/>
    <cellStyle name="Note 2 5 4 2" xfId="41801"/>
    <cellStyle name="Note 2 5 4 3" xfId="39305"/>
    <cellStyle name="Note 2 5 4 4" xfId="29738"/>
    <cellStyle name="Note 2 5 5" xfId="20234"/>
    <cellStyle name="Note 2 5 5 2" xfId="45756"/>
    <cellStyle name="Note 2 5 5 3" xfId="49662"/>
    <cellStyle name="Note 2 5 5 4" xfId="37692"/>
    <cellStyle name="Note 2 5 6" xfId="52633"/>
    <cellStyle name="Note 2 5 7" xfId="53241"/>
    <cellStyle name="Note 2 6" xfId="5300"/>
    <cellStyle name="Note 2 6 2" xfId="7451"/>
    <cellStyle name="Note 2 6 2 10" xfId="43738"/>
    <cellStyle name="Note 2 6 2 11" xfId="53353"/>
    <cellStyle name="Note 2 6 2 2" xfId="10721"/>
    <cellStyle name="Note 2 6 2 2 2" xfId="18508"/>
    <cellStyle name="Note 2 6 2 2 2 2" xfId="44040"/>
    <cellStyle name="Note 2 6 2 2 2 3" xfId="47949"/>
    <cellStyle name="Note 2 6 2 2 2 4" xfId="36131"/>
    <cellStyle name="Note 2 6 2 2 3" xfId="20143"/>
    <cellStyle name="Note 2 6 2 2 3 2" xfId="45665"/>
    <cellStyle name="Note 2 6 2 2 3 3" xfId="49571"/>
    <cellStyle name="Note 2 6 2 2 3 4" xfId="37615"/>
    <cellStyle name="Note 2 6 2 2 4" xfId="15295"/>
    <cellStyle name="Note 2 6 2 2 4 2" xfId="43144"/>
    <cellStyle name="Note 2 6 2 2 4 3" xfId="40492"/>
    <cellStyle name="Note 2 6 2 2 4 4" xfId="32916"/>
    <cellStyle name="Note 2 6 2 2 5" xfId="20921"/>
    <cellStyle name="Note 2 6 2 2 5 2" xfId="46443"/>
    <cellStyle name="Note 2 6 2 2 5 3" xfId="50349"/>
    <cellStyle name="Note 2 6 2 2 5 4" xfId="38313"/>
    <cellStyle name="Note 2 6 2 2 6" xfId="21574"/>
    <cellStyle name="Note 2 6 2 2 6 2" xfId="47096"/>
    <cellStyle name="Note 2 6 2 2 6 3" xfId="51002"/>
    <cellStyle name="Note 2 6 2 2 7" xfId="40899"/>
    <cellStyle name="Note 2 6 2 2 8" xfId="40219"/>
    <cellStyle name="Note 2 6 2 3" xfId="11016"/>
    <cellStyle name="Note 2 6 2 3 2" xfId="18803"/>
    <cellStyle name="Note 2 6 2 3 2 2" xfId="44335"/>
    <cellStyle name="Note 2 6 2 3 2 3" xfId="48244"/>
    <cellStyle name="Note 2 6 2 3 2 4" xfId="36426"/>
    <cellStyle name="Note 2 6 2 3 3" xfId="20396"/>
    <cellStyle name="Note 2 6 2 3 3 2" xfId="45918"/>
    <cellStyle name="Note 2 6 2 3 3 3" xfId="49824"/>
    <cellStyle name="Note 2 6 2 3 3 4" xfId="37836"/>
    <cellStyle name="Note 2 6 2 3 4" xfId="20540"/>
    <cellStyle name="Note 2 6 2 3 4 2" xfId="46062"/>
    <cellStyle name="Note 2 6 2 3 4 3" xfId="49968"/>
    <cellStyle name="Note 2 6 2 3 4 4" xfId="37953"/>
    <cellStyle name="Note 2 6 2 3 5" xfId="21216"/>
    <cellStyle name="Note 2 6 2 3 5 2" xfId="46738"/>
    <cellStyle name="Note 2 6 2 3 5 3" xfId="50644"/>
    <cellStyle name="Note 2 6 2 3 5 4" xfId="38608"/>
    <cellStyle name="Note 2 6 2 3 6" xfId="21869"/>
    <cellStyle name="Note 2 6 2 3 6 2" xfId="47391"/>
    <cellStyle name="Note 2 6 2 3 6 3" xfId="51297"/>
    <cellStyle name="Note 2 6 2 3 7" xfId="41194"/>
    <cellStyle name="Note 2 6 2 3 8" xfId="40201"/>
    <cellStyle name="Note 2 6 2 4" xfId="15233"/>
    <cellStyle name="Note 2 6 2 4 2" xfId="43088"/>
    <cellStyle name="Note 2 6 2 4 3" xfId="40123"/>
    <cellStyle name="Note 2 6 2 4 4" xfId="32854"/>
    <cellStyle name="Note 2 6 2 5" xfId="20208"/>
    <cellStyle name="Note 2 6 2 5 2" xfId="45730"/>
    <cellStyle name="Note 2 6 2 5 3" xfId="49636"/>
    <cellStyle name="Note 2 6 2 5 4" xfId="37671"/>
    <cellStyle name="Note 2 6 2 6" xfId="20464"/>
    <cellStyle name="Note 2 6 2 6 2" xfId="45986"/>
    <cellStyle name="Note 2 6 2 6 3" xfId="49892"/>
    <cellStyle name="Note 2 6 2 6 4" xfId="37903"/>
    <cellStyle name="Note 2 6 2 7" xfId="13305"/>
    <cellStyle name="Note 2 6 2 7 2" xfId="42456"/>
    <cellStyle name="Note 2 6 2 7 3" xfId="40142"/>
    <cellStyle name="Note 2 6 2 7 4" xfId="30931"/>
    <cellStyle name="Note 2 6 2 8" xfId="20221"/>
    <cellStyle name="Note 2 6 2 8 2" xfId="45743"/>
    <cellStyle name="Note 2 6 2 8 3" xfId="49649"/>
    <cellStyle name="Note 2 6 2 9" xfId="39948"/>
    <cellStyle name="Note 2 6 3" xfId="13265"/>
    <cellStyle name="Note 2 6 3 2" xfId="42416"/>
    <cellStyle name="Note 2 6 3 3" xfId="40146"/>
    <cellStyle name="Note 2 6 3 4" xfId="30896"/>
    <cellStyle name="Note 2 6 4" xfId="20361"/>
    <cellStyle name="Note 2 6 4 2" xfId="45883"/>
    <cellStyle name="Note 2 6 4 3" xfId="49789"/>
    <cellStyle name="Note 2 6 4 4" xfId="37803"/>
    <cellStyle name="Note 2 6 5" xfId="53243"/>
    <cellStyle name="Note 2 7" xfId="5301"/>
    <cellStyle name="Note 2 7 2" xfId="10467"/>
    <cellStyle name="Note 2 7 2 2" xfId="18254"/>
    <cellStyle name="Note 2 7 2 2 2" xfId="43786"/>
    <cellStyle name="Note 2 7 2 2 3" xfId="47695"/>
    <cellStyle name="Note 2 7 2 2 4" xfId="35877"/>
    <cellStyle name="Note 2 7 2 3" xfId="19610"/>
    <cellStyle name="Note 2 7 2 3 2" xfId="45132"/>
    <cellStyle name="Note 2 7 2 3 3" xfId="49038"/>
    <cellStyle name="Note 2 7 2 3 4" xfId="37136"/>
    <cellStyle name="Note 2 7 2 4" xfId="20203"/>
    <cellStyle name="Note 2 7 2 4 2" xfId="45725"/>
    <cellStyle name="Note 2 7 2 4 3" xfId="49631"/>
    <cellStyle name="Note 2 7 2 4 4" xfId="37666"/>
    <cellStyle name="Note 2 7 2 5" xfId="20667"/>
    <cellStyle name="Note 2 7 2 5 2" xfId="46189"/>
    <cellStyle name="Note 2 7 2 5 3" xfId="50095"/>
    <cellStyle name="Note 2 7 2 5 4" xfId="38059"/>
    <cellStyle name="Note 2 7 2 6" xfId="21320"/>
    <cellStyle name="Note 2 7 2 6 2" xfId="46842"/>
    <cellStyle name="Note 2 7 2 6 3" xfId="50748"/>
    <cellStyle name="Note 2 7 2 7" xfId="40645"/>
    <cellStyle name="Note 2 7 2 8" xfId="40234"/>
    <cellStyle name="Note 2 7 3" xfId="8793"/>
    <cellStyle name="Note 2 7 3 2" xfId="16583"/>
    <cellStyle name="Note 2 7 3 2 2" xfId="43408"/>
    <cellStyle name="Note 2 7 3 2 3" xfId="43259"/>
    <cellStyle name="Note 2 7 3 2 4" xfId="34204"/>
    <cellStyle name="Note 2 7 3 3" xfId="19784"/>
    <cellStyle name="Note 2 7 3 3 2" xfId="45306"/>
    <cellStyle name="Note 2 7 3 3 3" xfId="49212"/>
    <cellStyle name="Note 2 7 3 3 4" xfId="37293"/>
    <cellStyle name="Note 2 7 3 4" xfId="11543"/>
    <cellStyle name="Note 2 7 3 4 2" xfId="41534"/>
    <cellStyle name="Note 2 7 3 4 3" xfId="43319"/>
    <cellStyle name="Note 2 7 3 4 4" xfId="29241"/>
    <cellStyle name="Note 2 7 3 5" xfId="19820"/>
    <cellStyle name="Note 2 7 3 5 2" xfId="45342"/>
    <cellStyle name="Note 2 7 3 5 3" xfId="49248"/>
    <cellStyle name="Note 2 7 3 5 4" xfId="37324"/>
    <cellStyle name="Note 2 7 3 6" xfId="19438"/>
    <cellStyle name="Note 2 7 3 6 2" xfId="44960"/>
    <cellStyle name="Note 2 7 3 6 3" xfId="48866"/>
    <cellStyle name="Note 2 7 3 7" xfId="40270"/>
    <cellStyle name="Note 2 7 3 8" xfId="39189"/>
    <cellStyle name="Note 2 7 4" xfId="13266"/>
    <cellStyle name="Note 2 7 4 2" xfId="42417"/>
    <cellStyle name="Note 2 7 4 3" xfId="39260"/>
    <cellStyle name="Note 2 7 4 4" xfId="30897"/>
    <cellStyle name="Note 2 7 5" xfId="20301"/>
    <cellStyle name="Note 2 7 5 2" xfId="45823"/>
    <cellStyle name="Note 2 7 5 3" xfId="49729"/>
    <cellStyle name="Note 2 7 5 4" xfId="37752"/>
    <cellStyle name="Note 2 7 6" xfId="53344"/>
    <cellStyle name="Note 2 8" xfId="5295"/>
    <cellStyle name="Note 2 8 2" xfId="10462"/>
    <cellStyle name="Note 2 8 2 2" xfId="18249"/>
    <cellStyle name="Note 2 8 2 2 2" xfId="43781"/>
    <cellStyle name="Note 2 8 2 2 3" xfId="47690"/>
    <cellStyle name="Note 2 8 2 2 4" xfId="35872"/>
    <cellStyle name="Note 2 8 2 3" xfId="19908"/>
    <cellStyle name="Note 2 8 2 3 2" xfId="45430"/>
    <cellStyle name="Note 2 8 2 3 3" xfId="49336"/>
    <cellStyle name="Note 2 8 2 3 4" xfId="37408"/>
    <cellStyle name="Note 2 8 2 4" xfId="20335"/>
    <cellStyle name="Note 2 8 2 4 2" xfId="45857"/>
    <cellStyle name="Note 2 8 2 4 3" xfId="49763"/>
    <cellStyle name="Note 2 8 2 4 4" xfId="37780"/>
    <cellStyle name="Note 2 8 2 5" xfId="20662"/>
    <cellStyle name="Note 2 8 2 5 2" xfId="46184"/>
    <cellStyle name="Note 2 8 2 5 3" xfId="50090"/>
    <cellStyle name="Note 2 8 2 5 4" xfId="38054"/>
    <cellStyle name="Note 2 8 2 6" xfId="21315"/>
    <cellStyle name="Note 2 8 2 6 2" xfId="46837"/>
    <cellStyle name="Note 2 8 2 6 3" xfId="50743"/>
    <cellStyle name="Note 2 8 2 7" xfId="40640"/>
    <cellStyle name="Note 2 8 2 8" xfId="43504"/>
    <cellStyle name="Note 2 8 3" xfId="8788"/>
    <cellStyle name="Note 2 8 3 2" xfId="16578"/>
    <cellStyle name="Note 2 8 3 2 2" xfId="43403"/>
    <cellStyle name="Note 2 8 3 2 3" xfId="41903"/>
    <cellStyle name="Note 2 8 3 2 4" xfId="34199"/>
    <cellStyle name="Note 2 8 3 3" xfId="19327"/>
    <cellStyle name="Note 2 8 3 3 2" xfId="44849"/>
    <cellStyle name="Note 2 8 3 3 3" xfId="48755"/>
    <cellStyle name="Note 2 8 3 3 4" xfId="36885"/>
    <cellStyle name="Note 2 8 3 4" xfId="19034"/>
    <cellStyle name="Note 2 8 3 4 2" xfId="44556"/>
    <cellStyle name="Note 2 8 3 4 3" xfId="48462"/>
    <cellStyle name="Note 2 8 3 4 4" xfId="36623"/>
    <cellStyle name="Note 2 8 3 5" xfId="20214"/>
    <cellStyle name="Note 2 8 3 5 2" xfId="45736"/>
    <cellStyle name="Note 2 8 3 5 3" xfId="49642"/>
    <cellStyle name="Note 2 8 3 5 4" xfId="37675"/>
    <cellStyle name="Note 2 8 3 6" xfId="12025"/>
    <cellStyle name="Note 2 8 3 6 2" xfId="41762"/>
    <cellStyle name="Note 2 8 3 6 3" xfId="39116"/>
    <cellStyle name="Note 2 8 3 7" xfId="40265"/>
    <cellStyle name="Note 2 8 3 8" xfId="39194"/>
    <cellStyle name="Note 2 8 4" xfId="13260"/>
    <cellStyle name="Note 2 8 4 2" xfId="42411"/>
    <cellStyle name="Note 2 8 4 3" xfId="43435"/>
    <cellStyle name="Note 2 8 4 4" xfId="30891"/>
    <cellStyle name="Note 2 8 5" xfId="20303"/>
    <cellStyle name="Note 2 8 5 2" xfId="45825"/>
    <cellStyle name="Note 2 8 5 3" xfId="49731"/>
    <cellStyle name="Note 2 8 5 4" xfId="37753"/>
    <cellStyle name="Note 2 9" xfId="7446"/>
    <cellStyle name="Note 2 9 10" xfId="47450"/>
    <cellStyle name="Note 2 9 2" xfId="10716"/>
    <cellStyle name="Note 2 9 2 2" xfId="18503"/>
    <cellStyle name="Note 2 9 2 2 2" xfId="44035"/>
    <cellStyle name="Note 2 9 2 2 3" xfId="47944"/>
    <cellStyle name="Note 2 9 2 2 4" xfId="36126"/>
    <cellStyle name="Note 2 9 2 3" xfId="19882"/>
    <cellStyle name="Note 2 9 2 3 2" xfId="45404"/>
    <cellStyle name="Note 2 9 2 3 3" xfId="49310"/>
    <cellStyle name="Note 2 9 2 3 4" xfId="37382"/>
    <cellStyle name="Note 2 9 2 4" xfId="11415"/>
    <cellStyle name="Note 2 9 2 4 2" xfId="41420"/>
    <cellStyle name="Note 2 9 2 4 3" xfId="39149"/>
    <cellStyle name="Note 2 9 2 4 4" xfId="29123"/>
    <cellStyle name="Note 2 9 2 5" xfId="20916"/>
    <cellStyle name="Note 2 9 2 5 2" xfId="46438"/>
    <cellStyle name="Note 2 9 2 5 3" xfId="50344"/>
    <cellStyle name="Note 2 9 2 5 4" xfId="38308"/>
    <cellStyle name="Note 2 9 2 6" xfId="21569"/>
    <cellStyle name="Note 2 9 2 6 2" xfId="47091"/>
    <cellStyle name="Note 2 9 2 6 3" xfId="50997"/>
    <cellStyle name="Note 2 9 2 7" xfId="40894"/>
    <cellStyle name="Note 2 9 2 8" xfId="43492"/>
    <cellStyle name="Note 2 9 3" xfId="11011"/>
    <cellStyle name="Note 2 9 3 2" xfId="18798"/>
    <cellStyle name="Note 2 9 3 2 2" xfId="44330"/>
    <cellStyle name="Note 2 9 3 2 3" xfId="48239"/>
    <cellStyle name="Note 2 9 3 2 4" xfId="36421"/>
    <cellStyle name="Note 2 9 3 3" xfId="20391"/>
    <cellStyle name="Note 2 9 3 3 2" xfId="45913"/>
    <cellStyle name="Note 2 9 3 3 3" xfId="49819"/>
    <cellStyle name="Note 2 9 3 3 4" xfId="37831"/>
    <cellStyle name="Note 2 9 3 4" xfId="20535"/>
    <cellStyle name="Note 2 9 3 4 2" xfId="46057"/>
    <cellStyle name="Note 2 9 3 4 3" xfId="49963"/>
    <cellStyle name="Note 2 9 3 4 4" xfId="37948"/>
    <cellStyle name="Note 2 9 3 5" xfId="21211"/>
    <cellStyle name="Note 2 9 3 5 2" xfId="46733"/>
    <cellStyle name="Note 2 9 3 5 3" xfId="50639"/>
    <cellStyle name="Note 2 9 3 5 4" xfId="38603"/>
    <cellStyle name="Note 2 9 3 6" xfId="21864"/>
    <cellStyle name="Note 2 9 3 6 2" xfId="47386"/>
    <cellStyle name="Note 2 9 3 6 3" xfId="51292"/>
    <cellStyle name="Note 2 9 3 7" xfId="41189"/>
    <cellStyle name="Note 2 9 3 8" xfId="40202"/>
    <cellStyle name="Note 2 9 4" xfId="15228"/>
    <cellStyle name="Note 2 9 4 2" xfId="43083"/>
    <cellStyle name="Note 2 9 4 3" xfId="43262"/>
    <cellStyle name="Note 2 9 4 4" xfId="32849"/>
    <cellStyle name="Note 2 9 5" xfId="19182"/>
    <cellStyle name="Note 2 9 5 2" xfId="44704"/>
    <cellStyle name="Note 2 9 5 3" xfId="48610"/>
    <cellStyle name="Note 2 9 5 4" xfId="36755"/>
    <cellStyle name="Note 2 9 6" xfId="12661"/>
    <cellStyle name="Note 2 9 6 2" xfId="42121"/>
    <cellStyle name="Note 2 9 6 3" xfId="40520"/>
    <cellStyle name="Note 2 9 6 4" xfId="30311"/>
    <cellStyle name="Note 2 9 7" xfId="12696"/>
    <cellStyle name="Note 2 9 7 2" xfId="42152"/>
    <cellStyle name="Note 2 9 7 3" xfId="40521"/>
    <cellStyle name="Note 2 9 7 4" xfId="30341"/>
    <cellStyle name="Note 2 9 8" xfId="19218"/>
    <cellStyle name="Note 2 9 8 2" xfId="44740"/>
    <cellStyle name="Note 2 9 8 3" xfId="48646"/>
    <cellStyle name="Note 2 9 9" xfId="39943"/>
    <cellStyle name="Note 2_BallGrid" xfId="3169"/>
    <cellStyle name="Note 20" xfId="51465"/>
    <cellStyle name="Note 21" xfId="51478"/>
    <cellStyle name="Note 3" xfId="134"/>
    <cellStyle name="Note 3 2" xfId="5302"/>
    <cellStyle name="Note 3 2 2" xfId="10468"/>
    <cellStyle name="Note 3 2 2 2" xfId="18255"/>
    <cellStyle name="Note 3 2 2 2 2" xfId="43787"/>
    <cellStyle name="Note 3 2 2 2 3" xfId="47696"/>
    <cellStyle name="Note 3 2 2 2 4" xfId="35878"/>
    <cellStyle name="Note 3 2 2 3" xfId="20166"/>
    <cellStyle name="Note 3 2 2 3 2" xfId="45688"/>
    <cellStyle name="Note 3 2 2 3 3" xfId="49594"/>
    <cellStyle name="Note 3 2 2 3 4" xfId="37638"/>
    <cellStyle name="Note 3 2 2 4" xfId="19081"/>
    <cellStyle name="Note 3 2 2 4 2" xfId="44603"/>
    <cellStyle name="Note 3 2 2 4 3" xfId="48509"/>
    <cellStyle name="Note 3 2 2 4 4" xfId="36663"/>
    <cellStyle name="Note 3 2 2 5" xfId="20668"/>
    <cellStyle name="Note 3 2 2 5 2" xfId="46190"/>
    <cellStyle name="Note 3 2 2 5 3" xfId="50096"/>
    <cellStyle name="Note 3 2 2 5 4" xfId="38060"/>
    <cellStyle name="Note 3 2 2 6" xfId="21321"/>
    <cellStyle name="Note 3 2 2 6 2" xfId="46843"/>
    <cellStyle name="Note 3 2 2 6 3" xfId="50749"/>
    <cellStyle name="Note 3 2 2 7" xfId="40646"/>
    <cellStyle name="Note 3 2 2 8" xfId="39374"/>
    <cellStyle name="Note 3 2 3" xfId="8794"/>
    <cellStyle name="Note 3 2 3 2" xfId="16584"/>
    <cellStyle name="Note 3 2 3 2 2" xfId="43409"/>
    <cellStyle name="Note 3 2 3 2 3" xfId="40118"/>
    <cellStyle name="Note 3 2 3 2 4" xfId="34205"/>
    <cellStyle name="Note 3 2 3 3" xfId="11449"/>
    <cellStyle name="Note 3 2 3 3 2" xfId="41440"/>
    <cellStyle name="Note 3 2 3 3 3" xfId="39654"/>
    <cellStyle name="Note 3 2 3 3 4" xfId="29154"/>
    <cellStyle name="Note 3 2 3 4" xfId="19840"/>
    <cellStyle name="Note 3 2 3 4 2" xfId="45362"/>
    <cellStyle name="Note 3 2 3 4 3" xfId="49268"/>
    <cellStyle name="Note 3 2 3 4 4" xfId="37342"/>
    <cellStyle name="Note 3 2 3 5" xfId="20473"/>
    <cellStyle name="Note 3 2 3 5 2" xfId="45995"/>
    <cellStyle name="Note 3 2 3 5 3" xfId="49901"/>
    <cellStyle name="Note 3 2 3 5 4" xfId="37909"/>
    <cellStyle name="Note 3 2 3 6" xfId="11978"/>
    <cellStyle name="Note 3 2 3 6 2" xfId="41749"/>
    <cellStyle name="Note 3 2 3 6 3" xfId="39118"/>
    <cellStyle name="Note 3 2 3 7" xfId="40271"/>
    <cellStyle name="Note 3 2 3 8" xfId="39188"/>
    <cellStyle name="Note 3 2 4" xfId="13267"/>
    <cellStyle name="Note 3 2 4 2" xfId="42418"/>
    <cellStyle name="Note 3 2 4 3" xfId="39044"/>
    <cellStyle name="Note 3 2 4 4" xfId="30898"/>
    <cellStyle name="Note 3 2 5" xfId="19512"/>
    <cellStyle name="Note 3 2 5 2" xfId="45034"/>
    <cellStyle name="Note 3 2 5 3" xfId="48940"/>
    <cellStyle name="Note 3 2 5 4" xfId="37046"/>
    <cellStyle name="Note 3 2 6" xfId="22584"/>
    <cellStyle name="Note 3 3" xfId="7452"/>
    <cellStyle name="Note 3 3 10" xfId="39949"/>
    <cellStyle name="Note 3 3 11" xfId="40597"/>
    <cellStyle name="Note 3 3 2" xfId="10722"/>
    <cellStyle name="Note 3 3 2 2" xfId="18509"/>
    <cellStyle name="Note 3 3 2 2 2" xfId="44041"/>
    <cellStyle name="Note 3 3 2 2 3" xfId="47950"/>
    <cellStyle name="Note 3 3 2 2 4" xfId="36132"/>
    <cellStyle name="Note 3 3 2 3" xfId="19402"/>
    <cellStyle name="Note 3 3 2 3 2" xfId="44924"/>
    <cellStyle name="Note 3 3 2 3 3" xfId="48830"/>
    <cellStyle name="Note 3 3 2 3 4" xfId="36953"/>
    <cellStyle name="Note 3 3 2 4" xfId="11630"/>
    <cellStyle name="Note 3 3 2 4 2" xfId="41621"/>
    <cellStyle name="Note 3 3 2 4 3" xfId="40179"/>
    <cellStyle name="Note 3 3 2 4 4" xfId="29317"/>
    <cellStyle name="Note 3 3 2 5" xfId="20922"/>
    <cellStyle name="Note 3 3 2 5 2" xfId="46444"/>
    <cellStyle name="Note 3 3 2 5 3" xfId="50350"/>
    <cellStyle name="Note 3 3 2 5 4" xfId="38314"/>
    <cellStyle name="Note 3 3 2 6" xfId="21575"/>
    <cellStyle name="Note 3 3 2 6 2" xfId="47097"/>
    <cellStyle name="Note 3 3 2 6 3" xfId="51003"/>
    <cellStyle name="Note 3 3 2 7" xfId="22586"/>
    <cellStyle name="Note 3 3 2 8" xfId="40900"/>
    <cellStyle name="Note 3 3 2 9" xfId="39359"/>
    <cellStyle name="Note 3 3 3" xfId="11017"/>
    <cellStyle name="Note 3 3 3 2" xfId="18804"/>
    <cellStyle name="Note 3 3 3 2 2" xfId="44336"/>
    <cellStyle name="Note 3 3 3 2 3" xfId="48245"/>
    <cellStyle name="Note 3 3 3 2 4" xfId="36427"/>
    <cellStyle name="Note 3 3 3 3" xfId="20397"/>
    <cellStyle name="Note 3 3 3 3 2" xfId="45919"/>
    <cellStyle name="Note 3 3 3 3 3" xfId="49825"/>
    <cellStyle name="Note 3 3 3 3 4" xfId="37837"/>
    <cellStyle name="Note 3 3 3 4" xfId="20541"/>
    <cellStyle name="Note 3 3 3 4 2" xfId="46063"/>
    <cellStyle name="Note 3 3 3 4 3" xfId="49969"/>
    <cellStyle name="Note 3 3 3 4 4" xfId="37954"/>
    <cellStyle name="Note 3 3 3 5" xfId="21217"/>
    <cellStyle name="Note 3 3 3 5 2" xfId="46739"/>
    <cellStyle name="Note 3 3 3 5 3" xfId="50645"/>
    <cellStyle name="Note 3 3 3 5 4" xfId="38609"/>
    <cellStyle name="Note 3 3 3 6" xfId="21870"/>
    <cellStyle name="Note 3 3 3 6 2" xfId="47392"/>
    <cellStyle name="Note 3 3 3 6 3" xfId="51298"/>
    <cellStyle name="Note 3 3 3 7" xfId="41195"/>
    <cellStyle name="Note 3 3 3 8" xfId="39341"/>
    <cellStyle name="Note 3 3 4" xfId="15234"/>
    <cellStyle name="Note 3 3 4 2" xfId="43089"/>
    <cellStyle name="Note 3 3 4 3" xfId="42749"/>
    <cellStyle name="Note 3 3 4 4" xfId="32855"/>
    <cellStyle name="Note 3 3 5" xfId="19476"/>
    <cellStyle name="Note 3 3 5 2" xfId="44998"/>
    <cellStyle name="Note 3 3 5 3" xfId="48904"/>
    <cellStyle name="Note 3 3 5 4" xfId="37018"/>
    <cellStyle name="Note 3 3 6" xfId="19484"/>
    <cellStyle name="Note 3 3 6 2" xfId="45006"/>
    <cellStyle name="Note 3 3 6 3" xfId="48912"/>
    <cellStyle name="Note 3 3 6 4" xfId="37023"/>
    <cellStyle name="Note 3 3 7" xfId="19434"/>
    <cellStyle name="Note 3 3 7 2" xfId="44956"/>
    <cellStyle name="Note 3 3 7 3" xfId="48862"/>
    <cellStyle name="Note 3 3 7 4" xfId="36985"/>
    <cellStyle name="Note 3 3 8" xfId="11112"/>
    <cellStyle name="Note 3 3 8 2" xfId="41253"/>
    <cellStyle name="Note 3 3 8 3" xfId="43586"/>
    <cellStyle name="Note 3 3 9" xfId="22585"/>
    <cellStyle name="Note 3 4" xfId="12077"/>
    <cellStyle name="Note 3 4 2" xfId="22588"/>
    <cellStyle name="Note 3 4 3" xfId="22587"/>
    <cellStyle name="Note 3 4 4" xfId="41802"/>
    <cellStyle name="Note 3 4 5" xfId="47473"/>
    <cellStyle name="Note 3 4 6" xfId="29739"/>
    <cellStyle name="Note 3 5" xfId="20103"/>
    <cellStyle name="Note 3 5 2" xfId="22590"/>
    <cellStyle name="Note 3 5 3" xfId="22589"/>
    <cellStyle name="Note 3 5 4" xfId="45625"/>
    <cellStyle name="Note 3 5 5" xfId="49531"/>
    <cellStyle name="Note 3 5 6" xfId="37576"/>
    <cellStyle name="Note 3 6" xfId="22591"/>
    <cellStyle name="Note 3 6 2" xfId="47527"/>
    <cellStyle name="Note 3 6 2 2" xfId="53245"/>
    <cellStyle name="Note 3 6 3" xfId="51376"/>
    <cellStyle name="Note 3 6 3 2" xfId="53354"/>
    <cellStyle name="Note 3 6 4" xfId="38868"/>
    <cellStyle name="Note 3 6 5" xfId="53244"/>
    <cellStyle name="Note 3 7" xfId="22592"/>
    <cellStyle name="Note 3 7 2" xfId="22593"/>
    <cellStyle name="Note 3 7 3" xfId="22594"/>
    <cellStyle name="Note 3 7 3 2" xfId="22595"/>
    <cellStyle name="Note 3 8" xfId="52634"/>
    <cellStyle name="Note 3 8 2" xfId="53246"/>
    <cellStyle name="Note 3 9" xfId="52735"/>
    <cellStyle name="Note 4" xfId="135"/>
    <cellStyle name="Note 4 2" xfId="3171"/>
    <cellStyle name="Note 4 3" xfId="3172"/>
    <cellStyle name="Note 4 3 2" xfId="5303"/>
    <cellStyle name="Note 4 3 2 2" xfId="10469"/>
    <cellStyle name="Note 4 3 2 2 2" xfId="18256"/>
    <cellStyle name="Note 4 3 2 2 2 2" xfId="43788"/>
    <cellStyle name="Note 4 3 2 2 2 3" xfId="47697"/>
    <cellStyle name="Note 4 3 2 2 2 4" xfId="35879"/>
    <cellStyle name="Note 4 3 2 2 3" xfId="19425"/>
    <cellStyle name="Note 4 3 2 2 3 2" xfId="44947"/>
    <cellStyle name="Note 4 3 2 2 3 3" xfId="48853"/>
    <cellStyle name="Note 4 3 2 2 3 4" xfId="36976"/>
    <cellStyle name="Note 4 3 2 2 4" xfId="19559"/>
    <cellStyle name="Note 4 3 2 2 4 2" xfId="45081"/>
    <cellStyle name="Note 4 3 2 2 4 3" xfId="48987"/>
    <cellStyle name="Note 4 3 2 2 4 4" xfId="37086"/>
    <cellStyle name="Note 4 3 2 2 5" xfId="20669"/>
    <cellStyle name="Note 4 3 2 2 5 2" xfId="46191"/>
    <cellStyle name="Note 4 3 2 2 5 3" xfId="50097"/>
    <cellStyle name="Note 4 3 2 2 5 4" xfId="38061"/>
    <cellStyle name="Note 4 3 2 2 6" xfId="21322"/>
    <cellStyle name="Note 4 3 2 2 6 2" xfId="46844"/>
    <cellStyle name="Note 4 3 2 2 6 3" xfId="50750"/>
    <cellStyle name="Note 4 3 2 2 7" xfId="40647"/>
    <cellStyle name="Note 4 3 2 2 8" xfId="42054"/>
    <cellStyle name="Note 4 3 2 2 9" xfId="53357"/>
    <cellStyle name="Note 4 3 2 3" xfId="8795"/>
    <cellStyle name="Note 4 3 2 3 2" xfId="16585"/>
    <cellStyle name="Note 4 3 2 3 2 2" xfId="43410"/>
    <cellStyle name="Note 4 3 2 3 2 3" xfId="42743"/>
    <cellStyle name="Note 4 3 2 3 2 4" xfId="34206"/>
    <cellStyle name="Note 4 3 2 3 3" xfId="13897"/>
    <cellStyle name="Note 4 3 2 3 3 2" xfId="42613"/>
    <cellStyle name="Note 4 3 2 3 3 3" xfId="43430"/>
    <cellStyle name="Note 4 3 2 3 3 4" xfId="31522"/>
    <cellStyle name="Note 4 3 2 3 4" xfId="19198"/>
    <cellStyle name="Note 4 3 2 3 4 2" xfId="44720"/>
    <cellStyle name="Note 4 3 2 3 4 3" xfId="48626"/>
    <cellStyle name="Note 4 3 2 3 4 4" xfId="36769"/>
    <cellStyle name="Note 4 3 2 3 5" xfId="11622"/>
    <cellStyle name="Note 4 3 2 3 5 2" xfId="41613"/>
    <cellStyle name="Note 4 3 2 3 5 3" xfId="39321"/>
    <cellStyle name="Note 4 3 2 3 5 4" xfId="29310"/>
    <cellStyle name="Note 4 3 2 3 6" xfId="12847"/>
    <cellStyle name="Note 4 3 2 3 6 2" xfId="42211"/>
    <cellStyle name="Note 4 3 2 3 6 3" xfId="43170"/>
    <cellStyle name="Note 4 3 2 3 7" xfId="40272"/>
    <cellStyle name="Note 4 3 2 3 8" xfId="39187"/>
    <cellStyle name="Note 4 3 2 4" xfId="13268"/>
    <cellStyle name="Note 4 3 2 4 2" xfId="42419"/>
    <cellStyle name="Note 4 3 2 4 3" xfId="41275"/>
    <cellStyle name="Note 4 3 2 4 4" xfId="30899"/>
    <cellStyle name="Note 4 3 2 5" xfId="12729"/>
    <cellStyle name="Note 4 3 2 5 2" xfId="42163"/>
    <cellStyle name="Note 4 3 2 5 3" xfId="43302"/>
    <cellStyle name="Note 4 3 2 5 4" xfId="30373"/>
    <cellStyle name="Note 4 3 2 6" xfId="53248"/>
    <cellStyle name="Note 4 3 3" xfId="7453"/>
    <cellStyle name="Note 4 3 3 10" xfId="39931"/>
    <cellStyle name="Note 4 3 3 11" xfId="53356"/>
    <cellStyle name="Note 4 3 3 2" xfId="10723"/>
    <cellStyle name="Note 4 3 3 2 2" xfId="18510"/>
    <cellStyle name="Note 4 3 3 2 2 2" xfId="44042"/>
    <cellStyle name="Note 4 3 3 2 2 3" xfId="47951"/>
    <cellStyle name="Note 4 3 3 2 2 4" xfId="36133"/>
    <cellStyle name="Note 4 3 3 2 3" xfId="20009"/>
    <cellStyle name="Note 4 3 3 2 3 2" xfId="45531"/>
    <cellStyle name="Note 4 3 3 2 3 3" xfId="49437"/>
    <cellStyle name="Note 4 3 3 2 3 4" xfId="37493"/>
    <cellStyle name="Note 4 3 3 2 4" xfId="12604"/>
    <cellStyle name="Note 4 3 3 2 4 2" xfId="42064"/>
    <cellStyle name="Note 4 3 3 2 4 3" xfId="43561"/>
    <cellStyle name="Note 4 3 3 2 4 4" xfId="30256"/>
    <cellStyle name="Note 4 3 3 2 5" xfId="20923"/>
    <cellStyle name="Note 4 3 3 2 5 2" xfId="46445"/>
    <cellStyle name="Note 4 3 3 2 5 3" xfId="50351"/>
    <cellStyle name="Note 4 3 3 2 5 4" xfId="38315"/>
    <cellStyle name="Note 4 3 3 2 6" xfId="21576"/>
    <cellStyle name="Note 4 3 3 2 6 2" xfId="47098"/>
    <cellStyle name="Note 4 3 3 2 6 3" xfId="51004"/>
    <cellStyle name="Note 4 3 3 2 7" xfId="40901"/>
    <cellStyle name="Note 4 3 3 2 8" xfId="39165"/>
    <cellStyle name="Note 4 3 3 3" xfId="11018"/>
    <cellStyle name="Note 4 3 3 3 2" xfId="18805"/>
    <cellStyle name="Note 4 3 3 3 2 2" xfId="44337"/>
    <cellStyle name="Note 4 3 3 3 2 3" xfId="48246"/>
    <cellStyle name="Note 4 3 3 3 2 4" xfId="36428"/>
    <cellStyle name="Note 4 3 3 3 3" xfId="20398"/>
    <cellStyle name="Note 4 3 3 3 3 2" xfId="45920"/>
    <cellStyle name="Note 4 3 3 3 3 3" xfId="49826"/>
    <cellStyle name="Note 4 3 3 3 3 4" xfId="37838"/>
    <cellStyle name="Note 4 3 3 3 4" xfId="20542"/>
    <cellStyle name="Note 4 3 3 3 4 2" xfId="46064"/>
    <cellStyle name="Note 4 3 3 3 4 3" xfId="49970"/>
    <cellStyle name="Note 4 3 3 3 4 4" xfId="37955"/>
    <cellStyle name="Note 4 3 3 3 5" xfId="21218"/>
    <cellStyle name="Note 4 3 3 3 5 2" xfId="46740"/>
    <cellStyle name="Note 4 3 3 3 5 3" xfId="50646"/>
    <cellStyle name="Note 4 3 3 3 5 4" xfId="38610"/>
    <cellStyle name="Note 4 3 3 3 6" xfId="21871"/>
    <cellStyle name="Note 4 3 3 3 6 2" xfId="47393"/>
    <cellStyle name="Note 4 3 3 3 6 3" xfId="51299"/>
    <cellStyle name="Note 4 3 3 3 7" xfId="41196"/>
    <cellStyle name="Note 4 3 3 3 8" xfId="42019"/>
    <cellStyle name="Note 4 3 3 4" xfId="15235"/>
    <cellStyle name="Note 4 3 3 4 2" xfId="43090"/>
    <cellStyle name="Note 4 3 3 4 3" xfId="43636"/>
    <cellStyle name="Note 4 3 3 4 4" xfId="32856"/>
    <cellStyle name="Note 4 3 3 5" xfId="20077"/>
    <cellStyle name="Note 4 3 3 5 2" xfId="45599"/>
    <cellStyle name="Note 4 3 3 5 3" xfId="49505"/>
    <cellStyle name="Note 4 3 3 5 4" xfId="37555"/>
    <cellStyle name="Note 4 3 3 6" xfId="19142"/>
    <cellStyle name="Note 4 3 3 6 2" xfId="44664"/>
    <cellStyle name="Note 4 3 3 6 3" xfId="48570"/>
    <cellStyle name="Note 4 3 3 6 4" xfId="36721"/>
    <cellStyle name="Note 4 3 3 7" xfId="11370"/>
    <cellStyle name="Note 4 3 3 7 2" xfId="41386"/>
    <cellStyle name="Note 4 3 3 7 3" xfId="39333"/>
    <cellStyle name="Note 4 3 3 7 4" xfId="29078"/>
    <cellStyle name="Note 4 3 3 8" xfId="13899"/>
    <cellStyle name="Note 4 3 3 8 2" xfId="42615"/>
    <cellStyle name="Note 4 3 3 8 3" xfId="39409"/>
    <cellStyle name="Note 4 3 3 9" xfId="39950"/>
    <cellStyle name="Note 4 3 4" xfId="12080"/>
    <cellStyle name="Note 4 3 4 2" xfId="41805"/>
    <cellStyle name="Note 4 3 4 3" xfId="39302"/>
    <cellStyle name="Note 4 3 4 4" xfId="29742"/>
    <cellStyle name="Note 4 3 5" xfId="19202"/>
    <cellStyle name="Note 4 3 5 2" xfId="44724"/>
    <cellStyle name="Note 4 3 5 3" xfId="48630"/>
    <cellStyle name="Note 4 3 5 4" xfId="36773"/>
    <cellStyle name="Note 4 3 6" xfId="52635"/>
    <cellStyle name="Note 4 3 7" xfId="53247"/>
    <cellStyle name="Note 4 4" xfId="3173"/>
    <cellStyle name="Note 4 5" xfId="3174"/>
    <cellStyle name="Note 4 5 2" xfId="53249"/>
    <cellStyle name="Note 4 6" xfId="5304"/>
    <cellStyle name="Note 4 6 2" xfId="53355"/>
    <cellStyle name="Note 4 7" xfId="5305"/>
    <cellStyle name="Note 4 8" xfId="3170"/>
    <cellStyle name="Note 4 9" xfId="52736"/>
    <cellStyle name="Note 5" xfId="3175"/>
    <cellStyle name="Note 5 2" xfId="3176"/>
    <cellStyle name="Note 5 2 2" xfId="3177"/>
    <cellStyle name="Note 5 2 2 2" xfId="53359"/>
    <cellStyle name="Note 5 2 3" xfId="53251"/>
    <cellStyle name="Note 5 3" xfId="3178"/>
    <cellStyle name="Note 5 3 2" xfId="53358"/>
    <cellStyle name="Note 5 4" xfId="3179"/>
    <cellStyle name="Note 5 5" xfId="3180"/>
    <cellStyle name="Note 5 5 2" xfId="3181"/>
    <cellStyle name="Note 5 5 3" xfId="3182"/>
    <cellStyle name="Note 5 5 3 2" xfId="3183"/>
    <cellStyle name="Note 5 5 4" xfId="3184"/>
    <cellStyle name="Note 5 5 4 2" xfId="3185"/>
    <cellStyle name="Note 5 5 5" xfId="3186"/>
    <cellStyle name="Note 5 5 5 2" xfId="3187"/>
    <cellStyle name="Note 5 5 6" xfId="3188"/>
    <cellStyle name="Note 5 6" xfId="3189"/>
    <cellStyle name="Note 5 7" xfId="3190"/>
    <cellStyle name="Note 5 8" xfId="22596"/>
    <cellStyle name="Note 5 8 2" xfId="47528"/>
    <cellStyle name="Note 5 8 3" xfId="51377"/>
    <cellStyle name="Note 5 8 4" xfId="38869"/>
    <cellStyle name="Note 5 9" xfId="53250"/>
    <cellStyle name="Note 6" xfId="3191"/>
    <cellStyle name="Note 6 2" xfId="3192"/>
    <cellStyle name="Note 6 2 2" xfId="3193"/>
    <cellStyle name="Note 6 2 2 2" xfId="53361"/>
    <cellStyle name="Note 6 2 3" xfId="53253"/>
    <cellStyle name="Note 6 3" xfId="3194"/>
    <cellStyle name="Note 6 3 2" xfId="53360"/>
    <cellStyle name="Note 6 4" xfId="3195"/>
    <cellStyle name="Note 6 5" xfId="3196"/>
    <cellStyle name="Note 6 5 2" xfId="3197"/>
    <cellStyle name="Note 6 5 3" xfId="3198"/>
    <cellStyle name="Note 6 5 3 2" xfId="3199"/>
    <cellStyle name="Note 6 5 4" xfId="3200"/>
    <cellStyle name="Note 6 5 4 2" xfId="3201"/>
    <cellStyle name="Note 6 5 5" xfId="3202"/>
    <cellStyle name="Note 6 5 5 2" xfId="3203"/>
    <cellStyle name="Note 6 5 6" xfId="3204"/>
    <cellStyle name="Note 6 6" xfId="3205"/>
    <cellStyle name="Note 6 7" xfId="3206"/>
    <cellStyle name="Note 6 8" xfId="22597"/>
    <cellStyle name="Note 6 8 2" xfId="47529"/>
    <cellStyle name="Note 6 8 3" xfId="51378"/>
    <cellStyle name="Note 6 8 4" xfId="38870"/>
    <cellStyle name="Note 6 9" xfId="53252"/>
    <cellStyle name="Note 7" xfId="3207"/>
    <cellStyle name="Note 7 2" xfId="3208"/>
    <cellStyle name="Note 7 2 2" xfId="3209"/>
    <cellStyle name="Note 7 3" xfId="3210"/>
    <cellStyle name="Note 7 4" xfId="3211"/>
    <cellStyle name="Note 7 5" xfId="3212"/>
    <cellStyle name="Note 7 6" xfId="3213"/>
    <cellStyle name="Note 8" xfId="3214"/>
    <cellStyle name="Note 8 10" xfId="3215"/>
    <cellStyle name="Note 8 11" xfId="5306"/>
    <cellStyle name="Note 8 2" xfId="3216"/>
    <cellStyle name="Note 8 2 2" xfId="3217"/>
    <cellStyle name="Note 8 3" xfId="3218"/>
    <cellStyle name="Note 8 3 2" xfId="3219"/>
    <cellStyle name="Note 8 4" xfId="3220"/>
    <cellStyle name="Note 8 5" xfId="3221"/>
    <cellStyle name="Note 8 5 2" xfId="3222"/>
    <cellStyle name="Note 8 6" xfId="3223"/>
    <cellStyle name="Note 8 7" xfId="3224"/>
    <cellStyle name="Note 8 8" xfId="3225"/>
    <cellStyle name="Note 8 9" xfId="3226"/>
    <cellStyle name="Note 9" xfId="3227"/>
    <cellStyle name="Note 9 10" xfId="3228"/>
    <cellStyle name="Note 9 11" xfId="5307"/>
    <cellStyle name="Note 9 2" xfId="3229"/>
    <cellStyle name="Note 9 2 2" xfId="3230"/>
    <cellStyle name="Note 9 3" xfId="3231"/>
    <cellStyle name="Note 9 3 2" xfId="3232"/>
    <cellStyle name="Note 9 4" xfId="3233"/>
    <cellStyle name="Note 9 5" xfId="3234"/>
    <cellStyle name="Note 9 5 2" xfId="3235"/>
    <cellStyle name="Note 9 6" xfId="3236"/>
    <cellStyle name="Note 9 7" xfId="3237"/>
    <cellStyle name="Note 9 8" xfId="3238"/>
    <cellStyle name="Note 9 9" xfId="3239"/>
    <cellStyle name="Output" xfId="155" builtinId="21" customBuiltin="1"/>
    <cellStyle name="Output 10" xfId="3240"/>
    <cellStyle name="Output 10 2" xfId="3241"/>
    <cellStyle name="Output 10 2 2" xfId="10448"/>
    <cellStyle name="Output 10 2 2 2" xfId="18235"/>
    <cellStyle name="Output 10 2 2 2 2" xfId="43767"/>
    <cellStyle name="Output 10 2 2 2 3" xfId="47676"/>
    <cellStyle name="Output 10 2 2 2 4" xfId="35858"/>
    <cellStyle name="Output 10 2 2 3" xfId="19428"/>
    <cellStyle name="Output 10 2 2 3 2" xfId="44950"/>
    <cellStyle name="Output 10 2 2 3 3" xfId="48856"/>
    <cellStyle name="Output 10 2 2 3 4" xfId="36979"/>
    <cellStyle name="Output 10 2 2 4" xfId="19192"/>
    <cellStyle name="Output 10 2 2 4 2" xfId="44714"/>
    <cellStyle name="Output 10 2 2 4 3" xfId="48620"/>
    <cellStyle name="Output 10 2 2 4 4" xfId="36763"/>
    <cellStyle name="Output 10 2 2 5" xfId="20648"/>
    <cellStyle name="Output 10 2 2 5 2" xfId="46170"/>
    <cellStyle name="Output 10 2 2 5 3" xfId="50076"/>
    <cellStyle name="Output 10 2 2 5 4" xfId="38040"/>
    <cellStyle name="Output 10 2 2 6" xfId="21301"/>
    <cellStyle name="Output 10 2 2 6 2" xfId="46823"/>
    <cellStyle name="Output 10 2 2 6 3" xfId="50729"/>
    <cellStyle name="Output 10 2 2 7" xfId="40626"/>
    <cellStyle name="Output 10 2 2 8" xfId="40236"/>
    <cellStyle name="Output 10 2 3" xfId="8067"/>
    <cellStyle name="Output 10 2 3 2" xfId="15858"/>
    <cellStyle name="Output 10 2 3 2 2" xfId="43254"/>
    <cellStyle name="Output 10 2 3 2 3" xfId="42636"/>
    <cellStyle name="Output 10 2 3 2 4" xfId="33479"/>
    <cellStyle name="Output 10 2 3 3" xfId="19940"/>
    <cellStyle name="Output 10 2 3 3 2" xfId="45462"/>
    <cellStyle name="Output 10 2 3 3 3" xfId="49368"/>
    <cellStyle name="Output 10 2 3 3 4" xfId="37431"/>
    <cellStyle name="Output 10 2 3 4" xfId="18932"/>
    <cellStyle name="Output 10 2 3 4 2" xfId="44454"/>
    <cellStyle name="Output 10 2 3 4 3" xfId="48360"/>
    <cellStyle name="Output 10 2 3 4 4" xfId="36545"/>
    <cellStyle name="Output 10 2 3 5" xfId="11840"/>
    <cellStyle name="Output 10 2 3 5 2" xfId="41738"/>
    <cellStyle name="Output 10 2 3 5 3" xfId="40320"/>
    <cellStyle name="Output 10 2 3 5 4" xfId="29510"/>
    <cellStyle name="Output 10 2 3 6" xfId="18872"/>
    <cellStyle name="Output 10 2 3 6 2" xfId="44394"/>
    <cellStyle name="Output 10 2 3 6 3" xfId="48300"/>
    <cellStyle name="Output 10 2 3 7" xfId="40113"/>
    <cellStyle name="Output 10 2 3 8" xfId="47520"/>
    <cellStyle name="Output 10 2 4" xfId="12087"/>
    <cellStyle name="Output 10 2 4 2" xfId="41812"/>
    <cellStyle name="Output 10 2 4 3" xfId="39109"/>
    <cellStyle name="Output 10 2 4 4" xfId="29746"/>
    <cellStyle name="Output 10 2 5" xfId="20100"/>
    <cellStyle name="Output 10 2 5 2" xfId="45622"/>
    <cellStyle name="Output 10 2 5 3" xfId="49528"/>
    <cellStyle name="Output 10 2 5 4" xfId="37574"/>
    <cellStyle name="Output 10 3" xfId="3242"/>
    <cellStyle name="Output 10 4" xfId="7454"/>
    <cellStyle name="Output 10 4 10" xfId="42731"/>
    <cellStyle name="Output 10 4 2" xfId="10724"/>
    <cellStyle name="Output 10 4 2 2" xfId="18511"/>
    <cellStyle name="Output 10 4 2 2 2" xfId="44043"/>
    <cellStyle name="Output 10 4 2 2 3" xfId="47952"/>
    <cellStyle name="Output 10 4 2 2 4" xfId="36134"/>
    <cellStyle name="Output 10 4 2 3" xfId="19275"/>
    <cellStyle name="Output 10 4 2 3 2" xfId="44797"/>
    <cellStyle name="Output 10 4 2 3 3" xfId="48703"/>
    <cellStyle name="Output 10 4 2 3 4" xfId="36839"/>
    <cellStyle name="Output 10 4 2 4" xfId="12658"/>
    <cellStyle name="Output 10 4 2 4 2" xfId="42118"/>
    <cellStyle name="Output 10 4 2 4 3" xfId="40031"/>
    <cellStyle name="Output 10 4 2 4 4" xfId="30308"/>
    <cellStyle name="Output 10 4 2 5" xfId="20924"/>
    <cellStyle name="Output 10 4 2 5 2" xfId="46446"/>
    <cellStyle name="Output 10 4 2 5 3" xfId="50352"/>
    <cellStyle name="Output 10 4 2 5 4" xfId="38316"/>
    <cellStyle name="Output 10 4 2 6" xfId="21577"/>
    <cellStyle name="Output 10 4 2 6 2" xfId="47099"/>
    <cellStyle name="Output 10 4 2 6 3" xfId="51005"/>
    <cellStyle name="Output 10 4 2 7" xfId="40902"/>
    <cellStyle name="Output 10 4 2 8" xfId="41405"/>
    <cellStyle name="Output 10 4 3" xfId="11019"/>
    <cellStyle name="Output 10 4 3 2" xfId="18806"/>
    <cellStyle name="Output 10 4 3 2 2" xfId="44338"/>
    <cellStyle name="Output 10 4 3 2 3" xfId="48247"/>
    <cellStyle name="Output 10 4 3 2 4" xfId="36429"/>
    <cellStyle name="Output 10 4 3 3" xfId="20399"/>
    <cellStyle name="Output 10 4 3 3 2" xfId="45921"/>
    <cellStyle name="Output 10 4 3 3 3" xfId="49827"/>
    <cellStyle name="Output 10 4 3 3 4" xfId="37839"/>
    <cellStyle name="Output 10 4 3 4" xfId="20543"/>
    <cellStyle name="Output 10 4 3 4 2" xfId="46065"/>
    <cellStyle name="Output 10 4 3 4 3" xfId="49971"/>
    <cellStyle name="Output 10 4 3 4 4" xfId="37956"/>
    <cellStyle name="Output 10 4 3 5" xfId="21219"/>
    <cellStyle name="Output 10 4 3 5 2" xfId="46741"/>
    <cellStyle name="Output 10 4 3 5 3" xfId="50647"/>
    <cellStyle name="Output 10 4 3 5 4" xfId="38611"/>
    <cellStyle name="Output 10 4 3 6" xfId="21872"/>
    <cellStyle name="Output 10 4 3 6 2" xfId="47394"/>
    <cellStyle name="Output 10 4 3 6 3" xfId="51300"/>
    <cellStyle name="Output 10 4 3 7" xfId="41197"/>
    <cellStyle name="Output 10 4 3 8" xfId="43338"/>
    <cellStyle name="Output 10 4 4" xfId="15236"/>
    <cellStyle name="Output 10 4 4 2" xfId="43091"/>
    <cellStyle name="Output 10 4 4 3" xfId="40495"/>
    <cellStyle name="Output 10 4 4 4" xfId="32857"/>
    <cellStyle name="Output 10 4 5" xfId="19339"/>
    <cellStyle name="Output 10 4 5 2" xfId="44861"/>
    <cellStyle name="Output 10 4 5 3" xfId="48767"/>
    <cellStyle name="Output 10 4 5 4" xfId="36896"/>
    <cellStyle name="Output 10 4 6" xfId="12651"/>
    <cellStyle name="Output 10 4 6 2" xfId="42111"/>
    <cellStyle name="Output 10 4 6 3" xfId="41952"/>
    <cellStyle name="Output 10 4 6 4" xfId="30301"/>
    <cellStyle name="Output 10 4 7" xfId="11716"/>
    <cellStyle name="Output 10 4 7 2" xfId="41685"/>
    <cellStyle name="Output 10 4 7 3" xfId="47582"/>
    <cellStyle name="Output 10 4 7 4" xfId="29389"/>
    <cellStyle name="Output 10 4 8" xfId="19627"/>
    <cellStyle name="Output 10 4 8 2" xfId="45149"/>
    <cellStyle name="Output 10 4 8 3" xfId="49055"/>
    <cellStyle name="Output 10 4 9" xfId="39951"/>
    <cellStyle name="Output 10 5" xfId="22599"/>
    <cellStyle name="Output 11" xfId="3243"/>
    <cellStyle name="Output 11 2" xfId="22600"/>
    <cellStyle name="Output 12" xfId="22601"/>
    <cellStyle name="Output 12 2" xfId="22602"/>
    <cellStyle name="Output 13" xfId="22603"/>
    <cellStyle name="Output 14" xfId="22604"/>
    <cellStyle name="Output 14 2" xfId="47531"/>
    <cellStyle name="Output 14 2 2" xfId="53255"/>
    <cellStyle name="Output 14 3" xfId="51380"/>
    <cellStyle name="Output 14 3 2" xfId="53362"/>
    <cellStyle name="Output 14 4" xfId="53254"/>
    <cellStyle name="Output 15" xfId="22660"/>
    <cellStyle name="Output 16" xfId="22598"/>
    <cellStyle name="Output 16 2" xfId="47530"/>
    <cellStyle name="Output 16 2 2" xfId="53257"/>
    <cellStyle name="Output 16 3" xfId="51379"/>
    <cellStyle name="Output 16 3 2" xfId="53363"/>
    <cellStyle name="Output 16 4" xfId="53256"/>
    <cellStyle name="Output 2" xfId="136"/>
    <cellStyle name="Output 2 10" xfId="3245"/>
    <cellStyle name="Output 2 10 2" xfId="7456"/>
    <cellStyle name="Output 2 10 2 10" xfId="40477"/>
    <cellStyle name="Output 2 10 2 11" xfId="53260"/>
    <cellStyle name="Output 2 10 2 2" xfId="10726"/>
    <cellStyle name="Output 2 10 2 2 2" xfId="18513"/>
    <cellStyle name="Output 2 10 2 2 2 2" xfId="44045"/>
    <cellStyle name="Output 2 10 2 2 2 3" xfId="47954"/>
    <cellStyle name="Output 2 10 2 2 2 4" xfId="36136"/>
    <cellStyle name="Output 2 10 2 2 3" xfId="19107"/>
    <cellStyle name="Output 2 10 2 2 3 2" xfId="44629"/>
    <cellStyle name="Output 2 10 2 2 3 3" xfId="48535"/>
    <cellStyle name="Output 2 10 2 2 3 4" xfId="36688"/>
    <cellStyle name="Output 2 10 2 2 4" xfId="19546"/>
    <cellStyle name="Output 2 10 2 2 4 2" xfId="45068"/>
    <cellStyle name="Output 2 10 2 2 4 3" xfId="48974"/>
    <cellStyle name="Output 2 10 2 2 4 4" xfId="37073"/>
    <cellStyle name="Output 2 10 2 2 5" xfId="20926"/>
    <cellStyle name="Output 2 10 2 2 5 2" xfId="46448"/>
    <cellStyle name="Output 2 10 2 2 5 3" xfId="50354"/>
    <cellStyle name="Output 2 10 2 2 5 4" xfId="38318"/>
    <cellStyle name="Output 2 10 2 2 6" xfId="21579"/>
    <cellStyle name="Output 2 10 2 2 6 2" xfId="47101"/>
    <cellStyle name="Output 2 10 2 2 6 3" xfId="51007"/>
    <cellStyle name="Output 2 10 2 2 7" xfId="40904"/>
    <cellStyle name="Output 2 10 2 2 8" xfId="40067"/>
    <cellStyle name="Output 2 10 2 2 9" xfId="53366"/>
    <cellStyle name="Output 2 10 2 3" xfId="11021"/>
    <cellStyle name="Output 2 10 2 3 2" xfId="18808"/>
    <cellStyle name="Output 2 10 2 3 2 2" xfId="44340"/>
    <cellStyle name="Output 2 10 2 3 2 3" xfId="48249"/>
    <cellStyle name="Output 2 10 2 3 2 4" xfId="36431"/>
    <cellStyle name="Output 2 10 2 3 3" xfId="20401"/>
    <cellStyle name="Output 2 10 2 3 3 2" xfId="45923"/>
    <cellStyle name="Output 2 10 2 3 3 3" xfId="49829"/>
    <cellStyle name="Output 2 10 2 3 3 4" xfId="37841"/>
    <cellStyle name="Output 2 10 2 3 4" xfId="20545"/>
    <cellStyle name="Output 2 10 2 3 4 2" xfId="46067"/>
    <cellStyle name="Output 2 10 2 3 4 3" xfId="49973"/>
    <cellStyle name="Output 2 10 2 3 4 4" xfId="37958"/>
    <cellStyle name="Output 2 10 2 3 5" xfId="21221"/>
    <cellStyle name="Output 2 10 2 3 5 2" xfId="46743"/>
    <cellStyle name="Output 2 10 2 3 5 3" xfId="50649"/>
    <cellStyle name="Output 2 10 2 3 5 4" xfId="38613"/>
    <cellStyle name="Output 2 10 2 3 6" xfId="21874"/>
    <cellStyle name="Output 2 10 2 3 6 2" xfId="47396"/>
    <cellStyle name="Output 2 10 2 3 6 3" xfId="51302"/>
    <cellStyle name="Output 2 10 2 3 7" xfId="41199"/>
    <cellStyle name="Output 2 10 2 3 8" xfId="39340"/>
    <cellStyle name="Output 2 10 2 4" xfId="15238"/>
    <cellStyle name="Output 2 10 2 4 2" xfId="43093"/>
    <cellStyle name="Output 2 10 2 4 3" xfId="42639"/>
    <cellStyle name="Output 2 10 2 4 4" xfId="32859"/>
    <cellStyle name="Output 2 10 2 5" xfId="19181"/>
    <cellStyle name="Output 2 10 2 5 2" xfId="44703"/>
    <cellStyle name="Output 2 10 2 5 3" xfId="48609"/>
    <cellStyle name="Output 2 10 2 5 4" xfId="36754"/>
    <cellStyle name="Output 2 10 2 6" xfId="12051"/>
    <cellStyle name="Output 2 10 2 6 2" xfId="41785"/>
    <cellStyle name="Output 2 10 2 6 3" xfId="40116"/>
    <cellStyle name="Output 2 10 2 6 4" xfId="29716"/>
    <cellStyle name="Output 2 10 2 7" xfId="18883"/>
    <cellStyle name="Output 2 10 2 7 2" xfId="44405"/>
    <cellStyle name="Output 2 10 2 7 3" xfId="48311"/>
    <cellStyle name="Output 2 10 2 7 4" xfId="36505"/>
    <cellStyle name="Output 2 10 2 8" xfId="18908"/>
    <cellStyle name="Output 2 10 2 8 2" xfId="44430"/>
    <cellStyle name="Output 2 10 2 8 3" xfId="48336"/>
    <cellStyle name="Output 2 10 2 9" xfId="39953"/>
    <cellStyle name="Output 2 10 3" xfId="12090"/>
    <cellStyle name="Output 2 10 3 2" xfId="41815"/>
    <cellStyle name="Output 2 10 3 3" xfId="39106"/>
    <cellStyle name="Output 2 10 3 4" xfId="29749"/>
    <cellStyle name="Output 2 10 3 5" xfId="53365"/>
    <cellStyle name="Output 2 10 4" xfId="19201"/>
    <cellStyle name="Output 2 10 4 2" xfId="44723"/>
    <cellStyle name="Output 2 10 4 3" xfId="48629"/>
    <cellStyle name="Output 2 10 4 4" xfId="36772"/>
    <cellStyle name="Output 2 10 5" xfId="53259"/>
    <cellStyle name="Output 2 11" xfId="3246"/>
    <cellStyle name="Output 2 11 2" xfId="7457"/>
    <cellStyle name="Output 2 11 2 10" xfId="39587"/>
    <cellStyle name="Output 2 11 2 11" xfId="53262"/>
    <cellStyle name="Output 2 11 2 2" xfId="10727"/>
    <cellStyle name="Output 2 11 2 2 2" xfId="18514"/>
    <cellStyle name="Output 2 11 2 2 2 2" xfId="44046"/>
    <cellStyle name="Output 2 11 2 2 2 3" xfId="47955"/>
    <cellStyle name="Output 2 11 2 2 2 4" xfId="36137"/>
    <cellStyle name="Output 2 11 2 2 3" xfId="12622"/>
    <cellStyle name="Output 2 11 2 2 3 2" xfId="42082"/>
    <cellStyle name="Output 2 11 2 2 3 3" xfId="39634"/>
    <cellStyle name="Output 2 11 2 2 3 4" xfId="30273"/>
    <cellStyle name="Output 2 11 2 2 4" xfId="19837"/>
    <cellStyle name="Output 2 11 2 2 4 2" xfId="45359"/>
    <cellStyle name="Output 2 11 2 2 4 3" xfId="49265"/>
    <cellStyle name="Output 2 11 2 2 4 4" xfId="37339"/>
    <cellStyle name="Output 2 11 2 2 5" xfId="20927"/>
    <cellStyle name="Output 2 11 2 2 5 2" xfId="46449"/>
    <cellStyle name="Output 2 11 2 2 5 3" xfId="50355"/>
    <cellStyle name="Output 2 11 2 2 5 4" xfId="38319"/>
    <cellStyle name="Output 2 11 2 2 6" xfId="21580"/>
    <cellStyle name="Output 2 11 2 2 6 2" xfId="47102"/>
    <cellStyle name="Output 2 11 2 2 6 3" xfId="51008"/>
    <cellStyle name="Output 2 11 2 2 7" xfId="40905"/>
    <cellStyle name="Output 2 11 2 2 8" xfId="42815"/>
    <cellStyle name="Output 2 11 2 2 9" xfId="53368"/>
    <cellStyle name="Output 2 11 2 3" xfId="11022"/>
    <cellStyle name="Output 2 11 2 3 2" xfId="18809"/>
    <cellStyle name="Output 2 11 2 3 2 2" xfId="44341"/>
    <cellStyle name="Output 2 11 2 3 2 3" xfId="48250"/>
    <cellStyle name="Output 2 11 2 3 2 4" xfId="36432"/>
    <cellStyle name="Output 2 11 2 3 3" xfId="20402"/>
    <cellStyle name="Output 2 11 2 3 3 2" xfId="45924"/>
    <cellStyle name="Output 2 11 2 3 3 3" xfId="49830"/>
    <cellStyle name="Output 2 11 2 3 3 4" xfId="37842"/>
    <cellStyle name="Output 2 11 2 3 4" xfId="20546"/>
    <cellStyle name="Output 2 11 2 3 4 2" xfId="46068"/>
    <cellStyle name="Output 2 11 2 3 4 3" xfId="49974"/>
    <cellStyle name="Output 2 11 2 3 4 4" xfId="37959"/>
    <cellStyle name="Output 2 11 2 3 5" xfId="21222"/>
    <cellStyle name="Output 2 11 2 3 5 2" xfId="46744"/>
    <cellStyle name="Output 2 11 2 3 5 3" xfId="50650"/>
    <cellStyle name="Output 2 11 2 3 5 4" xfId="38614"/>
    <cellStyle name="Output 2 11 2 3 6" xfId="21875"/>
    <cellStyle name="Output 2 11 2 3 6 2" xfId="47397"/>
    <cellStyle name="Output 2 11 2 3 6 3" xfId="51303"/>
    <cellStyle name="Output 2 11 2 3 7" xfId="41200"/>
    <cellStyle name="Output 2 11 2 3 8" xfId="41394"/>
    <cellStyle name="Output 2 11 2 4" xfId="15239"/>
    <cellStyle name="Output 2 11 2 4 2" xfId="43094"/>
    <cellStyle name="Output 2 11 2 4 3" xfId="43527"/>
    <cellStyle name="Output 2 11 2 4 4" xfId="32860"/>
    <cellStyle name="Output 2 11 2 5" xfId="19805"/>
    <cellStyle name="Output 2 11 2 5 2" xfId="45327"/>
    <cellStyle name="Output 2 11 2 5 3" xfId="49233"/>
    <cellStyle name="Output 2 11 2 5 4" xfId="37312"/>
    <cellStyle name="Output 2 11 2 6" xfId="20272"/>
    <cellStyle name="Output 2 11 2 6 2" xfId="45794"/>
    <cellStyle name="Output 2 11 2 6 3" xfId="49700"/>
    <cellStyle name="Output 2 11 2 6 4" xfId="37726"/>
    <cellStyle name="Output 2 11 2 7" xfId="19680"/>
    <cellStyle name="Output 2 11 2 7 2" xfId="45202"/>
    <cellStyle name="Output 2 11 2 7 3" xfId="49108"/>
    <cellStyle name="Output 2 11 2 7 4" xfId="37197"/>
    <cellStyle name="Output 2 11 2 8" xfId="18993"/>
    <cellStyle name="Output 2 11 2 8 2" xfId="44515"/>
    <cellStyle name="Output 2 11 2 8 3" xfId="48421"/>
    <cellStyle name="Output 2 11 2 9" xfId="39954"/>
    <cellStyle name="Output 2 11 3" xfId="12091"/>
    <cellStyle name="Output 2 11 3 2" xfId="41816"/>
    <cellStyle name="Output 2 11 3 3" xfId="39105"/>
    <cellStyle name="Output 2 11 3 4" xfId="29750"/>
    <cellStyle name="Output 2 11 3 5" xfId="53367"/>
    <cellStyle name="Output 2 11 4" xfId="19831"/>
    <cellStyle name="Output 2 11 4 2" xfId="45353"/>
    <cellStyle name="Output 2 11 4 3" xfId="49259"/>
    <cellStyle name="Output 2 11 4 4" xfId="37334"/>
    <cellStyle name="Output 2 11 5" xfId="53261"/>
    <cellStyle name="Output 2 12" xfId="3247"/>
    <cellStyle name="Output 2 12 2" xfId="7458"/>
    <cellStyle name="Output 2 12 2 10" xfId="47523"/>
    <cellStyle name="Output 2 12 2 11" xfId="53264"/>
    <cellStyle name="Output 2 12 2 2" xfId="10728"/>
    <cellStyle name="Output 2 12 2 2 2" xfId="18515"/>
    <cellStyle name="Output 2 12 2 2 2 2" xfId="44047"/>
    <cellStyle name="Output 2 12 2 2 2 3" xfId="47956"/>
    <cellStyle name="Output 2 12 2 2 2 4" xfId="36138"/>
    <cellStyle name="Output 2 12 2 2 3" xfId="19589"/>
    <cellStyle name="Output 2 12 2 2 3 2" xfId="45111"/>
    <cellStyle name="Output 2 12 2 2 3 3" xfId="49017"/>
    <cellStyle name="Output 2 12 2 2 3 4" xfId="37115"/>
    <cellStyle name="Output 2 12 2 2 4" xfId="19149"/>
    <cellStyle name="Output 2 12 2 2 4 2" xfId="44671"/>
    <cellStyle name="Output 2 12 2 2 4 3" xfId="48577"/>
    <cellStyle name="Output 2 12 2 2 4 4" xfId="36727"/>
    <cellStyle name="Output 2 12 2 2 5" xfId="20928"/>
    <cellStyle name="Output 2 12 2 2 5 2" xfId="46450"/>
    <cellStyle name="Output 2 12 2 2 5 3" xfId="50356"/>
    <cellStyle name="Output 2 12 2 2 5 4" xfId="38320"/>
    <cellStyle name="Output 2 12 2 2 6" xfId="21581"/>
    <cellStyle name="Output 2 12 2 2 6 2" xfId="47103"/>
    <cellStyle name="Output 2 12 2 2 6 3" xfId="51009"/>
    <cellStyle name="Output 2 12 2 2 7" xfId="40906"/>
    <cellStyle name="Output 2 12 2 2 8" xfId="43704"/>
    <cellStyle name="Output 2 12 2 2 9" xfId="53370"/>
    <cellStyle name="Output 2 12 2 3" xfId="11023"/>
    <cellStyle name="Output 2 12 2 3 2" xfId="18810"/>
    <cellStyle name="Output 2 12 2 3 2 2" xfId="44342"/>
    <cellStyle name="Output 2 12 2 3 2 3" xfId="48251"/>
    <cellStyle name="Output 2 12 2 3 2 4" xfId="36433"/>
    <cellStyle name="Output 2 12 2 3 3" xfId="20403"/>
    <cellStyle name="Output 2 12 2 3 3 2" xfId="45925"/>
    <cellStyle name="Output 2 12 2 3 3 3" xfId="49831"/>
    <cellStyle name="Output 2 12 2 3 3 4" xfId="37843"/>
    <cellStyle name="Output 2 12 2 3 4" xfId="20547"/>
    <cellStyle name="Output 2 12 2 3 4 2" xfId="46069"/>
    <cellStyle name="Output 2 12 2 3 4 3" xfId="49975"/>
    <cellStyle name="Output 2 12 2 3 4 4" xfId="37960"/>
    <cellStyle name="Output 2 12 2 3 5" xfId="21223"/>
    <cellStyle name="Output 2 12 2 3 5 2" xfId="46745"/>
    <cellStyle name="Output 2 12 2 3 5 3" xfId="50651"/>
    <cellStyle name="Output 2 12 2 3 5 4" xfId="38615"/>
    <cellStyle name="Output 2 12 2 3 6" xfId="21876"/>
    <cellStyle name="Output 2 12 2 3 6 2" xfId="47398"/>
    <cellStyle name="Output 2 12 2 3 6 3" xfId="51304"/>
    <cellStyle name="Output 2 12 2 3 7" xfId="41201"/>
    <cellStyle name="Output 2 12 2 3 8" xfId="43197"/>
    <cellStyle name="Output 2 12 2 4" xfId="15240"/>
    <cellStyle name="Output 2 12 2 4 2" xfId="43095"/>
    <cellStyle name="Output 2 12 2 4 3" xfId="40389"/>
    <cellStyle name="Output 2 12 2 4 4" xfId="32861"/>
    <cellStyle name="Output 2 12 2 5" xfId="11359"/>
    <cellStyle name="Output 2 12 2 5 2" xfId="41375"/>
    <cellStyle name="Output 2 12 2 5 3" xfId="42692"/>
    <cellStyle name="Output 2 12 2 5 4" xfId="29068"/>
    <cellStyle name="Output 2 12 2 6" xfId="18897"/>
    <cellStyle name="Output 2 12 2 6 2" xfId="44419"/>
    <cellStyle name="Output 2 12 2 6 3" xfId="48325"/>
    <cellStyle name="Output 2 12 2 6 4" xfId="36515"/>
    <cellStyle name="Output 2 12 2 7" xfId="19454"/>
    <cellStyle name="Output 2 12 2 7 2" xfId="44976"/>
    <cellStyle name="Output 2 12 2 7 3" xfId="48882"/>
    <cellStyle name="Output 2 12 2 7 4" xfId="36998"/>
    <cellStyle name="Output 2 12 2 8" xfId="20329"/>
    <cellStyle name="Output 2 12 2 8 2" xfId="45851"/>
    <cellStyle name="Output 2 12 2 8 3" xfId="49757"/>
    <cellStyle name="Output 2 12 2 9" xfId="39955"/>
    <cellStyle name="Output 2 12 3" xfId="12092"/>
    <cellStyle name="Output 2 12 3 2" xfId="41817"/>
    <cellStyle name="Output 2 12 3 3" xfId="39104"/>
    <cellStyle name="Output 2 12 3 4" xfId="29751"/>
    <cellStyle name="Output 2 12 3 5" xfId="53369"/>
    <cellStyle name="Output 2 12 4" xfId="18962"/>
    <cellStyle name="Output 2 12 4 2" xfId="44484"/>
    <cellStyle name="Output 2 12 4 3" xfId="48390"/>
    <cellStyle name="Output 2 12 4 4" xfId="36573"/>
    <cellStyle name="Output 2 12 5" xfId="53263"/>
    <cellStyle name="Output 2 13" xfId="3248"/>
    <cellStyle name="Output 2 13 2" xfId="7459"/>
    <cellStyle name="Output 2 13 2 10" xfId="42595"/>
    <cellStyle name="Output 2 13 2 11" xfId="53266"/>
    <cellStyle name="Output 2 13 2 2" xfId="10729"/>
    <cellStyle name="Output 2 13 2 2 2" xfId="18516"/>
    <cellStyle name="Output 2 13 2 2 2 2" xfId="44048"/>
    <cellStyle name="Output 2 13 2 2 2 3" xfId="47957"/>
    <cellStyle name="Output 2 13 2 2 2 4" xfId="36139"/>
    <cellStyle name="Output 2 13 2 2 3" xfId="20142"/>
    <cellStyle name="Output 2 13 2 2 3 2" xfId="45664"/>
    <cellStyle name="Output 2 13 2 2 3 3" xfId="49570"/>
    <cellStyle name="Output 2 13 2 2 3 4" xfId="37614"/>
    <cellStyle name="Output 2 13 2 2 4" xfId="19070"/>
    <cellStyle name="Output 2 13 2 2 4 2" xfId="44592"/>
    <cellStyle name="Output 2 13 2 2 4 3" xfId="48498"/>
    <cellStyle name="Output 2 13 2 2 4 4" xfId="36652"/>
    <cellStyle name="Output 2 13 2 2 5" xfId="20929"/>
    <cellStyle name="Output 2 13 2 2 5 2" xfId="46451"/>
    <cellStyle name="Output 2 13 2 2 5 3" xfId="50357"/>
    <cellStyle name="Output 2 13 2 2 5 4" xfId="38321"/>
    <cellStyle name="Output 2 13 2 2 6" xfId="21582"/>
    <cellStyle name="Output 2 13 2 2 6 2" xfId="47104"/>
    <cellStyle name="Output 2 13 2 2 6 3" xfId="51010"/>
    <cellStyle name="Output 2 13 2 2 7" xfId="40907"/>
    <cellStyle name="Output 2 13 2 2 8" xfId="40563"/>
    <cellStyle name="Output 2 13 2 2 9" xfId="53372"/>
    <cellStyle name="Output 2 13 2 3" xfId="11024"/>
    <cellStyle name="Output 2 13 2 3 2" xfId="18811"/>
    <cellStyle name="Output 2 13 2 3 2 2" xfId="44343"/>
    <cellStyle name="Output 2 13 2 3 2 3" xfId="48252"/>
    <cellStyle name="Output 2 13 2 3 2 4" xfId="36434"/>
    <cellStyle name="Output 2 13 2 3 3" xfId="20404"/>
    <cellStyle name="Output 2 13 2 3 3 2" xfId="45926"/>
    <cellStyle name="Output 2 13 2 3 3 3" xfId="49832"/>
    <cellStyle name="Output 2 13 2 3 3 4" xfId="37844"/>
    <cellStyle name="Output 2 13 2 3 4" xfId="20548"/>
    <cellStyle name="Output 2 13 2 3 4 2" xfId="46070"/>
    <cellStyle name="Output 2 13 2 3 4 3" xfId="49976"/>
    <cellStyle name="Output 2 13 2 3 4 4" xfId="37961"/>
    <cellStyle name="Output 2 13 2 3 5" xfId="21224"/>
    <cellStyle name="Output 2 13 2 3 5 2" xfId="46746"/>
    <cellStyle name="Output 2 13 2 3 5 3" xfId="50652"/>
    <cellStyle name="Output 2 13 2 3 5 4" xfId="38616"/>
    <cellStyle name="Output 2 13 2 3 6" xfId="21877"/>
    <cellStyle name="Output 2 13 2 3 6 2" xfId="47399"/>
    <cellStyle name="Output 2 13 2 3 6 3" xfId="51305"/>
    <cellStyle name="Output 2 13 2 3 7" xfId="41202"/>
    <cellStyle name="Output 2 13 2 3 8" xfId="40056"/>
    <cellStyle name="Output 2 13 2 4" xfId="15241"/>
    <cellStyle name="Output 2 13 2 4 2" xfId="43096"/>
    <cellStyle name="Output 2 13 2 4 3" xfId="39498"/>
    <cellStyle name="Output 2 13 2 4 4" xfId="32862"/>
    <cellStyle name="Output 2 13 2 5" xfId="12041"/>
    <cellStyle name="Output 2 13 2 5 2" xfId="41776"/>
    <cellStyle name="Output 2 13 2 5 3" xfId="39538"/>
    <cellStyle name="Output 2 13 2 5 4" xfId="29706"/>
    <cellStyle name="Output 2 13 2 6" xfId="20104"/>
    <cellStyle name="Output 2 13 2 6 2" xfId="45626"/>
    <cellStyle name="Output 2 13 2 6 3" xfId="49532"/>
    <cellStyle name="Output 2 13 2 6 4" xfId="37577"/>
    <cellStyle name="Output 2 13 2 7" xfId="20188"/>
    <cellStyle name="Output 2 13 2 7 2" xfId="45710"/>
    <cellStyle name="Output 2 13 2 7 3" xfId="49616"/>
    <cellStyle name="Output 2 13 2 7 4" xfId="37656"/>
    <cellStyle name="Output 2 13 2 8" xfId="11623"/>
    <cellStyle name="Output 2 13 2 8 2" xfId="41614"/>
    <cellStyle name="Output 2 13 2 8 3" xfId="39138"/>
    <cellStyle name="Output 2 13 2 9" xfId="39956"/>
    <cellStyle name="Output 2 13 3" xfId="12093"/>
    <cellStyle name="Output 2 13 3 2" xfId="41818"/>
    <cellStyle name="Output 2 13 3 3" xfId="39103"/>
    <cellStyle name="Output 2 13 3 4" xfId="29752"/>
    <cellStyle name="Output 2 13 3 5" xfId="53371"/>
    <cellStyle name="Output 2 13 4" xfId="11599"/>
    <cellStyle name="Output 2 13 4 2" xfId="41590"/>
    <cellStyle name="Output 2 13 4 3" xfId="43318"/>
    <cellStyle name="Output 2 13 4 4" xfId="29288"/>
    <cellStyle name="Output 2 13 5" xfId="53265"/>
    <cellStyle name="Output 2 14" xfId="3249"/>
    <cellStyle name="Output 2 14 2" xfId="7460"/>
    <cellStyle name="Output 2 14 2 10" xfId="43508"/>
    <cellStyle name="Output 2 14 2 11" xfId="53373"/>
    <cellStyle name="Output 2 14 2 2" xfId="10730"/>
    <cellStyle name="Output 2 14 2 2 2" xfId="18517"/>
    <cellStyle name="Output 2 14 2 2 2 2" xfId="44049"/>
    <cellStyle name="Output 2 14 2 2 2 3" xfId="47958"/>
    <cellStyle name="Output 2 14 2 2 2 4" xfId="36140"/>
    <cellStyle name="Output 2 14 2 2 3" xfId="19401"/>
    <cellStyle name="Output 2 14 2 2 3 2" xfId="44923"/>
    <cellStyle name="Output 2 14 2 2 3 3" xfId="48829"/>
    <cellStyle name="Output 2 14 2 2 3 4" xfId="36952"/>
    <cellStyle name="Output 2 14 2 2 4" xfId="11631"/>
    <cellStyle name="Output 2 14 2 2 4 2" xfId="41622"/>
    <cellStyle name="Output 2 14 2 2 4 3" xfId="39320"/>
    <cellStyle name="Output 2 14 2 2 4 4" xfId="29318"/>
    <cellStyle name="Output 2 14 2 2 5" xfId="20930"/>
    <cellStyle name="Output 2 14 2 2 5 2" xfId="46452"/>
    <cellStyle name="Output 2 14 2 2 5 3" xfId="50358"/>
    <cellStyle name="Output 2 14 2 2 5 4" xfId="38322"/>
    <cellStyle name="Output 2 14 2 2 6" xfId="21583"/>
    <cellStyle name="Output 2 14 2 2 6 2" xfId="47105"/>
    <cellStyle name="Output 2 14 2 2 6 3" xfId="51011"/>
    <cellStyle name="Output 2 14 2 2 7" xfId="40908"/>
    <cellStyle name="Output 2 14 2 2 8" xfId="39674"/>
    <cellStyle name="Output 2 14 2 3" xfId="11025"/>
    <cellStyle name="Output 2 14 2 3 2" xfId="18812"/>
    <cellStyle name="Output 2 14 2 3 2 2" xfId="44344"/>
    <cellStyle name="Output 2 14 2 3 2 3" xfId="48253"/>
    <cellStyle name="Output 2 14 2 3 2 4" xfId="36435"/>
    <cellStyle name="Output 2 14 2 3 3" xfId="20405"/>
    <cellStyle name="Output 2 14 2 3 3 2" xfId="45927"/>
    <cellStyle name="Output 2 14 2 3 3 3" xfId="49833"/>
    <cellStyle name="Output 2 14 2 3 3 4" xfId="37845"/>
    <cellStyle name="Output 2 14 2 3 4" xfId="20549"/>
    <cellStyle name="Output 2 14 2 3 4 2" xfId="46071"/>
    <cellStyle name="Output 2 14 2 3 4 3" xfId="49977"/>
    <cellStyle name="Output 2 14 2 3 4 4" xfId="37962"/>
    <cellStyle name="Output 2 14 2 3 5" xfId="21225"/>
    <cellStyle name="Output 2 14 2 3 5 2" xfId="46747"/>
    <cellStyle name="Output 2 14 2 3 5 3" xfId="50653"/>
    <cellStyle name="Output 2 14 2 3 5 4" xfId="38617"/>
    <cellStyle name="Output 2 14 2 3 6" xfId="21878"/>
    <cellStyle name="Output 2 14 2 3 6 2" xfId="47400"/>
    <cellStyle name="Output 2 14 2 3 6 3" xfId="51306"/>
    <cellStyle name="Output 2 14 2 3 7" xfId="41203"/>
    <cellStyle name="Output 2 14 2 3 8" xfId="42803"/>
    <cellStyle name="Output 2 14 2 4" xfId="15242"/>
    <cellStyle name="Output 2 14 2 4 2" xfId="43097"/>
    <cellStyle name="Output 2 14 2 4 3" xfId="42508"/>
    <cellStyle name="Output 2 14 2 4 4" xfId="32863"/>
    <cellStyle name="Output 2 14 2 5" xfId="19648"/>
    <cellStyle name="Output 2 14 2 5 2" xfId="45170"/>
    <cellStyle name="Output 2 14 2 5 3" xfId="49076"/>
    <cellStyle name="Output 2 14 2 5 4" xfId="37168"/>
    <cellStyle name="Output 2 14 2 6" xfId="12983"/>
    <cellStyle name="Output 2 14 2 6 2" xfId="42235"/>
    <cellStyle name="Output 2 14 2 6 3" xfId="40414"/>
    <cellStyle name="Output 2 14 2 6 4" xfId="30618"/>
    <cellStyle name="Output 2 14 2 7" xfId="20472"/>
    <cellStyle name="Output 2 14 2 7 2" xfId="45994"/>
    <cellStyle name="Output 2 14 2 7 3" xfId="49900"/>
    <cellStyle name="Output 2 14 2 7 4" xfId="37908"/>
    <cellStyle name="Output 2 14 2 8" xfId="19495"/>
    <cellStyle name="Output 2 14 2 8 2" xfId="45017"/>
    <cellStyle name="Output 2 14 2 8 3" xfId="48923"/>
    <cellStyle name="Output 2 14 2 9" xfId="39957"/>
    <cellStyle name="Output 2 14 3" xfId="12094"/>
    <cellStyle name="Output 2 14 3 2" xfId="41819"/>
    <cellStyle name="Output 2 14 3 3" xfId="39102"/>
    <cellStyle name="Output 2 14 3 4" xfId="29753"/>
    <cellStyle name="Output 2 14 4" xfId="19671"/>
    <cellStyle name="Output 2 14 4 2" xfId="45193"/>
    <cellStyle name="Output 2 14 4 3" xfId="49099"/>
    <cellStyle name="Output 2 14 4 4" xfId="37189"/>
    <cellStyle name="Output 2 14 5" xfId="53267"/>
    <cellStyle name="Output 2 15" xfId="5308"/>
    <cellStyle name="Output 2 15 2" xfId="7461"/>
    <cellStyle name="Output 2 15 2 10" xfId="40371"/>
    <cellStyle name="Output 2 15 2 2" xfId="10731"/>
    <cellStyle name="Output 2 15 2 2 2" xfId="18518"/>
    <cellStyle name="Output 2 15 2 2 2 2" xfId="44050"/>
    <cellStyle name="Output 2 15 2 2 2 3" xfId="47959"/>
    <cellStyle name="Output 2 15 2 2 2 4" xfId="36141"/>
    <cellStyle name="Output 2 15 2 2 3" xfId="20008"/>
    <cellStyle name="Output 2 15 2 2 3 2" xfId="45530"/>
    <cellStyle name="Output 2 15 2 2 3 3" xfId="49436"/>
    <cellStyle name="Output 2 15 2 2 3 4" xfId="37492"/>
    <cellStyle name="Output 2 15 2 2 4" xfId="12890"/>
    <cellStyle name="Output 2 15 2 2 4 2" xfId="42226"/>
    <cellStyle name="Output 2 15 2 2 4 3" xfId="40416"/>
    <cellStyle name="Output 2 15 2 2 4 4" xfId="30526"/>
    <cellStyle name="Output 2 15 2 2 5" xfId="20931"/>
    <cellStyle name="Output 2 15 2 2 5 2" xfId="46453"/>
    <cellStyle name="Output 2 15 2 2 5 3" xfId="50359"/>
    <cellStyle name="Output 2 15 2 2 5 4" xfId="38323"/>
    <cellStyle name="Output 2 15 2 2 6" xfId="21584"/>
    <cellStyle name="Output 2 15 2 2 6 2" xfId="47106"/>
    <cellStyle name="Output 2 15 2 2 6 3" xfId="51012"/>
    <cellStyle name="Output 2 15 2 2 7" xfId="40909"/>
    <cellStyle name="Output 2 15 2 2 8" xfId="42711"/>
    <cellStyle name="Output 2 15 2 3" xfId="11026"/>
    <cellStyle name="Output 2 15 2 3 2" xfId="18813"/>
    <cellStyle name="Output 2 15 2 3 2 2" xfId="44345"/>
    <cellStyle name="Output 2 15 2 3 2 3" xfId="48254"/>
    <cellStyle name="Output 2 15 2 3 2 4" xfId="36436"/>
    <cellStyle name="Output 2 15 2 3 3" xfId="20406"/>
    <cellStyle name="Output 2 15 2 3 3 2" xfId="45928"/>
    <cellStyle name="Output 2 15 2 3 3 3" xfId="49834"/>
    <cellStyle name="Output 2 15 2 3 3 4" xfId="37846"/>
    <cellStyle name="Output 2 15 2 3 4" xfId="20550"/>
    <cellStyle name="Output 2 15 2 3 4 2" xfId="46072"/>
    <cellStyle name="Output 2 15 2 3 4 3" xfId="49978"/>
    <cellStyle name="Output 2 15 2 3 4 4" xfId="37963"/>
    <cellStyle name="Output 2 15 2 3 5" xfId="21226"/>
    <cellStyle name="Output 2 15 2 3 5 2" xfId="46748"/>
    <cellStyle name="Output 2 15 2 3 5 3" xfId="50654"/>
    <cellStyle name="Output 2 15 2 3 5 4" xfId="38618"/>
    <cellStyle name="Output 2 15 2 3 6" xfId="21879"/>
    <cellStyle name="Output 2 15 2 3 6 2" xfId="47401"/>
    <cellStyle name="Output 2 15 2 3 6 3" xfId="51307"/>
    <cellStyle name="Output 2 15 2 3 7" xfId="41204"/>
    <cellStyle name="Output 2 15 2 3 8" xfId="43692"/>
    <cellStyle name="Output 2 15 2 4" xfId="15243"/>
    <cellStyle name="Output 2 15 2 4 2" xfId="43098"/>
    <cellStyle name="Output 2 15 2 4 3" xfId="43419"/>
    <cellStyle name="Output 2 15 2 4 4" xfId="32864"/>
    <cellStyle name="Output 2 15 2 5" xfId="20207"/>
    <cellStyle name="Output 2 15 2 5 2" xfId="45729"/>
    <cellStyle name="Output 2 15 2 5 3" xfId="49635"/>
    <cellStyle name="Output 2 15 2 5 4" xfId="37670"/>
    <cellStyle name="Output 2 15 2 6" xfId="20463"/>
    <cellStyle name="Output 2 15 2 6 2" xfId="45985"/>
    <cellStyle name="Output 2 15 2 6 3" xfId="49891"/>
    <cellStyle name="Output 2 15 2 6 4" xfId="37902"/>
    <cellStyle name="Output 2 15 2 7" xfId="12023"/>
    <cellStyle name="Output 2 15 2 7 2" xfId="41760"/>
    <cellStyle name="Output 2 15 2 7 3" xfId="40173"/>
    <cellStyle name="Output 2 15 2 7 4" xfId="29689"/>
    <cellStyle name="Output 2 15 2 8" xfId="19771"/>
    <cellStyle name="Output 2 15 2 8 2" xfId="45293"/>
    <cellStyle name="Output 2 15 2 8 3" xfId="49199"/>
    <cellStyle name="Output 2 15 2 9" xfId="39958"/>
    <cellStyle name="Output 2 15 3" xfId="13269"/>
    <cellStyle name="Output 2 15 3 2" xfId="42420"/>
    <cellStyle name="Output 2 15 3 3" xfId="43164"/>
    <cellStyle name="Output 2 15 3 4" xfId="30900"/>
    <cellStyle name="Output 2 15 4" xfId="20300"/>
    <cellStyle name="Output 2 15 4 2" xfId="45822"/>
    <cellStyle name="Output 2 15 4 3" xfId="49728"/>
    <cellStyle name="Output 2 15 4 4" xfId="37751"/>
    <cellStyle name="Output 2 15 5" xfId="53364"/>
    <cellStyle name="Output 2 16" xfId="5309"/>
    <cellStyle name="Output 2 16 2" xfId="7462"/>
    <cellStyle name="Output 2 16 2 10" xfId="39483"/>
    <cellStyle name="Output 2 16 2 2" xfId="10732"/>
    <cellStyle name="Output 2 16 2 2 2" xfId="18519"/>
    <cellStyle name="Output 2 16 2 2 2 2" xfId="44051"/>
    <cellStyle name="Output 2 16 2 2 2 3" xfId="47960"/>
    <cellStyle name="Output 2 16 2 2 2 4" xfId="36142"/>
    <cellStyle name="Output 2 16 2 2 3" xfId="19274"/>
    <cellStyle name="Output 2 16 2 2 3 2" xfId="44796"/>
    <cellStyle name="Output 2 16 2 2 3 3" xfId="48702"/>
    <cellStyle name="Output 2 16 2 2 3 4" xfId="36838"/>
    <cellStyle name="Output 2 16 2 2 4" xfId="11568"/>
    <cellStyle name="Output 2 16 2 2 4 2" xfId="41559"/>
    <cellStyle name="Output 2 16 2 2 4 3" xfId="39649"/>
    <cellStyle name="Output 2 16 2 2 4 4" xfId="29265"/>
    <cellStyle name="Output 2 16 2 2 5" xfId="20932"/>
    <cellStyle name="Output 2 16 2 2 5 2" xfId="46454"/>
    <cellStyle name="Output 2 16 2 2 5 3" xfId="50360"/>
    <cellStyle name="Output 2 16 2 2 5 4" xfId="38324"/>
    <cellStyle name="Output 2 16 2 2 6" xfId="21585"/>
    <cellStyle name="Output 2 16 2 2 6 2" xfId="47107"/>
    <cellStyle name="Output 2 16 2 2 6 3" xfId="51013"/>
    <cellStyle name="Output 2 16 2 2 7" xfId="40910"/>
    <cellStyle name="Output 2 16 2 2 8" xfId="43600"/>
    <cellStyle name="Output 2 16 2 3" xfId="11027"/>
    <cellStyle name="Output 2 16 2 3 2" xfId="18814"/>
    <cellStyle name="Output 2 16 2 3 2 2" xfId="44346"/>
    <cellStyle name="Output 2 16 2 3 2 3" xfId="48255"/>
    <cellStyle name="Output 2 16 2 3 2 4" xfId="36437"/>
    <cellStyle name="Output 2 16 2 3 3" xfId="20407"/>
    <cellStyle name="Output 2 16 2 3 3 2" xfId="45929"/>
    <cellStyle name="Output 2 16 2 3 3 3" xfId="49835"/>
    <cellStyle name="Output 2 16 2 3 3 4" xfId="37847"/>
    <cellStyle name="Output 2 16 2 3 4" xfId="20551"/>
    <cellStyle name="Output 2 16 2 3 4 2" xfId="46073"/>
    <cellStyle name="Output 2 16 2 3 4 3" xfId="49979"/>
    <cellStyle name="Output 2 16 2 3 4 4" xfId="37964"/>
    <cellStyle name="Output 2 16 2 3 5" xfId="21227"/>
    <cellStyle name="Output 2 16 2 3 5 2" xfId="46749"/>
    <cellStyle name="Output 2 16 2 3 5 3" xfId="50655"/>
    <cellStyle name="Output 2 16 2 3 5 4" xfId="38619"/>
    <cellStyle name="Output 2 16 2 3 6" xfId="21880"/>
    <cellStyle name="Output 2 16 2 3 6 2" xfId="47402"/>
    <cellStyle name="Output 2 16 2 3 6 3" xfId="51308"/>
    <cellStyle name="Output 2 16 2 3 7" xfId="41205"/>
    <cellStyle name="Output 2 16 2 3 8" xfId="40551"/>
    <cellStyle name="Output 2 16 2 4" xfId="15244"/>
    <cellStyle name="Output 2 16 2 4 2" xfId="43099"/>
    <cellStyle name="Output 2 16 2 4 3" xfId="40281"/>
    <cellStyle name="Output 2 16 2 4 4" xfId="32865"/>
    <cellStyle name="Output 2 16 2 5" xfId="19475"/>
    <cellStyle name="Output 2 16 2 5 2" xfId="44997"/>
    <cellStyle name="Output 2 16 2 5 3" xfId="48903"/>
    <cellStyle name="Output 2 16 2 5 4" xfId="37017"/>
    <cellStyle name="Output 2 16 2 6" xfId="13900"/>
    <cellStyle name="Output 2 16 2 6 2" xfId="42616"/>
    <cellStyle name="Output 2 16 2 6 3" xfId="41932"/>
    <cellStyle name="Output 2 16 2 6 4" xfId="31524"/>
    <cellStyle name="Output 2 16 2 7" xfId="20460"/>
    <cellStyle name="Output 2 16 2 7 2" xfId="45982"/>
    <cellStyle name="Output 2 16 2 7 3" xfId="49888"/>
    <cellStyle name="Output 2 16 2 7 4" xfId="37899"/>
    <cellStyle name="Output 2 16 2 8" xfId="19919"/>
    <cellStyle name="Output 2 16 2 8 2" xfId="45441"/>
    <cellStyle name="Output 2 16 2 8 3" xfId="49347"/>
    <cellStyle name="Output 2 16 2 9" xfId="39959"/>
    <cellStyle name="Output 2 16 3" xfId="13270"/>
    <cellStyle name="Output 2 16 3 2" xfId="42421"/>
    <cellStyle name="Output 2 16 3 3" xfId="40023"/>
    <cellStyle name="Output 2 16 3 4" xfId="30901"/>
    <cellStyle name="Output 2 16 4" xfId="19511"/>
    <cellStyle name="Output 2 16 4 2" xfId="45033"/>
    <cellStyle name="Output 2 16 4 3" xfId="48939"/>
    <cellStyle name="Output 2 16 4 4" xfId="37045"/>
    <cellStyle name="Output 2 17" xfId="5310"/>
    <cellStyle name="Output 2 17 2" xfId="10470"/>
    <cellStyle name="Output 2 17 2 2" xfId="18257"/>
    <cellStyle name="Output 2 17 2 2 2" xfId="43789"/>
    <cellStyle name="Output 2 17 2 2 3" xfId="47698"/>
    <cellStyle name="Output 2 17 2 2 4" xfId="35880"/>
    <cellStyle name="Output 2 17 2 3" xfId="20032"/>
    <cellStyle name="Output 2 17 2 3 2" xfId="45554"/>
    <cellStyle name="Output 2 17 2 3 3" xfId="49460"/>
    <cellStyle name="Output 2 17 2 3 4" xfId="37516"/>
    <cellStyle name="Output 2 17 2 4" xfId="19494"/>
    <cellStyle name="Output 2 17 2 4 2" xfId="45016"/>
    <cellStyle name="Output 2 17 2 4 3" xfId="48922"/>
    <cellStyle name="Output 2 17 2 4 4" xfId="37029"/>
    <cellStyle name="Output 2 17 2 5" xfId="20670"/>
    <cellStyle name="Output 2 17 2 5 2" xfId="46192"/>
    <cellStyle name="Output 2 17 2 5 3" xfId="50098"/>
    <cellStyle name="Output 2 17 2 5 4" xfId="38062"/>
    <cellStyle name="Output 2 17 2 6" xfId="21323"/>
    <cellStyle name="Output 2 17 2 6 2" xfId="46845"/>
    <cellStyle name="Output 2 17 2 6 3" xfId="50751"/>
    <cellStyle name="Output 2 17 2 7" xfId="40648"/>
    <cellStyle name="Output 2 17 2 8" xfId="43373"/>
    <cellStyle name="Output 2 17 3" xfId="8796"/>
    <cellStyle name="Output 2 17 3 2" xfId="16586"/>
    <cellStyle name="Output 2 17 3 2 2" xfId="43411"/>
    <cellStyle name="Output 2 17 3 2 3" xfId="43631"/>
    <cellStyle name="Output 2 17 3 2 4" xfId="34207"/>
    <cellStyle name="Output 2 17 3 3" xfId="19632"/>
    <cellStyle name="Output 2 17 3 3 2" xfId="45154"/>
    <cellStyle name="Output 2 17 3 3 3" xfId="49060"/>
    <cellStyle name="Output 2 17 3 3 4" xfId="37154"/>
    <cellStyle name="Output 2 17 3 4" xfId="11417"/>
    <cellStyle name="Output 2 17 3 4 2" xfId="41422"/>
    <cellStyle name="Output 2 17 3 4 3" xfId="39147"/>
    <cellStyle name="Output 2 17 3 4 4" xfId="29125"/>
    <cellStyle name="Output 2 17 3 5" xfId="19013"/>
    <cellStyle name="Output 2 17 3 5 2" xfId="44535"/>
    <cellStyle name="Output 2 17 3 5 3" xfId="48441"/>
    <cellStyle name="Output 2 17 3 5 4" xfId="36607"/>
    <cellStyle name="Output 2 17 3 6" xfId="20514"/>
    <cellStyle name="Output 2 17 3 6 2" xfId="46036"/>
    <cellStyle name="Output 2 17 3 6 3" xfId="49942"/>
    <cellStyle name="Output 2 17 3 7" xfId="40273"/>
    <cellStyle name="Output 2 17 3 8" xfId="39186"/>
    <cellStyle name="Output 2 17 4" xfId="13271"/>
    <cellStyle name="Output 2 17 4 2" xfId="42422"/>
    <cellStyle name="Output 2 17 4 3" xfId="42766"/>
    <cellStyle name="Output 2 17 4 4" xfId="30902"/>
    <cellStyle name="Output 2 17 5" xfId="12730"/>
    <cellStyle name="Output 2 17 5 2" xfId="42164"/>
    <cellStyle name="Output 2 17 5 3" xfId="40160"/>
    <cellStyle name="Output 2 17 5 4" xfId="30374"/>
    <cellStyle name="Output 2 18" xfId="7455"/>
    <cellStyle name="Output 2 18 10" xfId="43619"/>
    <cellStyle name="Output 2 18 2" xfId="10725"/>
    <cellStyle name="Output 2 18 2 2" xfId="18512"/>
    <cellStyle name="Output 2 18 2 2 2" xfId="44044"/>
    <cellStyle name="Output 2 18 2 2 3" xfId="47953"/>
    <cellStyle name="Output 2 18 2 2 4" xfId="36135"/>
    <cellStyle name="Output 2 18 2 3" xfId="19884"/>
    <cellStyle name="Output 2 18 2 3 2" xfId="45406"/>
    <cellStyle name="Output 2 18 2 3 3" xfId="49312"/>
    <cellStyle name="Output 2 18 2 3 4" xfId="37384"/>
    <cellStyle name="Output 2 18 2 4" xfId="12921"/>
    <cellStyle name="Output 2 18 2 4 2" xfId="42228"/>
    <cellStyle name="Output 2 18 2 4 3" xfId="40156"/>
    <cellStyle name="Output 2 18 2 4 4" xfId="30557"/>
    <cellStyle name="Output 2 18 2 5" xfId="20925"/>
    <cellStyle name="Output 2 18 2 5 2" xfId="46447"/>
    <cellStyle name="Output 2 18 2 5 3" xfId="50353"/>
    <cellStyle name="Output 2 18 2 5 4" xfId="38317"/>
    <cellStyle name="Output 2 18 2 6" xfId="21578"/>
    <cellStyle name="Output 2 18 2 6 2" xfId="47100"/>
    <cellStyle name="Output 2 18 2 6 3" xfId="51006"/>
    <cellStyle name="Output 2 18 2 7" xfId="40903"/>
    <cellStyle name="Output 2 18 2 8" xfId="43208"/>
    <cellStyle name="Output 2 18 3" xfId="11020"/>
    <cellStyle name="Output 2 18 3 2" xfId="18807"/>
    <cellStyle name="Output 2 18 3 2 2" xfId="44339"/>
    <cellStyle name="Output 2 18 3 2 3" xfId="48248"/>
    <cellStyle name="Output 2 18 3 2 4" xfId="36430"/>
    <cellStyle name="Output 2 18 3 3" xfId="20400"/>
    <cellStyle name="Output 2 18 3 3 2" xfId="45922"/>
    <cellStyle name="Output 2 18 3 3 3" xfId="49828"/>
    <cellStyle name="Output 2 18 3 3 4" xfId="37840"/>
    <cellStyle name="Output 2 18 3 4" xfId="20544"/>
    <cellStyle name="Output 2 18 3 4 2" xfId="46066"/>
    <cellStyle name="Output 2 18 3 4 3" xfId="49972"/>
    <cellStyle name="Output 2 18 3 4 4" xfId="37957"/>
    <cellStyle name="Output 2 18 3 5" xfId="21220"/>
    <cellStyle name="Output 2 18 3 5 2" xfId="46742"/>
    <cellStyle name="Output 2 18 3 5 3" xfId="50648"/>
    <cellStyle name="Output 2 18 3 5 4" xfId="38612"/>
    <cellStyle name="Output 2 18 3 6" xfId="21873"/>
    <cellStyle name="Output 2 18 3 6 2" xfId="47395"/>
    <cellStyle name="Output 2 18 3 6 3" xfId="51301"/>
    <cellStyle name="Output 2 18 3 7" xfId="41198"/>
    <cellStyle name="Output 2 18 3 8" xfId="40200"/>
    <cellStyle name="Output 2 18 4" xfId="15237"/>
    <cellStyle name="Output 2 18 4 2" xfId="43092"/>
    <cellStyle name="Output 2 18 4 3" xfId="39603"/>
    <cellStyle name="Output 2 18 4 4" xfId="32858"/>
    <cellStyle name="Output 2 18 5" xfId="19948"/>
    <cellStyle name="Output 2 18 5 2" xfId="45470"/>
    <cellStyle name="Output 2 18 5 3" xfId="49376"/>
    <cellStyle name="Output 2 18 5 4" xfId="37439"/>
    <cellStyle name="Output 2 18 6" xfId="19334"/>
    <cellStyle name="Output 2 18 6 2" xfId="44856"/>
    <cellStyle name="Output 2 18 6 3" xfId="48762"/>
    <cellStyle name="Output 2 18 6 4" xfId="36892"/>
    <cellStyle name="Output 2 18 7" xfId="19083"/>
    <cellStyle name="Output 2 18 7 2" xfId="44605"/>
    <cellStyle name="Output 2 18 7 3" xfId="48511"/>
    <cellStyle name="Output 2 18 7 4" xfId="36665"/>
    <cellStyle name="Output 2 18 8" xfId="20201"/>
    <cellStyle name="Output 2 18 8 2" xfId="45723"/>
    <cellStyle name="Output 2 18 8 3" xfId="49629"/>
    <cellStyle name="Output 2 18 9" xfId="39952"/>
    <cellStyle name="Output 2 19" xfId="12089"/>
    <cellStyle name="Output 2 19 2" xfId="41814"/>
    <cellStyle name="Output 2 19 3" xfId="39107"/>
    <cellStyle name="Output 2 19 4" xfId="29748"/>
    <cellStyle name="Output 2 2" xfId="3250"/>
    <cellStyle name="Output 2 2 2" xfId="3251"/>
    <cellStyle name="Output 2 2 2 2" xfId="7464"/>
    <cellStyle name="Output 2 2 2 2 10" xfId="42158"/>
    <cellStyle name="Output 2 2 2 2 11" xfId="53270"/>
    <cellStyle name="Output 2 2 2 2 2" xfId="10734"/>
    <cellStyle name="Output 2 2 2 2 2 2" xfId="18521"/>
    <cellStyle name="Output 2 2 2 2 2 2 2" xfId="44053"/>
    <cellStyle name="Output 2 2 2 2 2 2 3" xfId="47962"/>
    <cellStyle name="Output 2 2 2 2 2 2 4" xfId="36144"/>
    <cellStyle name="Output 2 2 2 2 2 3" xfId="19106"/>
    <cellStyle name="Output 2 2 2 2 2 3 2" xfId="44628"/>
    <cellStyle name="Output 2 2 2 2 2 3 3" xfId="48534"/>
    <cellStyle name="Output 2 2 2 2 2 3 4" xfId="36687"/>
    <cellStyle name="Output 2 2 2 2 2 4" xfId="20113"/>
    <cellStyle name="Output 2 2 2 2 2 4 2" xfId="45635"/>
    <cellStyle name="Output 2 2 2 2 2 4 3" xfId="49541"/>
    <cellStyle name="Output 2 2 2 2 2 4 4" xfId="37585"/>
    <cellStyle name="Output 2 2 2 2 2 5" xfId="20934"/>
    <cellStyle name="Output 2 2 2 2 2 5 2" xfId="46456"/>
    <cellStyle name="Output 2 2 2 2 2 5 3" xfId="50362"/>
    <cellStyle name="Output 2 2 2 2 2 5 4" xfId="38326"/>
    <cellStyle name="Output 2 2 2 2 2 6" xfId="21587"/>
    <cellStyle name="Output 2 2 2 2 2 6 2" xfId="47109"/>
    <cellStyle name="Output 2 2 2 2 2 6 3" xfId="51015"/>
    <cellStyle name="Output 2 2 2 2 2 7" xfId="40912"/>
    <cellStyle name="Output 2 2 2 2 2 8" xfId="39568"/>
    <cellStyle name="Output 2 2 2 2 2 9" xfId="53376"/>
    <cellStyle name="Output 2 2 2 2 3" xfId="11029"/>
    <cellStyle name="Output 2 2 2 2 3 2" xfId="18816"/>
    <cellStyle name="Output 2 2 2 2 3 2 2" xfId="44348"/>
    <cellStyle name="Output 2 2 2 2 3 2 3" xfId="48257"/>
    <cellStyle name="Output 2 2 2 2 3 2 4" xfId="36439"/>
    <cellStyle name="Output 2 2 2 2 3 3" xfId="20409"/>
    <cellStyle name="Output 2 2 2 2 3 3 2" xfId="45931"/>
    <cellStyle name="Output 2 2 2 2 3 3 3" xfId="49837"/>
    <cellStyle name="Output 2 2 2 2 3 3 4" xfId="37849"/>
    <cellStyle name="Output 2 2 2 2 3 4" xfId="20553"/>
    <cellStyle name="Output 2 2 2 2 3 4 2" xfId="46075"/>
    <cellStyle name="Output 2 2 2 2 3 4 3" xfId="49981"/>
    <cellStyle name="Output 2 2 2 2 3 4 4" xfId="37966"/>
    <cellStyle name="Output 2 2 2 2 3 5" xfId="21229"/>
    <cellStyle name="Output 2 2 2 2 3 5 2" xfId="46751"/>
    <cellStyle name="Output 2 2 2 2 3 5 3" xfId="50657"/>
    <cellStyle name="Output 2 2 2 2 3 5 4" xfId="38621"/>
    <cellStyle name="Output 2 2 2 2 3 6" xfId="21882"/>
    <cellStyle name="Output 2 2 2 2 3 6 2" xfId="47404"/>
    <cellStyle name="Output 2 2 2 2 3 6 3" xfId="51310"/>
    <cellStyle name="Output 2 2 2 2 3 7" xfId="41207"/>
    <cellStyle name="Output 2 2 2 2 3 8" xfId="42699"/>
    <cellStyle name="Output 2 2 2 2 4" xfId="15246"/>
    <cellStyle name="Output 2 2 2 2 4 2" xfId="43101"/>
    <cellStyle name="Output 2 2 2 2 4 3" xfId="39237"/>
    <cellStyle name="Output 2 2 2 2 4 4" xfId="32867"/>
    <cellStyle name="Output 2 2 2 2 5" xfId="19338"/>
    <cellStyle name="Output 2 2 2 2 5 2" xfId="44860"/>
    <cellStyle name="Output 2 2 2 2 5 3" xfId="48766"/>
    <cellStyle name="Output 2 2 2 2 5 4" xfId="36895"/>
    <cellStyle name="Output 2 2 2 2 6" xfId="11557"/>
    <cellStyle name="Output 2 2 2 2 6 2" xfId="41548"/>
    <cellStyle name="Output 2 2 2 2 6 3" xfId="42553"/>
    <cellStyle name="Output 2 2 2 2 6 4" xfId="29254"/>
    <cellStyle name="Output 2 2 2 2 7" xfId="19955"/>
    <cellStyle name="Output 2 2 2 2 7 2" xfId="45477"/>
    <cellStyle name="Output 2 2 2 2 7 3" xfId="49383"/>
    <cellStyle name="Output 2 2 2 2 7 4" xfId="37446"/>
    <cellStyle name="Output 2 2 2 2 8" xfId="19682"/>
    <cellStyle name="Output 2 2 2 2 8 2" xfId="45204"/>
    <cellStyle name="Output 2 2 2 2 8 3" xfId="49110"/>
    <cellStyle name="Output 2 2 2 2 9" xfId="39961"/>
    <cellStyle name="Output 2 2 2 3" xfId="12096"/>
    <cellStyle name="Output 2 2 2 3 2" xfId="41821"/>
    <cellStyle name="Output 2 2 2 3 3" xfId="39100"/>
    <cellStyle name="Output 2 2 2 3 4" xfId="29755"/>
    <cellStyle name="Output 2 2 2 3 5" xfId="53375"/>
    <cellStyle name="Output 2 2 2 4" xfId="19532"/>
    <cellStyle name="Output 2 2 2 4 2" xfId="45054"/>
    <cellStyle name="Output 2 2 2 4 3" xfId="48960"/>
    <cellStyle name="Output 2 2 2 4 4" xfId="37062"/>
    <cellStyle name="Output 2 2 2 5" xfId="53269"/>
    <cellStyle name="Output 2 2 3" xfId="3252"/>
    <cellStyle name="Output 2 2 3 2" xfId="7465"/>
    <cellStyle name="Output 2 2 3 2 10" xfId="43392"/>
    <cellStyle name="Output 2 2 3 2 11" xfId="53272"/>
    <cellStyle name="Output 2 2 3 2 2" xfId="10735"/>
    <cellStyle name="Output 2 2 3 2 2 2" xfId="18522"/>
    <cellStyle name="Output 2 2 3 2 2 2 2" xfId="44054"/>
    <cellStyle name="Output 2 2 3 2 2 2 3" xfId="47963"/>
    <cellStyle name="Output 2 2 3 2 2 2 4" xfId="36145"/>
    <cellStyle name="Output 2 2 3 2 2 3" xfId="19722"/>
    <cellStyle name="Output 2 2 3 2 2 3 2" xfId="45244"/>
    <cellStyle name="Output 2 2 3 2 2 3 3" xfId="49150"/>
    <cellStyle name="Output 2 2 3 2 2 3 4" xfId="37235"/>
    <cellStyle name="Output 2 2 3 2 2 4" xfId="11548"/>
    <cellStyle name="Output 2 2 3 2 2 4 2" xfId="41539"/>
    <cellStyle name="Output 2 2 3 2 2 4 3" xfId="40184"/>
    <cellStyle name="Output 2 2 3 2 2 4 4" xfId="29246"/>
    <cellStyle name="Output 2 2 3 2 2 5" xfId="20935"/>
    <cellStyle name="Output 2 2 3 2 2 5 2" xfId="46457"/>
    <cellStyle name="Output 2 2 3 2 2 5 3" xfId="50363"/>
    <cellStyle name="Output 2 2 3 2 2 5 4" xfId="38327"/>
    <cellStyle name="Output 2 2 3 2 2 6" xfId="21588"/>
    <cellStyle name="Output 2 2 3 2 2 6 2" xfId="47110"/>
    <cellStyle name="Output 2 2 3 2 2 6 3" xfId="51016"/>
    <cellStyle name="Output 2 2 3 2 2 7" xfId="40913"/>
    <cellStyle name="Output 2 2 3 2 2 8" xfId="42576"/>
    <cellStyle name="Output 2 2 3 2 2 9" xfId="53378"/>
    <cellStyle name="Output 2 2 3 2 3" xfId="11030"/>
    <cellStyle name="Output 2 2 3 2 3 2" xfId="18817"/>
    <cellStyle name="Output 2 2 3 2 3 2 2" xfId="44349"/>
    <cellStyle name="Output 2 2 3 2 3 2 3" xfId="48258"/>
    <cellStyle name="Output 2 2 3 2 3 2 4" xfId="36440"/>
    <cellStyle name="Output 2 2 3 2 3 3" xfId="20410"/>
    <cellStyle name="Output 2 2 3 2 3 3 2" xfId="45932"/>
    <cellStyle name="Output 2 2 3 2 3 3 3" xfId="49838"/>
    <cellStyle name="Output 2 2 3 2 3 3 4" xfId="37850"/>
    <cellStyle name="Output 2 2 3 2 3 4" xfId="20554"/>
    <cellStyle name="Output 2 2 3 2 3 4 2" xfId="46076"/>
    <cellStyle name="Output 2 2 3 2 3 4 3" xfId="49982"/>
    <cellStyle name="Output 2 2 3 2 3 4 4" xfId="37967"/>
    <cellStyle name="Output 2 2 3 2 3 5" xfId="21230"/>
    <cellStyle name="Output 2 2 3 2 3 5 2" xfId="46752"/>
    <cellStyle name="Output 2 2 3 2 3 5 3" xfId="50658"/>
    <cellStyle name="Output 2 2 3 2 3 5 4" xfId="38622"/>
    <cellStyle name="Output 2 2 3 2 3 6" xfId="21883"/>
    <cellStyle name="Output 2 2 3 2 3 6 2" xfId="47405"/>
    <cellStyle name="Output 2 2 3 2 3 6 3" xfId="51311"/>
    <cellStyle name="Output 2 2 3 2 3 7" xfId="41208"/>
    <cellStyle name="Output 2 2 3 2 3 8" xfId="43588"/>
    <cellStyle name="Output 2 2 3 2 4" xfId="15247"/>
    <cellStyle name="Output 2 2 3 2 4 2" xfId="43102"/>
    <cellStyle name="Output 2 2 3 2 4 3" xfId="41256"/>
    <cellStyle name="Output 2 2 3 2 4 4" xfId="32868"/>
    <cellStyle name="Output 2 2 3 2 5" xfId="19947"/>
    <cellStyle name="Output 2 2 3 2 5 2" xfId="45469"/>
    <cellStyle name="Output 2 2 3 2 5 3" xfId="49375"/>
    <cellStyle name="Output 2 2 3 2 5 4" xfId="37438"/>
    <cellStyle name="Output 2 2 3 2 6" xfId="20376"/>
    <cellStyle name="Output 2 2 3 2 6 2" xfId="45898"/>
    <cellStyle name="Output 2 2 3 2 6 3" xfId="49804"/>
    <cellStyle name="Output 2 2 3 2 6 4" xfId="37816"/>
    <cellStyle name="Output 2 2 3 2 7" xfId="19236"/>
    <cellStyle name="Output 2 2 3 2 7 2" xfId="44758"/>
    <cellStyle name="Output 2 2 3 2 7 3" xfId="48664"/>
    <cellStyle name="Output 2 2 3 2 7 4" xfId="36800"/>
    <cellStyle name="Output 2 2 3 2 8" xfId="12676"/>
    <cellStyle name="Output 2 2 3 2 8 2" xfId="42136"/>
    <cellStyle name="Output 2 2 3 2 8 3" xfId="43304"/>
    <cellStyle name="Output 2 2 3 2 9" xfId="39962"/>
    <cellStyle name="Output 2 2 3 3" xfId="12097"/>
    <cellStyle name="Output 2 2 3 3 2" xfId="41822"/>
    <cellStyle name="Output 2 2 3 3 3" xfId="39300"/>
    <cellStyle name="Output 2 2 3 3 4" xfId="29756"/>
    <cellStyle name="Output 2 2 3 3 5" xfId="53377"/>
    <cellStyle name="Output 2 2 3 4" xfId="20099"/>
    <cellStyle name="Output 2 2 3 4 2" xfId="45621"/>
    <cellStyle name="Output 2 2 3 4 3" xfId="49527"/>
    <cellStyle name="Output 2 2 3 4 4" xfId="37573"/>
    <cellStyle name="Output 2 2 3 5" xfId="23008"/>
    <cellStyle name="Output 2 2 3 5 2" xfId="47600"/>
    <cellStyle name="Output 2 2 3 5 3" xfId="51411"/>
    <cellStyle name="Output 2 2 3 6" xfId="53271"/>
    <cellStyle name="Output 2 2 4" xfId="5311"/>
    <cellStyle name="Output 2 2 4 2" xfId="7466"/>
    <cellStyle name="Output 2 2 4 2 10" xfId="40254"/>
    <cellStyle name="Output 2 2 4 2 11" xfId="53274"/>
    <cellStyle name="Output 2 2 4 2 2" xfId="10736"/>
    <cellStyle name="Output 2 2 4 2 2 2" xfId="18523"/>
    <cellStyle name="Output 2 2 4 2 2 2 2" xfId="44055"/>
    <cellStyle name="Output 2 2 4 2 2 2 3" xfId="47964"/>
    <cellStyle name="Output 2 2 4 2 2 2 4" xfId="36146"/>
    <cellStyle name="Output 2 2 4 2 2 3" xfId="12624"/>
    <cellStyle name="Output 2 2 4 2 2 3 2" xfId="42084"/>
    <cellStyle name="Output 2 2 4 2 2 3 3" xfId="43560"/>
    <cellStyle name="Output 2 2 4 2 2 3 4" xfId="30275"/>
    <cellStyle name="Output 2 2 4 2 2 4" xfId="18969"/>
    <cellStyle name="Output 2 2 4 2 2 4 2" xfId="44491"/>
    <cellStyle name="Output 2 2 4 2 2 4 3" xfId="48397"/>
    <cellStyle name="Output 2 2 4 2 2 4 4" xfId="36579"/>
    <cellStyle name="Output 2 2 4 2 2 5" xfId="20936"/>
    <cellStyle name="Output 2 2 4 2 2 5 2" xfId="46458"/>
    <cellStyle name="Output 2 2 4 2 2 5 3" xfId="50364"/>
    <cellStyle name="Output 2 2 4 2 2 5 4" xfId="38328"/>
    <cellStyle name="Output 2 2 4 2 2 6" xfId="21589"/>
    <cellStyle name="Output 2 2 4 2 2 6 2" xfId="47111"/>
    <cellStyle name="Output 2 2 4 2 2 6 3" xfId="51017"/>
    <cellStyle name="Output 2 2 4 2 2 7" xfId="40914"/>
    <cellStyle name="Output 2 2 4 2 2 8" xfId="43489"/>
    <cellStyle name="Output 2 2 4 2 2 9" xfId="53380"/>
    <cellStyle name="Output 2 2 4 2 3" xfId="11031"/>
    <cellStyle name="Output 2 2 4 2 3 2" xfId="18818"/>
    <cellStyle name="Output 2 2 4 2 3 2 2" xfId="44350"/>
    <cellStyle name="Output 2 2 4 2 3 2 3" xfId="48259"/>
    <cellStyle name="Output 2 2 4 2 3 2 4" xfId="36441"/>
    <cellStyle name="Output 2 2 4 2 3 3" xfId="20411"/>
    <cellStyle name="Output 2 2 4 2 3 3 2" xfId="45933"/>
    <cellStyle name="Output 2 2 4 2 3 3 3" xfId="49839"/>
    <cellStyle name="Output 2 2 4 2 3 3 4" xfId="37851"/>
    <cellStyle name="Output 2 2 4 2 3 4" xfId="20555"/>
    <cellStyle name="Output 2 2 4 2 3 4 2" xfId="46077"/>
    <cellStyle name="Output 2 2 4 2 3 4 3" xfId="49983"/>
    <cellStyle name="Output 2 2 4 2 3 4 4" xfId="37968"/>
    <cellStyle name="Output 2 2 4 2 3 5" xfId="21231"/>
    <cellStyle name="Output 2 2 4 2 3 5 2" xfId="46753"/>
    <cellStyle name="Output 2 2 4 2 3 5 3" xfId="50659"/>
    <cellStyle name="Output 2 2 4 2 3 5 4" xfId="38623"/>
    <cellStyle name="Output 2 2 4 2 3 6" xfId="21884"/>
    <cellStyle name="Output 2 2 4 2 3 6 2" xfId="47406"/>
    <cellStyle name="Output 2 2 4 2 3 6 3" xfId="51312"/>
    <cellStyle name="Output 2 2 4 2 3 7" xfId="41209"/>
    <cellStyle name="Output 2 2 4 2 3 8" xfId="40446"/>
    <cellStyle name="Output 2 2 4 2 4" xfId="15248"/>
    <cellStyle name="Output 2 2 4 2 4 2" xfId="43103"/>
    <cellStyle name="Output 2 2 4 2 4 3" xfId="43149"/>
    <cellStyle name="Output 2 2 4 2 4 4" xfId="32869"/>
    <cellStyle name="Output 2 2 4 2 5" xfId="19180"/>
    <cellStyle name="Output 2 2 4 2 5 2" xfId="44702"/>
    <cellStyle name="Output 2 2 4 2 5 3" xfId="48608"/>
    <cellStyle name="Output 2 2 4 2 5 4" xfId="36753"/>
    <cellStyle name="Output 2 2 4 2 6" xfId="12662"/>
    <cellStyle name="Output 2 2 4 2 6 2" xfId="42122"/>
    <cellStyle name="Output 2 2 4 2 6 3" xfId="39630"/>
    <cellStyle name="Output 2 2 4 2 6 4" xfId="30312"/>
    <cellStyle name="Output 2 2 4 2 7" xfId="11683"/>
    <cellStyle name="Output 2 2 4 2 7 2" xfId="41670"/>
    <cellStyle name="Output 2 2 4 2 7 3" xfId="40532"/>
    <cellStyle name="Output 2 2 4 2 7 4" xfId="29362"/>
    <cellStyle name="Output 2 2 4 2 8" xfId="11708"/>
    <cellStyle name="Output 2 2 4 2 8 2" xfId="41682"/>
    <cellStyle name="Output 2 2 4 2 8 3" xfId="43567"/>
    <cellStyle name="Output 2 2 4 2 9" xfId="39963"/>
    <cellStyle name="Output 2 2 4 3" xfId="13272"/>
    <cellStyle name="Output 2 2 4 3 2" xfId="42423"/>
    <cellStyle name="Output 2 2 4 3 3" xfId="43653"/>
    <cellStyle name="Output 2 2 4 3 4" xfId="30903"/>
    <cellStyle name="Output 2 2 4 3 5" xfId="53379"/>
    <cellStyle name="Output 2 2 4 4" xfId="11725"/>
    <cellStyle name="Output 2 2 4 4 2" xfId="41691"/>
    <cellStyle name="Output 2 2 4 4 3" xfId="42785"/>
    <cellStyle name="Output 2 2 4 4 4" xfId="29398"/>
    <cellStyle name="Output 2 2 4 5" xfId="22605"/>
    <cellStyle name="Output 2 2 4 5 2" xfId="47532"/>
    <cellStyle name="Output 2 2 4 5 3" xfId="51381"/>
    <cellStyle name="Output 2 2 4 6" xfId="53273"/>
    <cellStyle name="Output 2 2 5" xfId="5312"/>
    <cellStyle name="Output 2 2 5 2" xfId="10471"/>
    <cellStyle name="Output 2 2 5 2 2" xfId="18258"/>
    <cellStyle name="Output 2 2 5 2 2 2" xfId="43790"/>
    <cellStyle name="Output 2 2 5 2 2 3" xfId="47699"/>
    <cellStyle name="Output 2 2 5 2 2 4" xfId="35881"/>
    <cellStyle name="Output 2 2 5 2 3" xfId="19298"/>
    <cellStyle name="Output 2 2 5 2 3 2" xfId="44820"/>
    <cellStyle name="Output 2 2 5 2 3 3" xfId="48726"/>
    <cellStyle name="Output 2 2 5 2 3 4" xfId="36862"/>
    <cellStyle name="Output 2 2 5 2 4" xfId="18917"/>
    <cellStyle name="Output 2 2 5 2 4 2" xfId="44439"/>
    <cellStyle name="Output 2 2 5 2 4 3" xfId="48345"/>
    <cellStyle name="Output 2 2 5 2 4 4" xfId="36531"/>
    <cellStyle name="Output 2 2 5 2 5" xfId="20671"/>
    <cellStyle name="Output 2 2 5 2 5 2" xfId="46193"/>
    <cellStyle name="Output 2 2 5 2 5 3" xfId="50099"/>
    <cellStyle name="Output 2 2 5 2 5 4" xfId="38063"/>
    <cellStyle name="Output 2 2 5 2 6" xfId="21324"/>
    <cellStyle name="Output 2 2 5 2 6 2" xfId="46846"/>
    <cellStyle name="Output 2 2 5 2 6 3" xfId="50752"/>
    <cellStyle name="Output 2 2 5 2 7" xfId="40649"/>
    <cellStyle name="Output 2 2 5 2 8" xfId="40235"/>
    <cellStyle name="Output 2 2 5 2 9" xfId="53381"/>
    <cellStyle name="Output 2 2 5 3" xfId="8797"/>
    <cellStyle name="Output 2 2 5 3 2" xfId="16587"/>
    <cellStyle name="Output 2 2 5 3 2 2" xfId="43412"/>
    <cellStyle name="Output 2 2 5 3 2 3" xfId="40489"/>
    <cellStyle name="Output 2 2 5 3 2 4" xfId="34208"/>
    <cellStyle name="Output 2 2 5 3 3" xfId="20196"/>
    <cellStyle name="Output 2 2 5 3 3 2" xfId="45718"/>
    <cellStyle name="Output 2 2 5 3 3 3" xfId="49624"/>
    <cellStyle name="Output 2 2 5 3 3 4" xfId="37661"/>
    <cellStyle name="Output 2 2 5 3 4" xfId="20452"/>
    <cellStyle name="Output 2 2 5 3 4 2" xfId="45974"/>
    <cellStyle name="Output 2 2 5 3 4 3" xfId="49880"/>
    <cellStyle name="Output 2 2 5 3 4 4" xfId="37891"/>
    <cellStyle name="Output 2 2 5 3 5" xfId="20223"/>
    <cellStyle name="Output 2 2 5 3 5 2" xfId="45745"/>
    <cellStyle name="Output 2 2 5 3 5 3" xfId="49651"/>
    <cellStyle name="Output 2 2 5 3 5 4" xfId="37682"/>
    <cellStyle name="Output 2 2 5 3 6" xfId="20493"/>
    <cellStyle name="Output 2 2 5 3 6 2" xfId="46015"/>
    <cellStyle name="Output 2 2 5 3 6 3" xfId="49921"/>
    <cellStyle name="Output 2 2 5 3 7" xfId="40274"/>
    <cellStyle name="Output 2 2 5 3 8" xfId="39185"/>
    <cellStyle name="Output 2 2 5 4" xfId="13273"/>
    <cellStyle name="Output 2 2 5 4 2" xfId="42424"/>
    <cellStyle name="Output 2 2 5 4 3" xfId="40512"/>
    <cellStyle name="Output 2 2 5 4 4" xfId="30904"/>
    <cellStyle name="Output 2 2 5 5" xfId="20359"/>
    <cellStyle name="Output 2 2 5 5 2" xfId="45881"/>
    <cellStyle name="Output 2 2 5 5 3" xfId="49787"/>
    <cellStyle name="Output 2 2 5 5 4" xfId="37801"/>
    <cellStyle name="Output 2 2 5 6" xfId="53275"/>
    <cellStyle name="Output 2 2 6" xfId="7463"/>
    <cellStyle name="Output 2 2 6 10" xfId="47598"/>
    <cellStyle name="Output 2 2 6 11" xfId="53374"/>
    <cellStyle name="Output 2 2 6 2" xfId="10733"/>
    <cellStyle name="Output 2 2 6 2 2" xfId="18520"/>
    <cellStyle name="Output 2 2 6 2 2 2" xfId="44052"/>
    <cellStyle name="Output 2 2 6 2 2 3" xfId="47961"/>
    <cellStyle name="Output 2 2 6 2 2 4" xfId="36143"/>
    <cellStyle name="Output 2 2 6 2 3" xfId="19883"/>
    <cellStyle name="Output 2 2 6 2 3 2" xfId="45405"/>
    <cellStyle name="Output 2 2 6 2 3 3" xfId="49311"/>
    <cellStyle name="Output 2 2 6 2 3 4" xfId="37383"/>
    <cellStyle name="Output 2 2 6 2 4" xfId="11461"/>
    <cellStyle name="Output 2 2 6 2 4 2" xfId="41452"/>
    <cellStyle name="Output 2 2 6 2 4 3" xfId="39329"/>
    <cellStyle name="Output 2 2 6 2 4 4" xfId="29164"/>
    <cellStyle name="Output 2 2 6 2 5" xfId="20933"/>
    <cellStyle name="Output 2 2 6 2 5 2" xfId="46455"/>
    <cellStyle name="Output 2 2 6 2 5 3" xfId="50361"/>
    <cellStyle name="Output 2 2 6 2 5 4" xfId="38325"/>
    <cellStyle name="Output 2 2 6 2 6" xfId="21586"/>
    <cellStyle name="Output 2 2 6 2 6 2" xfId="47108"/>
    <cellStyle name="Output 2 2 6 2 6 3" xfId="51014"/>
    <cellStyle name="Output 2 2 6 2 7" xfId="40911"/>
    <cellStyle name="Output 2 2 6 2 8" xfId="40458"/>
    <cellStyle name="Output 2 2 6 3" xfId="11028"/>
    <cellStyle name="Output 2 2 6 3 2" xfId="18815"/>
    <cellStyle name="Output 2 2 6 3 2 2" xfId="44347"/>
    <cellStyle name="Output 2 2 6 3 2 3" xfId="48256"/>
    <cellStyle name="Output 2 2 6 3 2 4" xfId="36438"/>
    <cellStyle name="Output 2 2 6 3 3" xfId="20408"/>
    <cellStyle name="Output 2 2 6 3 3 2" xfId="45930"/>
    <cellStyle name="Output 2 2 6 3 3 3" xfId="49836"/>
    <cellStyle name="Output 2 2 6 3 3 4" xfId="37848"/>
    <cellStyle name="Output 2 2 6 3 4" xfId="20552"/>
    <cellStyle name="Output 2 2 6 3 4 2" xfId="46074"/>
    <cellStyle name="Output 2 2 6 3 4 3" xfId="49980"/>
    <cellStyle name="Output 2 2 6 3 4 4" xfId="37965"/>
    <cellStyle name="Output 2 2 6 3 5" xfId="21228"/>
    <cellStyle name="Output 2 2 6 3 5 2" xfId="46750"/>
    <cellStyle name="Output 2 2 6 3 5 3" xfId="50656"/>
    <cellStyle name="Output 2 2 6 3 5 4" xfId="38620"/>
    <cellStyle name="Output 2 2 6 3 6" xfId="21881"/>
    <cellStyle name="Output 2 2 6 3 6 2" xfId="47403"/>
    <cellStyle name="Output 2 2 6 3 6 3" xfId="51309"/>
    <cellStyle name="Output 2 2 6 3 7" xfId="41206"/>
    <cellStyle name="Output 2 2 6 3 8" xfId="39662"/>
    <cellStyle name="Output 2 2 6 4" xfId="15245"/>
    <cellStyle name="Output 2 2 6 4 2" xfId="43100"/>
    <cellStyle name="Output 2 2 6 4 3" xfId="39398"/>
    <cellStyle name="Output 2 2 6 4 4" xfId="32866"/>
    <cellStyle name="Output 2 2 6 5" xfId="20076"/>
    <cellStyle name="Output 2 2 6 5 2" xfId="45598"/>
    <cellStyle name="Output 2 2 6 5 3" xfId="49504"/>
    <cellStyle name="Output 2 2 6 5 4" xfId="37554"/>
    <cellStyle name="Output 2 2 6 6" xfId="19800"/>
    <cellStyle name="Output 2 2 6 6 2" xfId="45322"/>
    <cellStyle name="Output 2 2 6 6 3" xfId="49228"/>
    <cellStyle name="Output 2 2 6 6 4" xfId="37307"/>
    <cellStyle name="Output 2 2 6 7" xfId="11611"/>
    <cellStyle name="Output 2 2 6 7 2" xfId="41602"/>
    <cellStyle name="Output 2 2 6 7 3" xfId="42683"/>
    <cellStyle name="Output 2 2 6 7 4" xfId="29300"/>
    <cellStyle name="Output 2 2 6 8" xfId="19963"/>
    <cellStyle name="Output 2 2 6 8 2" xfId="45485"/>
    <cellStyle name="Output 2 2 6 8 3" xfId="49391"/>
    <cellStyle name="Output 2 2 6 9" xfId="39960"/>
    <cellStyle name="Output 2 2 7" xfId="12095"/>
    <cellStyle name="Output 2 2 7 2" xfId="41820"/>
    <cellStyle name="Output 2 2 7 3" xfId="39101"/>
    <cellStyle name="Output 2 2 7 4" xfId="29754"/>
    <cellStyle name="Output 2 2 8" xfId="20233"/>
    <cellStyle name="Output 2 2 8 2" xfId="45755"/>
    <cellStyle name="Output 2 2 8 3" xfId="49661"/>
    <cellStyle name="Output 2 2 8 4" xfId="37691"/>
    <cellStyle name="Output 2 2 9" xfId="53268"/>
    <cellStyle name="Output 2 2_Sheet1" xfId="3253"/>
    <cellStyle name="Output 2 20" xfId="19966"/>
    <cellStyle name="Output 2 20 2" xfId="45488"/>
    <cellStyle name="Output 2 20 3" xfId="49394"/>
    <cellStyle name="Output 2 20 4" xfId="37454"/>
    <cellStyle name="Output 2 21" xfId="3244"/>
    <cellStyle name="Output 2 22" xfId="52737"/>
    <cellStyle name="Output 2 23" xfId="52745"/>
    <cellStyle name="Output 2 24" xfId="52733"/>
    <cellStyle name="Output 2 25" xfId="52709"/>
    <cellStyle name="Output 2 26" xfId="52732"/>
    <cellStyle name="Output 2 27" xfId="52744"/>
    <cellStyle name="Output 2 28" xfId="52731"/>
    <cellStyle name="Output 2 29" xfId="52746"/>
    <cellStyle name="Output 2 3" xfId="3254"/>
    <cellStyle name="Output 2 3 2" xfId="7467"/>
    <cellStyle name="Output 2 3 2 10" xfId="39381"/>
    <cellStyle name="Output 2 3 2 11" xfId="53277"/>
    <cellStyle name="Output 2 3 2 2" xfId="10737"/>
    <cellStyle name="Output 2 3 2 2 2" xfId="18524"/>
    <cellStyle name="Output 2 3 2 2 2 2" xfId="44056"/>
    <cellStyle name="Output 2 3 2 2 2 3" xfId="47965"/>
    <cellStyle name="Output 2 3 2 2 2 4" xfId="36147"/>
    <cellStyle name="Output 2 3 2 2 3" xfId="13322"/>
    <cellStyle name="Output 2 3 2 2 3 2" xfId="42473"/>
    <cellStyle name="Output 2 3 2 2 3 3" xfId="39258"/>
    <cellStyle name="Output 2 3 2 2 3 4" xfId="30948"/>
    <cellStyle name="Output 2 3 2 2 4" xfId="18941"/>
    <cellStyle name="Output 2 3 2 2 4 2" xfId="44463"/>
    <cellStyle name="Output 2 3 2 2 4 3" xfId="48369"/>
    <cellStyle name="Output 2 3 2 2 4 4" xfId="36553"/>
    <cellStyle name="Output 2 3 2 2 5" xfId="20937"/>
    <cellStyle name="Output 2 3 2 2 5 2" xfId="46459"/>
    <cellStyle name="Output 2 3 2 2 5 3" xfId="50365"/>
    <cellStyle name="Output 2 3 2 2 5 4" xfId="38329"/>
    <cellStyle name="Output 2 3 2 2 6" xfId="21590"/>
    <cellStyle name="Output 2 3 2 2 6 2" xfId="47112"/>
    <cellStyle name="Output 2 3 2 2 6 3" xfId="51018"/>
    <cellStyle name="Output 2 3 2 2 7" xfId="40915"/>
    <cellStyle name="Output 2 3 2 2 8" xfId="40352"/>
    <cellStyle name="Output 2 3 2 2 9" xfId="53383"/>
    <cellStyle name="Output 2 3 2 3" xfId="11032"/>
    <cellStyle name="Output 2 3 2 3 2" xfId="18819"/>
    <cellStyle name="Output 2 3 2 3 2 2" xfId="44351"/>
    <cellStyle name="Output 2 3 2 3 2 3" xfId="48260"/>
    <cellStyle name="Output 2 3 2 3 2 4" xfId="36442"/>
    <cellStyle name="Output 2 3 2 3 3" xfId="20412"/>
    <cellStyle name="Output 2 3 2 3 3 2" xfId="45934"/>
    <cellStyle name="Output 2 3 2 3 3 3" xfId="49840"/>
    <cellStyle name="Output 2 3 2 3 3 4" xfId="37852"/>
    <cellStyle name="Output 2 3 2 3 4" xfId="20556"/>
    <cellStyle name="Output 2 3 2 3 4 2" xfId="46078"/>
    <cellStyle name="Output 2 3 2 3 4 3" xfId="49984"/>
    <cellStyle name="Output 2 3 2 3 4 4" xfId="37969"/>
    <cellStyle name="Output 2 3 2 3 5" xfId="21232"/>
    <cellStyle name="Output 2 3 2 3 5 2" xfId="46754"/>
    <cellStyle name="Output 2 3 2 3 5 3" xfId="50660"/>
    <cellStyle name="Output 2 3 2 3 5 4" xfId="38624"/>
    <cellStyle name="Output 2 3 2 3 6" xfId="21885"/>
    <cellStyle name="Output 2 3 2 3 6 2" xfId="47407"/>
    <cellStyle name="Output 2 3 2 3 6 3" xfId="51313"/>
    <cellStyle name="Output 2 3 2 3 7" xfId="41210"/>
    <cellStyle name="Output 2 3 2 3 8" xfId="39556"/>
    <cellStyle name="Output 2 3 2 4" xfId="15249"/>
    <cellStyle name="Output 2 3 2 4 2" xfId="43104"/>
    <cellStyle name="Output 2 3 2 4 3" xfId="40008"/>
    <cellStyle name="Output 2 3 2 4 4" xfId="32870"/>
    <cellStyle name="Output 2 3 2 5" xfId="19804"/>
    <cellStyle name="Output 2 3 2 5 2" xfId="45326"/>
    <cellStyle name="Output 2 3 2 5 3" xfId="49232"/>
    <cellStyle name="Output 2 3 2 5 4" xfId="37311"/>
    <cellStyle name="Output 2 3 2 6" xfId="19324"/>
    <cellStyle name="Output 2 3 2 6 2" xfId="44846"/>
    <cellStyle name="Output 2 3 2 6 3" xfId="48752"/>
    <cellStyle name="Output 2 3 2 6 4" xfId="36882"/>
    <cellStyle name="Output 2 3 2 7" xfId="19549"/>
    <cellStyle name="Output 2 3 2 7 2" xfId="45071"/>
    <cellStyle name="Output 2 3 2 7 3" xfId="48977"/>
    <cellStyle name="Output 2 3 2 7 4" xfId="37076"/>
    <cellStyle name="Output 2 3 2 8" xfId="20044"/>
    <cellStyle name="Output 2 3 2 8 2" xfId="45566"/>
    <cellStyle name="Output 2 3 2 8 3" xfId="49472"/>
    <cellStyle name="Output 2 3 2 9" xfId="39964"/>
    <cellStyle name="Output 2 3 3" xfId="12098"/>
    <cellStyle name="Output 2 3 3 2" xfId="41823"/>
    <cellStyle name="Output 2 3 3 3" xfId="39299"/>
    <cellStyle name="Output 2 3 3 4" xfId="29757"/>
    <cellStyle name="Output 2 3 3 5" xfId="53382"/>
    <cellStyle name="Output 2 3 4" xfId="19965"/>
    <cellStyle name="Output 2 3 4 2" xfId="45487"/>
    <cellStyle name="Output 2 3 4 3" xfId="49393"/>
    <cellStyle name="Output 2 3 4 4" xfId="37453"/>
    <cellStyle name="Output 2 3 5" xfId="53276"/>
    <cellStyle name="Output 2 30" xfId="52802"/>
    <cellStyle name="Output 2 31" xfId="52756"/>
    <cellStyle name="Output 2 32" xfId="52803"/>
    <cellStyle name="Output 2 33" xfId="52757"/>
    <cellStyle name="Output 2 34" xfId="52800"/>
    <cellStyle name="Output 2 35" xfId="52755"/>
    <cellStyle name="Output 2 36" xfId="52797"/>
    <cellStyle name="Output 2 37" xfId="52758"/>
    <cellStyle name="Output 2 38" xfId="52798"/>
    <cellStyle name="Output 2 39" xfId="52760"/>
    <cellStyle name="Output 2 4" xfId="3255"/>
    <cellStyle name="Output 2 4 2" xfId="7468"/>
    <cellStyle name="Output 2 4 2 10" xfId="39210"/>
    <cellStyle name="Output 2 4 2 11" xfId="53279"/>
    <cellStyle name="Output 2 4 2 2" xfId="10738"/>
    <cellStyle name="Output 2 4 2 2 2" xfId="18525"/>
    <cellStyle name="Output 2 4 2 2 2 2" xfId="44057"/>
    <cellStyle name="Output 2 4 2 2 2 3" xfId="47966"/>
    <cellStyle name="Output 2 4 2 2 2 4" xfId="36148"/>
    <cellStyle name="Output 2 4 2 2 3" xfId="12157"/>
    <cellStyle name="Output 2 4 2 2 3 2" xfId="41882"/>
    <cellStyle name="Output 2 4 2 2 3 3" xfId="42543"/>
    <cellStyle name="Output 2 4 2 2 3 4" xfId="29815"/>
    <cellStyle name="Output 2 4 2 2 4" xfId="20350"/>
    <cellStyle name="Output 2 4 2 2 4 2" xfId="45872"/>
    <cellStyle name="Output 2 4 2 2 4 3" xfId="49778"/>
    <cellStyle name="Output 2 4 2 2 4 4" xfId="37792"/>
    <cellStyle name="Output 2 4 2 2 5" xfId="20938"/>
    <cellStyle name="Output 2 4 2 2 5 2" xfId="46460"/>
    <cellStyle name="Output 2 4 2 2 5 3" xfId="50366"/>
    <cellStyle name="Output 2 4 2 2 5 4" xfId="38330"/>
    <cellStyle name="Output 2 4 2 2 6" xfId="21591"/>
    <cellStyle name="Output 2 4 2 2 6 2" xfId="47113"/>
    <cellStyle name="Output 2 4 2 2 6 3" xfId="51019"/>
    <cellStyle name="Output 2 4 2 2 7" xfId="40916"/>
    <cellStyle name="Output 2 4 2 2 8" xfId="39464"/>
    <cellStyle name="Output 2 4 2 2 9" xfId="53385"/>
    <cellStyle name="Output 2 4 2 3" xfId="11033"/>
    <cellStyle name="Output 2 4 2 3 2" xfId="18820"/>
    <cellStyle name="Output 2 4 2 3 2 2" xfId="44352"/>
    <cellStyle name="Output 2 4 2 3 2 3" xfId="48261"/>
    <cellStyle name="Output 2 4 2 3 2 4" xfId="36443"/>
    <cellStyle name="Output 2 4 2 3 3" xfId="20413"/>
    <cellStyle name="Output 2 4 2 3 3 2" xfId="45935"/>
    <cellStyle name="Output 2 4 2 3 3 3" xfId="49841"/>
    <cellStyle name="Output 2 4 2 3 3 4" xfId="37853"/>
    <cellStyle name="Output 2 4 2 3 4" xfId="20557"/>
    <cellStyle name="Output 2 4 2 3 4 2" xfId="46079"/>
    <cellStyle name="Output 2 4 2 3 4 3" xfId="49985"/>
    <cellStyle name="Output 2 4 2 3 4 4" xfId="37970"/>
    <cellStyle name="Output 2 4 2 3 5" xfId="21233"/>
    <cellStyle name="Output 2 4 2 3 5 2" xfId="46755"/>
    <cellStyle name="Output 2 4 2 3 5 3" xfId="50661"/>
    <cellStyle name="Output 2 4 2 3 5 4" xfId="38625"/>
    <cellStyle name="Output 2 4 2 3 6" xfId="21886"/>
    <cellStyle name="Output 2 4 2 3 6 2" xfId="47408"/>
    <cellStyle name="Output 2 4 2 3 6 3" xfId="51314"/>
    <cellStyle name="Output 2 4 2 3 7" xfId="41211"/>
    <cellStyle name="Output 2 4 2 3 8" xfId="42564"/>
    <cellStyle name="Output 2 4 2 4" xfId="15250"/>
    <cellStyle name="Output 2 4 2 4 2" xfId="43105"/>
    <cellStyle name="Output 2 4 2 4 3" xfId="42748"/>
    <cellStyle name="Output 2 4 2 4 4" xfId="32871"/>
    <cellStyle name="Output 2 4 2 5" xfId="11360"/>
    <cellStyle name="Output 2 4 2 5 2" xfId="41376"/>
    <cellStyle name="Output 2 4 2 5 3" xfId="43580"/>
    <cellStyle name="Output 2 4 2 5 4" xfId="29069"/>
    <cellStyle name="Output 2 4 2 6" xfId="12670"/>
    <cellStyle name="Output 2 4 2 6 2" xfId="42130"/>
    <cellStyle name="Output 2 4 2 6 3" xfId="39423"/>
    <cellStyle name="Output 2 4 2 6 4" xfId="30318"/>
    <cellStyle name="Output 2 4 2 7" xfId="20487"/>
    <cellStyle name="Output 2 4 2 7 2" xfId="46009"/>
    <cellStyle name="Output 2 4 2 7 3" xfId="49915"/>
    <cellStyle name="Output 2 4 2 7 4" xfId="37917"/>
    <cellStyle name="Output 2 4 2 8" xfId="19480"/>
    <cellStyle name="Output 2 4 2 8 2" xfId="45002"/>
    <cellStyle name="Output 2 4 2 8 3" xfId="48908"/>
    <cellStyle name="Output 2 4 2 9" xfId="39965"/>
    <cellStyle name="Output 2 4 3" xfId="12099"/>
    <cellStyle name="Output 2 4 3 2" xfId="41824"/>
    <cellStyle name="Output 2 4 3 3" xfId="39099"/>
    <cellStyle name="Output 2 4 3 4" xfId="29758"/>
    <cellStyle name="Output 2 4 3 5" xfId="53384"/>
    <cellStyle name="Output 2 4 4" xfId="19200"/>
    <cellStyle name="Output 2 4 4 2" xfId="44722"/>
    <cellStyle name="Output 2 4 4 3" xfId="48628"/>
    <cellStyle name="Output 2 4 4 4" xfId="36771"/>
    <cellStyle name="Output 2 4 5" xfId="53278"/>
    <cellStyle name="Output 2 40" xfId="52799"/>
    <cellStyle name="Output 2 41" xfId="52761"/>
    <cellStyle name="Output 2 42" xfId="52801"/>
    <cellStyle name="Output 2 43" xfId="52805"/>
    <cellStyle name="Output 2 44" xfId="52818"/>
    <cellStyle name="Output 2 45" xfId="52815"/>
    <cellStyle name="Output 2 46" xfId="52819"/>
    <cellStyle name="Output 2 47" xfId="52860"/>
    <cellStyle name="Output 2 48" xfId="52822"/>
    <cellStyle name="Output 2 49" xfId="52859"/>
    <cellStyle name="Output 2 5" xfId="3256"/>
    <cellStyle name="Output 2 5 2" xfId="7469"/>
    <cellStyle name="Output 2 5 2 10" xfId="47449"/>
    <cellStyle name="Output 2 5 2 11" xfId="53281"/>
    <cellStyle name="Output 2 5 2 2" xfId="10739"/>
    <cellStyle name="Output 2 5 2 2 2" xfId="18526"/>
    <cellStyle name="Output 2 5 2 2 2 2" xfId="44058"/>
    <cellStyle name="Output 2 5 2 2 2 3" xfId="47967"/>
    <cellStyle name="Output 2 5 2 2 2 4" xfId="36149"/>
    <cellStyle name="Output 2 5 2 2 3" xfId="19587"/>
    <cellStyle name="Output 2 5 2 2 3 2" xfId="45109"/>
    <cellStyle name="Output 2 5 2 2 3 3" xfId="49015"/>
    <cellStyle name="Output 2 5 2 2 3 4" xfId="37113"/>
    <cellStyle name="Output 2 5 2 2 4" xfId="19307"/>
    <cellStyle name="Output 2 5 2 2 4 2" xfId="44829"/>
    <cellStyle name="Output 2 5 2 2 4 3" xfId="48735"/>
    <cellStyle name="Output 2 5 2 2 4 4" xfId="36871"/>
    <cellStyle name="Output 2 5 2 2 5" xfId="20939"/>
    <cellStyle name="Output 2 5 2 2 5 2" xfId="46461"/>
    <cellStyle name="Output 2 5 2 2 5 3" xfId="50367"/>
    <cellStyle name="Output 2 5 2 2 5 4" xfId="38331"/>
    <cellStyle name="Output 2 5 2 2 6" xfId="21592"/>
    <cellStyle name="Output 2 5 2 2 6 2" xfId="47114"/>
    <cellStyle name="Output 2 5 2 2 6 3" xfId="51020"/>
    <cellStyle name="Output 2 5 2 2 7" xfId="40917"/>
    <cellStyle name="Output 2 5 2 2 8" xfId="42035"/>
    <cellStyle name="Output 2 5 2 2 9" xfId="53387"/>
    <cellStyle name="Output 2 5 2 3" xfId="11034"/>
    <cellStyle name="Output 2 5 2 3 2" xfId="18821"/>
    <cellStyle name="Output 2 5 2 3 2 2" xfId="44353"/>
    <cellStyle name="Output 2 5 2 3 2 3" xfId="48262"/>
    <cellStyle name="Output 2 5 2 3 2 4" xfId="36444"/>
    <cellStyle name="Output 2 5 2 3 3" xfId="20414"/>
    <cellStyle name="Output 2 5 2 3 3 2" xfId="45936"/>
    <cellStyle name="Output 2 5 2 3 3 3" xfId="49842"/>
    <cellStyle name="Output 2 5 2 3 3 4" xfId="37854"/>
    <cellStyle name="Output 2 5 2 3 4" xfId="20558"/>
    <cellStyle name="Output 2 5 2 3 4 2" xfId="46080"/>
    <cellStyle name="Output 2 5 2 3 4 3" xfId="49986"/>
    <cellStyle name="Output 2 5 2 3 4 4" xfId="37971"/>
    <cellStyle name="Output 2 5 2 3 5" xfId="21234"/>
    <cellStyle name="Output 2 5 2 3 5 2" xfId="46756"/>
    <cellStyle name="Output 2 5 2 3 5 3" xfId="50662"/>
    <cellStyle name="Output 2 5 2 3 5 4" xfId="38626"/>
    <cellStyle name="Output 2 5 2 3 6" xfId="21887"/>
    <cellStyle name="Output 2 5 2 3 6 2" xfId="47409"/>
    <cellStyle name="Output 2 5 2 3 6 3" xfId="51315"/>
    <cellStyle name="Output 2 5 2 3 7" xfId="41212"/>
    <cellStyle name="Output 2 5 2 3 8" xfId="43477"/>
    <cellStyle name="Output 2 5 2 4" xfId="15251"/>
    <cellStyle name="Output 2 5 2 4 2" xfId="43106"/>
    <cellStyle name="Output 2 5 2 4 3" xfId="43635"/>
    <cellStyle name="Output 2 5 2 4 4" xfId="32872"/>
    <cellStyle name="Output 2 5 2 5" xfId="13239"/>
    <cellStyle name="Output 2 5 2 5 2" xfId="42400"/>
    <cellStyle name="Output 2 5 2 5 3" xfId="42525"/>
    <cellStyle name="Output 2 5 2 5 4" xfId="30870"/>
    <cellStyle name="Output 2 5 2 6" xfId="19362"/>
    <cellStyle name="Output 2 5 2 6 2" xfId="44884"/>
    <cellStyle name="Output 2 5 2 6 3" xfId="48790"/>
    <cellStyle name="Output 2 5 2 6 4" xfId="36914"/>
    <cellStyle name="Output 2 5 2 7" xfId="20456"/>
    <cellStyle name="Output 2 5 2 7 2" xfId="45978"/>
    <cellStyle name="Output 2 5 2 7 3" xfId="49884"/>
    <cellStyle name="Output 2 5 2 7 4" xfId="37895"/>
    <cellStyle name="Output 2 5 2 8" xfId="11462"/>
    <cellStyle name="Output 2 5 2 8 2" xfId="41453"/>
    <cellStyle name="Output 2 5 2 8 3" xfId="42003"/>
    <cellStyle name="Output 2 5 2 9" xfId="39966"/>
    <cellStyle name="Output 2 5 3" xfId="12100"/>
    <cellStyle name="Output 2 5 3 2" xfId="41825"/>
    <cellStyle name="Output 2 5 3 3" xfId="39098"/>
    <cellStyle name="Output 2 5 3 4" xfId="29759"/>
    <cellStyle name="Output 2 5 3 5" xfId="53386"/>
    <cellStyle name="Output 2 5 4" xfId="19830"/>
    <cellStyle name="Output 2 5 4 2" xfId="45352"/>
    <cellStyle name="Output 2 5 4 3" xfId="49258"/>
    <cellStyle name="Output 2 5 4 4" xfId="37333"/>
    <cellStyle name="Output 2 5 5" xfId="53280"/>
    <cellStyle name="Output 2 50" xfId="52821"/>
    <cellStyle name="Output 2 51" xfId="52858"/>
    <cellStyle name="Output 2 52" xfId="52823"/>
    <cellStyle name="Output 2 53" xfId="52857"/>
    <cellStyle name="Output 2 54" xfId="52824"/>
    <cellStyle name="Output 2 55" xfId="52872"/>
    <cellStyle name="Output 2 56" xfId="52868"/>
    <cellStyle name="Output 2 57" xfId="52871"/>
    <cellStyle name="Output 2 58" xfId="52869"/>
    <cellStyle name="Output 2 59" xfId="52870"/>
    <cellStyle name="Output 2 6" xfId="3257"/>
    <cellStyle name="Output 2 6 2" xfId="7470"/>
    <cellStyle name="Output 2 6 2 10" xfId="41679"/>
    <cellStyle name="Output 2 6 2 11" xfId="53283"/>
    <cellStyle name="Output 2 6 2 2" xfId="10740"/>
    <cellStyle name="Output 2 6 2 2 2" xfId="18527"/>
    <cellStyle name="Output 2 6 2 2 2 2" xfId="44059"/>
    <cellStyle name="Output 2 6 2 2 2 3" xfId="47968"/>
    <cellStyle name="Output 2 6 2 2 2 4" xfId="36150"/>
    <cellStyle name="Output 2 6 2 2 3" xfId="20140"/>
    <cellStyle name="Output 2 6 2 2 3 2" xfId="45662"/>
    <cellStyle name="Output 2 6 2 2 3 3" xfId="49568"/>
    <cellStyle name="Output 2 6 2 2 3 4" xfId="37612"/>
    <cellStyle name="Output 2 6 2 2 4" xfId="19069"/>
    <cellStyle name="Output 2 6 2 2 4 2" xfId="44591"/>
    <cellStyle name="Output 2 6 2 2 4 3" xfId="48497"/>
    <cellStyle name="Output 2 6 2 2 4 4" xfId="36651"/>
    <cellStyle name="Output 2 6 2 2 5" xfId="20940"/>
    <cellStyle name="Output 2 6 2 2 5 2" xfId="46462"/>
    <cellStyle name="Output 2 6 2 2 5 3" xfId="50368"/>
    <cellStyle name="Output 2 6 2 2 5 4" xfId="38332"/>
    <cellStyle name="Output 2 6 2 2 6" xfId="21593"/>
    <cellStyle name="Output 2 6 2 2 6 2" xfId="47115"/>
    <cellStyle name="Output 2 6 2 2 6 3" xfId="51021"/>
    <cellStyle name="Output 2 6 2 2 7" xfId="40918"/>
    <cellStyle name="Output 2 6 2 2 8" xfId="43354"/>
    <cellStyle name="Output 2 6 2 2 9" xfId="53389"/>
    <cellStyle name="Output 2 6 2 3" xfId="11035"/>
    <cellStyle name="Output 2 6 2 3 2" xfId="18822"/>
    <cellStyle name="Output 2 6 2 3 2 2" xfId="44354"/>
    <cellStyle name="Output 2 6 2 3 2 3" xfId="48263"/>
    <cellStyle name="Output 2 6 2 3 2 4" xfId="36445"/>
    <cellStyle name="Output 2 6 2 3 3" xfId="20415"/>
    <cellStyle name="Output 2 6 2 3 3 2" xfId="45937"/>
    <cellStyle name="Output 2 6 2 3 3 3" xfId="49843"/>
    <cellStyle name="Output 2 6 2 3 3 4" xfId="37855"/>
    <cellStyle name="Output 2 6 2 3 4" xfId="20559"/>
    <cellStyle name="Output 2 6 2 3 4 2" xfId="46081"/>
    <cellStyle name="Output 2 6 2 3 4 3" xfId="49987"/>
    <cellStyle name="Output 2 6 2 3 4 4" xfId="37972"/>
    <cellStyle name="Output 2 6 2 3 5" xfId="21235"/>
    <cellStyle name="Output 2 6 2 3 5 2" xfId="46757"/>
    <cellStyle name="Output 2 6 2 3 5 3" xfId="50663"/>
    <cellStyle name="Output 2 6 2 3 5 4" xfId="38627"/>
    <cellStyle name="Output 2 6 2 3 6" xfId="21888"/>
    <cellStyle name="Output 2 6 2 3 6 2" xfId="47410"/>
    <cellStyle name="Output 2 6 2 3 6 3" xfId="51316"/>
    <cellStyle name="Output 2 6 2 3 7" xfId="41213"/>
    <cellStyle name="Output 2 6 2 3 8" xfId="40340"/>
    <cellStyle name="Output 2 6 2 4" xfId="15252"/>
    <cellStyle name="Output 2 6 2 4 2" xfId="43107"/>
    <cellStyle name="Output 2 6 2 4 3" xfId="40494"/>
    <cellStyle name="Output 2 6 2 4 4" xfId="32873"/>
    <cellStyle name="Output 2 6 2 5" xfId="19647"/>
    <cellStyle name="Output 2 6 2 5 2" xfId="45169"/>
    <cellStyle name="Output 2 6 2 5 3" xfId="49075"/>
    <cellStyle name="Output 2 6 2 5 4" xfId="37167"/>
    <cellStyle name="Output 2 6 2 6" xfId="19767"/>
    <cellStyle name="Output 2 6 2 6 2" xfId="45289"/>
    <cellStyle name="Output 2 6 2 6 3" xfId="49195"/>
    <cellStyle name="Output 2 6 2 6 4" xfId="37279"/>
    <cellStyle name="Output 2 6 2 7" xfId="19174"/>
    <cellStyle name="Output 2 6 2 7 2" xfId="44696"/>
    <cellStyle name="Output 2 6 2 7 3" xfId="48602"/>
    <cellStyle name="Output 2 6 2 7 4" xfId="36747"/>
    <cellStyle name="Output 2 6 2 8" xfId="19692"/>
    <cellStyle name="Output 2 6 2 8 2" xfId="45214"/>
    <cellStyle name="Output 2 6 2 8 3" xfId="49120"/>
    <cellStyle name="Output 2 6 2 9" xfId="39967"/>
    <cellStyle name="Output 2 6 3" xfId="12101"/>
    <cellStyle name="Output 2 6 3 2" xfId="41826"/>
    <cellStyle name="Output 2 6 3 3" xfId="39097"/>
    <cellStyle name="Output 2 6 3 4" xfId="29760"/>
    <cellStyle name="Output 2 6 3 5" xfId="53388"/>
    <cellStyle name="Output 2 6 4" xfId="18961"/>
    <cellStyle name="Output 2 6 4 2" xfId="44483"/>
    <cellStyle name="Output 2 6 4 3" xfId="48389"/>
    <cellStyle name="Output 2 6 4 4" xfId="36572"/>
    <cellStyle name="Output 2 6 5" xfId="53282"/>
    <cellStyle name="Output 2 60" xfId="52875"/>
    <cellStyle name="Output 2 61" xfId="53258"/>
    <cellStyle name="Output 2 7" xfId="3258"/>
    <cellStyle name="Output 2 7 2" xfId="7471"/>
    <cellStyle name="Output 2 7 2 10" xfId="43242"/>
    <cellStyle name="Output 2 7 2 11" xfId="53285"/>
    <cellStyle name="Output 2 7 2 2" xfId="10741"/>
    <cellStyle name="Output 2 7 2 2 2" xfId="18528"/>
    <cellStyle name="Output 2 7 2 2 2 2" xfId="44060"/>
    <cellStyle name="Output 2 7 2 2 2 3" xfId="47969"/>
    <cellStyle name="Output 2 7 2 2 2 4" xfId="36151"/>
    <cellStyle name="Output 2 7 2 2 3" xfId="19399"/>
    <cellStyle name="Output 2 7 2 2 3 2" xfId="44921"/>
    <cellStyle name="Output 2 7 2 2 3 3" xfId="48827"/>
    <cellStyle name="Output 2 7 2 2 3 4" xfId="36950"/>
    <cellStyle name="Output 2 7 2 2 4" xfId="19554"/>
    <cellStyle name="Output 2 7 2 2 4 2" xfId="45076"/>
    <cellStyle name="Output 2 7 2 2 4 3" xfId="48982"/>
    <cellStyle name="Output 2 7 2 2 4 4" xfId="37081"/>
    <cellStyle name="Output 2 7 2 2 5" xfId="20941"/>
    <cellStyle name="Output 2 7 2 2 5 2" xfId="46463"/>
    <cellStyle name="Output 2 7 2 2 5 3" xfId="50369"/>
    <cellStyle name="Output 2 7 2 2 5 4" xfId="38333"/>
    <cellStyle name="Output 2 7 2 2 6" xfId="21594"/>
    <cellStyle name="Output 2 7 2 2 6 2" xfId="47116"/>
    <cellStyle name="Output 2 7 2 2 6 3" xfId="51022"/>
    <cellStyle name="Output 2 7 2 2 7" xfId="40919"/>
    <cellStyle name="Output 2 7 2 2 8" xfId="40216"/>
    <cellStyle name="Output 2 7 2 2 9" xfId="53391"/>
    <cellStyle name="Output 2 7 2 3" xfId="11036"/>
    <cellStyle name="Output 2 7 2 3 2" xfId="18823"/>
    <cellStyle name="Output 2 7 2 3 2 2" xfId="44355"/>
    <cellStyle name="Output 2 7 2 3 2 3" xfId="48264"/>
    <cellStyle name="Output 2 7 2 3 2 4" xfId="36446"/>
    <cellStyle name="Output 2 7 2 3 3" xfId="20416"/>
    <cellStyle name="Output 2 7 2 3 3 2" xfId="45938"/>
    <cellStyle name="Output 2 7 2 3 3 3" xfId="49844"/>
    <cellStyle name="Output 2 7 2 3 3 4" xfId="37856"/>
    <cellStyle name="Output 2 7 2 3 4" xfId="20560"/>
    <cellStyle name="Output 2 7 2 3 4 2" xfId="46082"/>
    <cellStyle name="Output 2 7 2 3 4 3" xfId="49988"/>
    <cellStyle name="Output 2 7 2 3 4 4" xfId="37973"/>
    <cellStyle name="Output 2 7 2 3 5" xfId="21236"/>
    <cellStyle name="Output 2 7 2 3 5 2" xfId="46758"/>
    <cellStyle name="Output 2 7 2 3 5 3" xfId="50664"/>
    <cellStyle name="Output 2 7 2 3 5 4" xfId="38628"/>
    <cellStyle name="Output 2 7 2 3 6" xfId="21889"/>
    <cellStyle name="Output 2 7 2 3 6 2" xfId="47411"/>
    <cellStyle name="Output 2 7 2 3 6 3" xfId="51317"/>
    <cellStyle name="Output 2 7 2 3 7" xfId="41214"/>
    <cellStyle name="Output 2 7 2 3 8" xfId="39452"/>
    <cellStyle name="Output 2 7 2 4" xfId="15253"/>
    <cellStyle name="Output 2 7 2 4 2" xfId="43108"/>
    <cellStyle name="Output 2 7 2 4 3" xfId="39602"/>
    <cellStyle name="Output 2 7 2 4 4" xfId="32874"/>
    <cellStyle name="Output 2 7 2 5" xfId="20206"/>
    <cellStyle name="Output 2 7 2 5 2" xfId="45728"/>
    <cellStyle name="Output 2 7 2 5 3" xfId="49634"/>
    <cellStyle name="Output 2 7 2 5 4" xfId="37669"/>
    <cellStyle name="Output 2 7 2 6" xfId="20462"/>
    <cellStyle name="Output 2 7 2 6 2" xfId="45984"/>
    <cellStyle name="Output 2 7 2 6 3" xfId="49890"/>
    <cellStyle name="Output 2 7 2 6 4" xfId="37901"/>
    <cellStyle name="Output 2 7 2 7" xfId="20270"/>
    <cellStyle name="Output 2 7 2 7 2" xfId="45792"/>
    <cellStyle name="Output 2 7 2 7 3" xfId="49698"/>
    <cellStyle name="Output 2 7 2 7 4" xfId="37724"/>
    <cellStyle name="Output 2 7 2 8" xfId="20184"/>
    <cellStyle name="Output 2 7 2 8 2" xfId="45706"/>
    <cellStyle name="Output 2 7 2 8 3" xfId="49612"/>
    <cellStyle name="Output 2 7 2 9" xfId="39968"/>
    <cellStyle name="Output 2 7 3" xfId="12102"/>
    <cellStyle name="Output 2 7 3 2" xfId="41827"/>
    <cellStyle name="Output 2 7 3 3" xfId="39298"/>
    <cellStyle name="Output 2 7 3 4" xfId="29761"/>
    <cellStyle name="Output 2 7 3 5" xfId="53390"/>
    <cellStyle name="Output 2 7 4" xfId="11600"/>
    <cellStyle name="Output 2 7 4 2" xfId="41591"/>
    <cellStyle name="Output 2 7 4 3" xfId="40181"/>
    <cellStyle name="Output 2 7 4 4" xfId="29289"/>
    <cellStyle name="Output 2 7 5" xfId="53284"/>
    <cellStyle name="Output 2 8" xfId="3259"/>
    <cellStyle name="Output 2 8 2" xfId="7472"/>
    <cellStyle name="Output 2 8 2 10" xfId="40101"/>
    <cellStyle name="Output 2 8 2 11" xfId="53287"/>
    <cellStyle name="Output 2 8 2 2" xfId="10742"/>
    <cellStyle name="Output 2 8 2 2 2" xfId="18529"/>
    <cellStyle name="Output 2 8 2 2 2 2" xfId="44061"/>
    <cellStyle name="Output 2 8 2 2 2 3" xfId="47970"/>
    <cellStyle name="Output 2 8 2 2 2 4" xfId="36152"/>
    <cellStyle name="Output 2 8 2 2 3" xfId="20006"/>
    <cellStyle name="Output 2 8 2 2 3 2" xfId="45528"/>
    <cellStyle name="Output 2 8 2 2 3 3" xfId="49434"/>
    <cellStyle name="Output 2 8 2 2 3 4" xfId="37490"/>
    <cellStyle name="Output 2 8 2 2 4" xfId="12518"/>
    <cellStyle name="Output 2 8 2 2 4 2" xfId="42007"/>
    <cellStyle name="Output 2 8 2 2 4 3" xfId="39085"/>
    <cellStyle name="Output 2 8 2 2 4 4" xfId="30172"/>
    <cellStyle name="Output 2 8 2 2 5" xfId="20942"/>
    <cellStyle name="Output 2 8 2 2 5 2" xfId="46464"/>
    <cellStyle name="Output 2 8 2 2 5 3" xfId="50370"/>
    <cellStyle name="Output 2 8 2 2 5 4" xfId="38334"/>
    <cellStyle name="Output 2 8 2 2 6" xfId="21595"/>
    <cellStyle name="Output 2 8 2 2 6 2" xfId="47117"/>
    <cellStyle name="Output 2 8 2 2 6 3" xfId="51023"/>
    <cellStyle name="Output 2 8 2 2 7" xfId="40920"/>
    <cellStyle name="Output 2 8 2 2 8" xfId="39356"/>
    <cellStyle name="Output 2 8 2 2 9" xfId="53393"/>
    <cellStyle name="Output 2 8 2 3" xfId="11037"/>
    <cellStyle name="Output 2 8 2 3 2" xfId="18824"/>
    <cellStyle name="Output 2 8 2 3 2 2" xfId="44356"/>
    <cellStyle name="Output 2 8 2 3 2 3" xfId="48265"/>
    <cellStyle name="Output 2 8 2 3 2 4" xfId="36447"/>
    <cellStyle name="Output 2 8 2 3 3" xfId="20417"/>
    <cellStyle name="Output 2 8 2 3 3 2" xfId="45939"/>
    <cellStyle name="Output 2 8 2 3 3 3" xfId="49845"/>
    <cellStyle name="Output 2 8 2 3 3 4" xfId="37857"/>
    <cellStyle name="Output 2 8 2 3 4" xfId="20561"/>
    <cellStyle name="Output 2 8 2 3 4 2" xfId="46083"/>
    <cellStyle name="Output 2 8 2 3 4 3" xfId="49989"/>
    <cellStyle name="Output 2 8 2 3 4 4" xfId="37974"/>
    <cellStyle name="Output 2 8 2 3 5" xfId="21237"/>
    <cellStyle name="Output 2 8 2 3 5 2" xfId="46759"/>
    <cellStyle name="Output 2 8 2 3 5 3" xfId="50665"/>
    <cellStyle name="Output 2 8 2 3 5 4" xfId="38629"/>
    <cellStyle name="Output 2 8 2 3 6" xfId="21890"/>
    <cellStyle name="Output 2 8 2 3 6 2" xfId="47412"/>
    <cellStyle name="Output 2 8 2 3 6 3" xfId="51318"/>
    <cellStyle name="Output 2 8 2 3 7" xfId="41215"/>
    <cellStyle name="Output 2 8 2 3 8" xfId="42017"/>
    <cellStyle name="Output 2 8 2 4" xfId="15254"/>
    <cellStyle name="Output 2 8 2 4 2" xfId="43109"/>
    <cellStyle name="Output 2 8 2 4 3" xfId="42638"/>
    <cellStyle name="Output 2 8 2 4 4" xfId="32875"/>
    <cellStyle name="Output 2 8 2 5" xfId="19474"/>
    <cellStyle name="Output 2 8 2 5 2" xfId="44996"/>
    <cellStyle name="Output 2 8 2 5 3" xfId="48902"/>
    <cellStyle name="Output 2 8 2 5 4" xfId="37016"/>
    <cellStyle name="Output 2 8 2 6" xfId="11816"/>
    <cellStyle name="Output 2 8 2 6 2" xfId="41734"/>
    <cellStyle name="Output 2 8 2 6 3" xfId="41351"/>
    <cellStyle name="Output 2 8 2 6 4" xfId="29487"/>
    <cellStyle name="Output 2 8 2 7" xfId="11627"/>
    <cellStyle name="Output 2 8 2 7 2" xfId="41618"/>
    <cellStyle name="Output 2 8 2 7 3" xfId="40042"/>
    <cellStyle name="Output 2 8 2 7 4" xfId="29314"/>
    <cellStyle name="Output 2 8 2 8" xfId="20523"/>
    <cellStyle name="Output 2 8 2 8 2" xfId="46045"/>
    <cellStyle name="Output 2 8 2 8 3" xfId="49951"/>
    <cellStyle name="Output 2 8 2 9" xfId="39969"/>
    <cellStyle name="Output 2 8 3" xfId="12103"/>
    <cellStyle name="Output 2 8 3 2" xfId="41828"/>
    <cellStyle name="Output 2 8 3 3" xfId="39297"/>
    <cellStyle name="Output 2 8 3 4" xfId="29762"/>
    <cellStyle name="Output 2 8 3 5" xfId="53392"/>
    <cellStyle name="Output 2 8 4" xfId="19670"/>
    <cellStyle name="Output 2 8 4 2" xfId="45192"/>
    <cellStyle name="Output 2 8 4 3" xfId="49098"/>
    <cellStyle name="Output 2 8 4 4" xfId="37188"/>
    <cellStyle name="Output 2 8 5" xfId="53286"/>
    <cellStyle name="Output 2 9" xfId="3260"/>
    <cellStyle name="Output 2 9 2" xfId="7473"/>
    <cellStyle name="Output 2 9 2 10" xfId="43070"/>
    <cellStyle name="Output 2 9 2 11" xfId="53289"/>
    <cellStyle name="Output 2 9 2 2" xfId="10743"/>
    <cellStyle name="Output 2 9 2 2 2" xfId="18530"/>
    <cellStyle name="Output 2 9 2 2 2 2" xfId="44062"/>
    <cellStyle name="Output 2 9 2 2 2 3" xfId="47971"/>
    <cellStyle name="Output 2 9 2 2 2 4" xfId="36153"/>
    <cellStyle name="Output 2 9 2 2 3" xfId="19272"/>
    <cellStyle name="Output 2 9 2 2 3 2" xfId="44794"/>
    <cellStyle name="Output 2 9 2 2 3 3" xfId="48700"/>
    <cellStyle name="Output 2 9 2 2 3 4" xfId="36836"/>
    <cellStyle name="Output 2 9 2 2 4" xfId="18912"/>
    <cellStyle name="Output 2 9 2 2 4 2" xfId="44434"/>
    <cellStyle name="Output 2 9 2 2 4 3" xfId="48340"/>
    <cellStyle name="Output 2 9 2 2 4 4" xfId="36526"/>
    <cellStyle name="Output 2 9 2 2 5" xfId="20943"/>
    <cellStyle name="Output 2 9 2 2 5 2" xfId="46465"/>
    <cellStyle name="Output 2 9 2 2 5 3" xfId="50371"/>
    <cellStyle name="Output 2 9 2 2 5 4" xfId="38335"/>
    <cellStyle name="Output 2 9 2 2 6" xfId="21596"/>
    <cellStyle name="Output 2 9 2 2 6 2" xfId="47118"/>
    <cellStyle name="Output 2 9 2 2 6 3" xfId="51024"/>
    <cellStyle name="Output 2 9 2 2 7" xfId="40921"/>
    <cellStyle name="Output 2 9 2 2 8" xfId="42037"/>
    <cellStyle name="Output 2 9 2 2 9" xfId="53395"/>
    <cellStyle name="Output 2 9 2 3" xfId="11038"/>
    <cellStyle name="Output 2 9 2 3 2" xfId="18825"/>
    <cellStyle name="Output 2 9 2 3 2 2" xfId="44357"/>
    <cellStyle name="Output 2 9 2 3 2 3" xfId="48266"/>
    <cellStyle name="Output 2 9 2 3 2 4" xfId="36448"/>
    <cellStyle name="Output 2 9 2 3 3" xfId="20418"/>
    <cellStyle name="Output 2 9 2 3 3 2" xfId="45940"/>
    <cellStyle name="Output 2 9 2 3 3 3" xfId="49846"/>
    <cellStyle name="Output 2 9 2 3 3 4" xfId="37858"/>
    <cellStyle name="Output 2 9 2 3 4" xfId="20562"/>
    <cellStyle name="Output 2 9 2 3 4 2" xfId="46084"/>
    <cellStyle name="Output 2 9 2 3 4 3" xfId="49990"/>
    <cellStyle name="Output 2 9 2 3 4 4" xfId="37975"/>
    <cellStyle name="Output 2 9 2 3 5" xfId="21238"/>
    <cellStyle name="Output 2 9 2 3 5 2" xfId="46760"/>
    <cellStyle name="Output 2 9 2 3 5 3" xfId="50666"/>
    <cellStyle name="Output 2 9 2 3 5 4" xfId="38630"/>
    <cellStyle name="Output 2 9 2 3 6" xfId="21891"/>
    <cellStyle name="Output 2 9 2 3 6 2" xfId="47413"/>
    <cellStyle name="Output 2 9 2 3 6 3" xfId="51319"/>
    <cellStyle name="Output 2 9 2 3 7" xfId="41216"/>
    <cellStyle name="Output 2 9 2 3 8" xfId="43336"/>
    <cellStyle name="Output 2 9 2 4" xfId="15255"/>
    <cellStyle name="Output 2 9 2 4 2" xfId="43110"/>
    <cellStyle name="Output 2 9 2 4 3" xfId="43526"/>
    <cellStyle name="Output 2 9 2 4 4" xfId="32876"/>
    <cellStyle name="Output 2 9 2 5" xfId="20075"/>
    <cellStyle name="Output 2 9 2 5 2" xfId="45597"/>
    <cellStyle name="Output 2 9 2 5 3" xfId="49503"/>
    <cellStyle name="Output 2 9 2 5 4" xfId="37553"/>
    <cellStyle name="Output 2 9 2 6" xfId="19065"/>
    <cellStyle name="Output 2 9 2 6 2" xfId="44587"/>
    <cellStyle name="Output 2 9 2 6 3" xfId="48493"/>
    <cellStyle name="Output 2 9 2 6 4" xfId="36647"/>
    <cellStyle name="Output 2 9 2 7" xfId="19205"/>
    <cellStyle name="Output 2 9 2 7 2" xfId="44727"/>
    <cellStyle name="Output 2 9 2 7 3" xfId="48633"/>
    <cellStyle name="Output 2 9 2 7 4" xfId="36776"/>
    <cellStyle name="Output 2 9 2 8" xfId="19536"/>
    <cellStyle name="Output 2 9 2 8 2" xfId="45058"/>
    <cellStyle name="Output 2 9 2 8 3" xfId="48964"/>
    <cellStyle name="Output 2 9 2 9" xfId="39970"/>
    <cellStyle name="Output 2 9 3" xfId="12104"/>
    <cellStyle name="Output 2 9 3 2" xfId="41829"/>
    <cellStyle name="Output 2 9 3 3" xfId="39296"/>
    <cellStyle name="Output 2 9 3 4" xfId="29763"/>
    <cellStyle name="Output 2 9 3 5" xfId="53394"/>
    <cellStyle name="Output 2 9 4" xfId="20232"/>
    <cellStyle name="Output 2 9 4 2" xfId="45754"/>
    <cellStyle name="Output 2 9 4 3" xfId="49660"/>
    <cellStyle name="Output 2 9 4 4" xfId="37690"/>
    <cellStyle name="Output 2 9 5" xfId="53288"/>
    <cellStyle name="Output 2_BallGrid" xfId="3261"/>
    <cellStyle name="Output 3" xfId="137"/>
    <cellStyle name="Output 3 10" xfId="7474"/>
    <cellStyle name="Output 3 10 10" xfId="43737"/>
    <cellStyle name="Output 3 10 2" xfId="10744"/>
    <cellStyle name="Output 3 10 2 2" xfId="18531"/>
    <cellStyle name="Output 3 10 2 2 2" xfId="44063"/>
    <cellStyle name="Output 3 10 2 2 3" xfId="47972"/>
    <cellStyle name="Output 3 10 2 2 4" xfId="36154"/>
    <cellStyle name="Output 3 10 2 3" xfId="19881"/>
    <cellStyle name="Output 3 10 2 3 2" xfId="45403"/>
    <cellStyle name="Output 3 10 2 3 3" xfId="49309"/>
    <cellStyle name="Output 3 10 2 3 4" xfId="37381"/>
    <cellStyle name="Output 3 10 2 4" xfId="11539"/>
    <cellStyle name="Output 3 10 2 4 2" xfId="41530"/>
    <cellStyle name="Output 3 10 2 4 3" xfId="43465"/>
    <cellStyle name="Output 3 10 2 4 4" xfId="29239"/>
    <cellStyle name="Output 3 10 2 5" xfId="20944"/>
    <cellStyle name="Output 3 10 2 5 2" xfId="46466"/>
    <cellStyle name="Output 3 10 2 5 3" xfId="50372"/>
    <cellStyle name="Output 3 10 2 5 4" xfId="38336"/>
    <cellStyle name="Output 3 10 2 6" xfId="21597"/>
    <cellStyle name="Output 3 10 2 6 2" xfId="47119"/>
    <cellStyle name="Output 3 10 2 6 3" xfId="51025"/>
    <cellStyle name="Output 3 10 2 7" xfId="40922"/>
    <cellStyle name="Output 3 10 2 8" xfId="43356"/>
    <cellStyle name="Output 3 10 3" xfId="11039"/>
    <cellStyle name="Output 3 10 3 2" xfId="18826"/>
    <cellStyle name="Output 3 10 3 2 2" xfId="44358"/>
    <cellStyle name="Output 3 10 3 2 3" xfId="48267"/>
    <cellStyle name="Output 3 10 3 2 4" xfId="36449"/>
    <cellStyle name="Output 3 10 3 3" xfId="20419"/>
    <cellStyle name="Output 3 10 3 3 2" xfId="45941"/>
    <cellStyle name="Output 3 10 3 3 3" xfId="49847"/>
    <cellStyle name="Output 3 10 3 3 4" xfId="37859"/>
    <cellStyle name="Output 3 10 3 4" xfId="20563"/>
    <cellStyle name="Output 3 10 3 4 2" xfId="46085"/>
    <cellStyle name="Output 3 10 3 4 3" xfId="49991"/>
    <cellStyle name="Output 3 10 3 4 4" xfId="37976"/>
    <cellStyle name="Output 3 10 3 5" xfId="21239"/>
    <cellStyle name="Output 3 10 3 5 2" xfId="46761"/>
    <cellStyle name="Output 3 10 3 5 3" xfId="50667"/>
    <cellStyle name="Output 3 10 3 5 4" xfId="38631"/>
    <cellStyle name="Output 3 10 3 6" xfId="21892"/>
    <cellStyle name="Output 3 10 3 6 2" xfId="47414"/>
    <cellStyle name="Output 3 10 3 6 3" xfId="51320"/>
    <cellStyle name="Output 3 10 3 7" xfId="41217"/>
    <cellStyle name="Output 3 10 3 8" xfId="40198"/>
    <cellStyle name="Output 3 10 4" xfId="15256"/>
    <cellStyle name="Output 3 10 4 2" xfId="43111"/>
    <cellStyle name="Output 3 10 4 3" xfId="40388"/>
    <cellStyle name="Output 3 10 4 4" xfId="32877"/>
    <cellStyle name="Output 3 10 5" xfId="19337"/>
    <cellStyle name="Output 3 10 5 2" xfId="44859"/>
    <cellStyle name="Output 3 10 5 3" xfId="48765"/>
    <cellStyle name="Output 3 10 5 4" xfId="36894"/>
    <cellStyle name="Output 3 10 6" xfId="11558"/>
    <cellStyle name="Output 3 10 6 2" xfId="41549"/>
    <cellStyle name="Output 3 10 6 3" xfId="43467"/>
    <cellStyle name="Output 3 10 6 4" xfId="29255"/>
    <cellStyle name="Output 3 10 7" xfId="12665"/>
    <cellStyle name="Output 3 10 7 2" xfId="42125"/>
    <cellStyle name="Output 3 10 7 3" xfId="40418"/>
    <cellStyle name="Output 3 10 7 4" xfId="30315"/>
    <cellStyle name="Output 3 10 8" xfId="20174"/>
    <cellStyle name="Output 3 10 8 2" xfId="45696"/>
    <cellStyle name="Output 3 10 8 3" xfId="49602"/>
    <cellStyle name="Output 3 10 9" xfId="39971"/>
    <cellStyle name="Output 3 11" xfId="12105"/>
    <cellStyle name="Output 3 11 2" xfId="41830"/>
    <cellStyle name="Output 3 11 3" xfId="39096"/>
    <cellStyle name="Output 3 11 4" xfId="29764"/>
    <cellStyle name="Output 3 12" xfId="20098"/>
    <cellStyle name="Output 3 12 2" xfId="45620"/>
    <cellStyle name="Output 3 12 3" xfId="49526"/>
    <cellStyle name="Output 3 12 4" xfId="37572"/>
    <cellStyle name="Output 3 13" xfId="3262"/>
    <cellStyle name="Output 3 14" xfId="52738"/>
    <cellStyle name="Output 3 2" xfId="3263"/>
    <cellStyle name="Output 3 2 2" xfId="7475"/>
    <cellStyle name="Output 3 2 2 10" xfId="40596"/>
    <cellStyle name="Output 3 2 2 11" xfId="53291"/>
    <cellStyle name="Output 3 2 2 2" xfId="10745"/>
    <cellStyle name="Output 3 2 2 2 2" xfId="18532"/>
    <cellStyle name="Output 3 2 2 2 2 2" xfId="44064"/>
    <cellStyle name="Output 3 2 2 2 2 3" xfId="47973"/>
    <cellStyle name="Output 3 2 2 2 2 4" xfId="36155"/>
    <cellStyle name="Output 3 2 2 2 3" xfId="19104"/>
    <cellStyle name="Output 3 2 2 2 3 2" xfId="44626"/>
    <cellStyle name="Output 3 2 2 2 3 3" xfId="48532"/>
    <cellStyle name="Output 3 2 2 2 3 4" xfId="36685"/>
    <cellStyle name="Output 3 2 2 2 4" xfId="19978"/>
    <cellStyle name="Output 3 2 2 2 4 2" xfId="45500"/>
    <cellStyle name="Output 3 2 2 2 4 3" xfId="49406"/>
    <cellStyle name="Output 3 2 2 2 4 4" xfId="37462"/>
    <cellStyle name="Output 3 2 2 2 5" xfId="20945"/>
    <cellStyle name="Output 3 2 2 2 5 2" xfId="46467"/>
    <cellStyle name="Output 3 2 2 2 5 3" xfId="50373"/>
    <cellStyle name="Output 3 2 2 2 5 4" xfId="38337"/>
    <cellStyle name="Output 3 2 2 2 6" xfId="21598"/>
    <cellStyle name="Output 3 2 2 2 6 2" xfId="47120"/>
    <cellStyle name="Output 3 2 2 2 6 3" xfId="51026"/>
    <cellStyle name="Output 3 2 2 2 7" xfId="40923"/>
    <cellStyle name="Output 3 2 2 2 8" xfId="40218"/>
    <cellStyle name="Output 3 2 2 2 9" xfId="53398"/>
    <cellStyle name="Output 3 2 2 3" xfId="11040"/>
    <cellStyle name="Output 3 2 2 3 2" xfId="18827"/>
    <cellStyle name="Output 3 2 2 3 2 2" xfId="44359"/>
    <cellStyle name="Output 3 2 2 3 2 3" xfId="48268"/>
    <cellStyle name="Output 3 2 2 3 2 4" xfId="36450"/>
    <cellStyle name="Output 3 2 2 3 3" xfId="20420"/>
    <cellStyle name="Output 3 2 2 3 3 2" xfId="45942"/>
    <cellStyle name="Output 3 2 2 3 3 3" xfId="49848"/>
    <cellStyle name="Output 3 2 2 3 3 4" xfId="37860"/>
    <cellStyle name="Output 3 2 2 3 4" xfId="20564"/>
    <cellStyle name="Output 3 2 2 3 4 2" xfId="46086"/>
    <cellStyle name="Output 3 2 2 3 4 3" xfId="49992"/>
    <cellStyle name="Output 3 2 2 3 4 4" xfId="37977"/>
    <cellStyle name="Output 3 2 2 3 5" xfId="21240"/>
    <cellStyle name="Output 3 2 2 3 5 2" xfId="46762"/>
    <cellStyle name="Output 3 2 2 3 5 3" xfId="50668"/>
    <cellStyle name="Output 3 2 2 3 5 4" xfId="38632"/>
    <cellStyle name="Output 3 2 2 3 6" xfId="21893"/>
    <cellStyle name="Output 3 2 2 3 6 2" xfId="47415"/>
    <cellStyle name="Output 3 2 2 3 6 3" xfId="51321"/>
    <cellStyle name="Output 3 2 2 3 7" xfId="41218"/>
    <cellStyle name="Output 3 2 2 3 8" xfId="39338"/>
    <cellStyle name="Output 3 2 2 4" xfId="15257"/>
    <cellStyle name="Output 3 2 2 4 2" xfId="43112"/>
    <cellStyle name="Output 3 2 2 4 3" xfId="39497"/>
    <cellStyle name="Output 3 2 2 4 4" xfId="32878"/>
    <cellStyle name="Output 3 2 2 5" xfId="19946"/>
    <cellStyle name="Output 3 2 2 5 2" xfId="45468"/>
    <cellStyle name="Output 3 2 2 5 3" xfId="49374"/>
    <cellStyle name="Output 3 2 2 5 4" xfId="37437"/>
    <cellStyle name="Output 3 2 2 6" xfId="20319"/>
    <cellStyle name="Output 3 2 2 6 2" xfId="45841"/>
    <cellStyle name="Output 3 2 2 6 3" xfId="49747"/>
    <cellStyle name="Output 3 2 2 6 4" xfId="37769"/>
    <cellStyle name="Output 3 2 2 7" xfId="19763"/>
    <cellStyle name="Output 3 2 2 7 2" xfId="45285"/>
    <cellStyle name="Output 3 2 2 7 3" xfId="49191"/>
    <cellStyle name="Output 3 2 2 7 4" xfId="37276"/>
    <cellStyle name="Output 3 2 2 8" xfId="11592"/>
    <cellStyle name="Output 3 2 2 8 2" xfId="41583"/>
    <cellStyle name="Output 3 2 2 8 3" xfId="40432"/>
    <cellStyle name="Output 3 2 2 9" xfId="39972"/>
    <cellStyle name="Output 3 2 3" xfId="12106"/>
    <cellStyle name="Output 3 2 3 2" xfId="41831"/>
    <cellStyle name="Output 3 2 3 3" xfId="39095"/>
    <cellStyle name="Output 3 2 3 4" xfId="29765"/>
    <cellStyle name="Output 3 2 3 5" xfId="53397"/>
    <cellStyle name="Output 3 2 4" xfId="19358"/>
    <cellStyle name="Output 3 2 4 2" xfId="44880"/>
    <cellStyle name="Output 3 2 4 3" xfId="48786"/>
    <cellStyle name="Output 3 2 4 4" xfId="36912"/>
    <cellStyle name="Output 3 2 5" xfId="53290"/>
    <cellStyle name="Output 3 3" xfId="3264"/>
    <cellStyle name="Output 3 3 2" xfId="7476"/>
    <cellStyle name="Output 3 3 2 10" xfId="39930"/>
    <cellStyle name="Output 3 3 2 11" xfId="53293"/>
    <cellStyle name="Output 3 3 2 2" xfId="10746"/>
    <cellStyle name="Output 3 3 2 2 2" xfId="18533"/>
    <cellStyle name="Output 3 3 2 2 2 2" xfId="44065"/>
    <cellStyle name="Output 3 3 2 2 2 3" xfId="47974"/>
    <cellStyle name="Output 3 3 2 2 2 4" xfId="36156"/>
    <cellStyle name="Output 3 3 2 2 3" xfId="19720"/>
    <cellStyle name="Output 3 3 2 2 3 2" xfId="45242"/>
    <cellStyle name="Output 3 3 2 2 3 3" xfId="49148"/>
    <cellStyle name="Output 3 3 2 2 3 4" xfId="37233"/>
    <cellStyle name="Output 3 3 2 2 4" xfId="20065"/>
    <cellStyle name="Output 3 3 2 2 4 2" xfId="45587"/>
    <cellStyle name="Output 3 3 2 2 4 3" xfId="49493"/>
    <cellStyle name="Output 3 3 2 2 4 4" xfId="37545"/>
    <cellStyle name="Output 3 3 2 2 5" xfId="20946"/>
    <cellStyle name="Output 3 3 2 2 5 2" xfId="46468"/>
    <cellStyle name="Output 3 3 2 2 5 3" xfId="50374"/>
    <cellStyle name="Output 3 3 2 2 5 4" xfId="38338"/>
    <cellStyle name="Output 3 3 2 2 6" xfId="21599"/>
    <cellStyle name="Output 3 3 2 2 6 2" xfId="47121"/>
    <cellStyle name="Output 3 3 2 2 6 3" xfId="51027"/>
    <cellStyle name="Output 3 3 2 2 7" xfId="40924"/>
    <cellStyle name="Output 3 3 2 2 8" xfId="42817"/>
    <cellStyle name="Output 3 3 2 2 9" xfId="53400"/>
    <cellStyle name="Output 3 3 2 3" xfId="11041"/>
    <cellStyle name="Output 3 3 2 3 2" xfId="18828"/>
    <cellStyle name="Output 3 3 2 3 2 2" xfId="44360"/>
    <cellStyle name="Output 3 3 2 3 2 3" xfId="48269"/>
    <cellStyle name="Output 3 3 2 3 2 4" xfId="36451"/>
    <cellStyle name="Output 3 3 2 3 3" xfId="20421"/>
    <cellStyle name="Output 3 3 2 3 3 2" xfId="45943"/>
    <cellStyle name="Output 3 3 2 3 3 3" xfId="49849"/>
    <cellStyle name="Output 3 3 2 3 3 4" xfId="37861"/>
    <cellStyle name="Output 3 3 2 3 4" xfId="20565"/>
    <cellStyle name="Output 3 3 2 3 4 2" xfId="46087"/>
    <cellStyle name="Output 3 3 2 3 4 3" xfId="49993"/>
    <cellStyle name="Output 3 3 2 3 4 4" xfId="37978"/>
    <cellStyle name="Output 3 3 2 3 5" xfId="21241"/>
    <cellStyle name="Output 3 3 2 3 5 2" xfId="46763"/>
    <cellStyle name="Output 3 3 2 3 5 3" xfId="50669"/>
    <cellStyle name="Output 3 3 2 3 5 4" xfId="38633"/>
    <cellStyle name="Output 3 3 2 3 6" xfId="21894"/>
    <cellStyle name="Output 3 3 2 3 6 2" xfId="47416"/>
    <cellStyle name="Output 3 3 2 3 6 3" xfId="51322"/>
    <cellStyle name="Output 3 3 2 3 7" xfId="41219"/>
    <cellStyle name="Output 3 3 2 3 8" xfId="42018"/>
    <cellStyle name="Output 3 3 2 4" xfId="15258"/>
    <cellStyle name="Output 3 3 2 4 2" xfId="43113"/>
    <cellStyle name="Output 3 3 2 4 3" xfId="42507"/>
    <cellStyle name="Output 3 3 2 4 4" xfId="32879"/>
    <cellStyle name="Output 3 3 2 5" xfId="19179"/>
    <cellStyle name="Output 3 3 2 5 2" xfId="44701"/>
    <cellStyle name="Output 3 3 2 5 3" xfId="48607"/>
    <cellStyle name="Output 3 3 2 5 4" xfId="36752"/>
    <cellStyle name="Output 3 3 2 6" xfId="11576"/>
    <cellStyle name="Output 3 3 2 6 2" xfId="41567"/>
    <cellStyle name="Output 3 3 2 6 3" xfId="39439"/>
    <cellStyle name="Output 3 3 2 6 4" xfId="29271"/>
    <cellStyle name="Output 3 3 2 7" xfId="11467"/>
    <cellStyle name="Output 3 3 2 7 2" xfId="41458"/>
    <cellStyle name="Output 3 3 2 7 3" xfId="41369"/>
    <cellStyle name="Output 3 3 2 7 4" xfId="29169"/>
    <cellStyle name="Output 3 3 2 8" xfId="13303"/>
    <cellStyle name="Output 3 3 2 8 2" xfId="42454"/>
    <cellStyle name="Output 3 3 2 8 3" xfId="41933"/>
    <cellStyle name="Output 3 3 2 9" xfId="39973"/>
    <cellStyle name="Output 3 3 3" xfId="12107"/>
    <cellStyle name="Output 3 3 3 2" xfId="41832"/>
    <cellStyle name="Output 3 3 3 3" xfId="39094"/>
    <cellStyle name="Output 3 3 3 4" xfId="29766"/>
    <cellStyle name="Output 3 3 3 5" xfId="53399"/>
    <cellStyle name="Output 3 3 4" xfId="19964"/>
    <cellStyle name="Output 3 3 4 2" xfId="45486"/>
    <cellStyle name="Output 3 3 4 3" xfId="49392"/>
    <cellStyle name="Output 3 3 4 4" xfId="37452"/>
    <cellStyle name="Output 3 3 5" xfId="53292"/>
    <cellStyle name="Output 3 4" xfId="3265"/>
    <cellStyle name="Output 3 4 2" xfId="7477"/>
    <cellStyle name="Output 3 4 2 10" xfId="42730"/>
    <cellStyle name="Output 3 4 2 11" xfId="53295"/>
    <cellStyle name="Output 3 4 2 2" xfId="10747"/>
    <cellStyle name="Output 3 4 2 2 2" xfId="18534"/>
    <cellStyle name="Output 3 4 2 2 2 2" xfId="44066"/>
    <cellStyle name="Output 3 4 2 2 2 3" xfId="47975"/>
    <cellStyle name="Output 3 4 2 2 2 4" xfId="36157"/>
    <cellStyle name="Output 3 4 2 2 3" xfId="15293"/>
    <cellStyle name="Output 3 4 2 2 3 2" xfId="43143"/>
    <cellStyle name="Output 3 4 2 2 3 3" xfId="42746"/>
    <cellStyle name="Output 3 4 2 2 3 4" xfId="32914"/>
    <cellStyle name="Output 3 4 2 2 4" xfId="19343"/>
    <cellStyle name="Output 3 4 2 2 4 2" xfId="44865"/>
    <cellStyle name="Output 3 4 2 2 4 3" xfId="48771"/>
    <cellStyle name="Output 3 4 2 2 4 4" xfId="36898"/>
    <cellStyle name="Output 3 4 2 2 5" xfId="20947"/>
    <cellStyle name="Output 3 4 2 2 5 2" xfId="46469"/>
    <cellStyle name="Output 3 4 2 2 5 3" xfId="50375"/>
    <cellStyle name="Output 3 4 2 2 5 4" xfId="38339"/>
    <cellStyle name="Output 3 4 2 2 6" xfId="21600"/>
    <cellStyle name="Output 3 4 2 2 6 2" xfId="47122"/>
    <cellStyle name="Output 3 4 2 2 6 3" xfId="51028"/>
    <cellStyle name="Output 3 4 2 2 7" xfId="40925"/>
    <cellStyle name="Output 3 4 2 2 8" xfId="43706"/>
    <cellStyle name="Output 3 4 2 2 9" xfId="53402"/>
    <cellStyle name="Output 3 4 2 3" xfId="11042"/>
    <cellStyle name="Output 3 4 2 3 2" xfId="18829"/>
    <cellStyle name="Output 3 4 2 3 2 2" xfId="44361"/>
    <cellStyle name="Output 3 4 2 3 2 3" xfId="48270"/>
    <cellStyle name="Output 3 4 2 3 2 4" xfId="36452"/>
    <cellStyle name="Output 3 4 2 3 3" xfId="20422"/>
    <cellStyle name="Output 3 4 2 3 3 2" xfId="45944"/>
    <cellStyle name="Output 3 4 2 3 3 3" xfId="49850"/>
    <cellStyle name="Output 3 4 2 3 3 4" xfId="37862"/>
    <cellStyle name="Output 3 4 2 3 4" xfId="20566"/>
    <cellStyle name="Output 3 4 2 3 4 2" xfId="46088"/>
    <cellStyle name="Output 3 4 2 3 4 3" xfId="49994"/>
    <cellStyle name="Output 3 4 2 3 4 4" xfId="37979"/>
    <cellStyle name="Output 3 4 2 3 5" xfId="21242"/>
    <cellStyle name="Output 3 4 2 3 5 2" xfId="46764"/>
    <cellStyle name="Output 3 4 2 3 5 3" xfId="50670"/>
    <cellStyle name="Output 3 4 2 3 5 4" xfId="38634"/>
    <cellStyle name="Output 3 4 2 3 6" xfId="21895"/>
    <cellStyle name="Output 3 4 2 3 6 2" xfId="47417"/>
    <cellStyle name="Output 3 4 2 3 6 3" xfId="51323"/>
    <cellStyle name="Output 3 4 2 3 7" xfId="41220"/>
    <cellStyle name="Output 3 4 2 3 8" xfId="43337"/>
    <cellStyle name="Output 3 4 2 4" xfId="15259"/>
    <cellStyle name="Output 3 4 2 4 2" xfId="43114"/>
    <cellStyle name="Output 3 4 2 4 3" xfId="43418"/>
    <cellStyle name="Output 3 4 2 4 4" xfId="32880"/>
    <cellStyle name="Output 3 4 2 5" xfId="19803"/>
    <cellStyle name="Output 3 4 2 5 2" xfId="45325"/>
    <cellStyle name="Output 3 4 2 5 3" xfId="49231"/>
    <cellStyle name="Output 3 4 2 5 4" xfId="37310"/>
    <cellStyle name="Output 3 4 2 6" xfId="11801"/>
    <cellStyle name="Output 3 4 2 6 2" xfId="41729"/>
    <cellStyle name="Output 3 4 2 6 3" xfId="39642"/>
    <cellStyle name="Output 3 4 2 6 4" xfId="29473"/>
    <cellStyle name="Output 3 4 2 7" xfId="19795"/>
    <cellStyle name="Output 3 4 2 7 2" xfId="45317"/>
    <cellStyle name="Output 3 4 2 7 3" xfId="49223"/>
    <cellStyle name="Output 3 4 2 7 4" xfId="37302"/>
    <cellStyle name="Output 3 4 2 8" xfId="11458"/>
    <cellStyle name="Output 3 4 2 8 2" xfId="41449"/>
    <cellStyle name="Output 3 4 2 8 3" xfId="42002"/>
    <cellStyle name="Output 3 4 2 9" xfId="39974"/>
    <cellStyle name="Output 3 4 3" xfId="12108"/>
    <cellStyle name="Output 3 4 3 2" xfId="41833"/>
    <cellStyle name="Output 3 4 3 3" xfId="39093"/>
    <cellStyle name="Output 3 4 3 4" xfId="29767"/>
    <cellStyle name="Output 3 4 3 5" xfId="53401"/>
    <cellStyle name="Output 3 4 4" xfId="19199"/>
    <cellStyle name="Output 3 4 4 2" xfId="44721"/>
    <cellStyle name="Output 3 4 4 3" xfId="48627"/>
    <cellStyle name="Output 3 4 4 4" xfId="36770"/>
    <cellStyle name="Output 3 4 5" xfId="53294"/>
    <cellStyle name="Output 3 5" xfId="3266"/>
    <cellStyle name="Output 3 5 2" xfId="7478"/>
    <cellStyle name="Output 3 5 2 10" xfId="43618"/>
    <cellStyle name="Output 3 5 2 11" xfId="53403"/>
    <cellStyle name="Output 3 5 2 2" xfId="10748"/>
    <cellStyle name="Output 3 5 2 2 2" xfId="18535"/>
    <cellStyle name="Output 3 5 2 2 2 2" xfId="44067"/>
    <cellStyle name="Output 3 5 2 2 2 3" xfId="47976"/>
    <cellStyle name="Output 3 5 2 2 2 4" xfId="36158"/>
    <cellStyle name="Output 3 5 2 2 3" xfId="13323"/>
    <cellStyle name="Output 3 5 2 2 3 2" xfId="42474"/>
    <cellStyle name="Output 3 5 2 2 3 3" xfId="41274"/>
    <cellStyle name="Output 3 5 2 2 3 4" xfId="30949"/>
    <cellStyle name="Output 3 5 2 2 4" xfId="20289"/>
    <cellStyle name="Output 3 5 2 2 4 2" xfId="45811"/>
    <cellStyle name="Output 3 5 2 2 4 3" xfId="49717"/>
    <cellStyle name="Output 3 5 2 2 4 4" xfId="37741"/>
    <cellStyle name="Output 3 5 2 2 5" xfId="20948"/>
    <cellStyle name="Output 3 5 2 2 5 2" xfId="46470"/>
    <cellStyle name="Output 3 5 2 2 5 3" xfId="50376"/>
    <cellStyle name="Output 3 5 2 2 5 4" xfId="38340"/>
    <cellStyle name="Output 3 5 2 2 6" xfId="21601"/>
    <cellStyle name="Output 3 5 2 2 6 2" xfId="47123"/>
    <cellStyle name="Output 3 5 2 2 6 3" xfId="51029"/>
    <cellStyle name="Output 3 5 2 2 7" xfId="40926"/>
    <cellStyle name="Output 3 5 2 2 8" xfId="40565"/>
    <cellStyle name="Output 3 5 2 3" xfId="11043"/>
    <cellStyle name="Output 3 5 2 3 2" xfId="18830"/>
    <cellStyle name="Output 3 5 2 3 2 2" xfId="44362"/>
    <cellStyle name="Output 3 5 2 3 2 3" xfId="48271"/>
    <cellStyle name="Output 3 5 2 3 2 4" xfId="36453"/>
    <cellStyle name="Output 3 5 2 3 3" xfId="20423"/>
    <cellStyle name="Output 3 5 2 3 3 2" xfId="45945"/>
    <cellStyle name="Output 3 5 2 3 3 3" xfId="49851"/>
    <cellStyle name="Output 3 5 2 3 3 4" xfId="37863"/>
    <cellStyle name="Output 3 5 2 3 4" xfId="20567"/>
    <cellStyle name="Output 3 5 2 3 4 2" xfId="46089"/>
    <cellStyle name="Output 3 5 2 3 4 3" xfId="49995"/>
    <cellStyle name="Output 3 5 2 3 4 4" xfId="37980"/>
    <cellStyle name="Output 3 5 2 3 5" xfId="21243"/>
    <cellStyle name="Output 3 5 2 3 5 2" xfId="46765"/>
    <cellStyle name="Output 3 5 2 3 5 3" xfId="50671"/>
    <cellStyle name="Output 3 5 2 3 5 4" xfId="38635"/>
    <cellStyle name="Output 3 5 2 3 6" xfId="21896"/>
    <cellStyle name="Output 3 5 2 3 6 2" xfId="47418"/>
    <cellStyle name="Output 3 5 2 3 6 3" xfId="51324"/>
    <cellStyle name="Output 3 5 2 3 7" xfId="41221"/>
    <cellStyle name="Output 3 5 2 3 8" xfId="40199"/>
    <cellStyle name="Output 3 5 2 4" xfId="15260"/>
    <cellStyle name="Output 3 5 2 4 2" xfId="43115"/>
    <cellStyle name="Output 3 5 2 4 3" xfId="40280"/>
    <cellStyle name="Output 3 5 2 4 4" xfId="32881"/>
    <cellStyle name="Output 3 5 2 5" xfId="11361"/>
    <cellStyle name="Output 3 5 2 5 2" xfId="41377"/>
    <cellStyle name="Output 3 5 2 5 3" xfId="40440"/>
    <cellStyle name="Output 3 5 2 5 4" xfId="29070"/>
    <cellStyle name="Output 3 5 2 6" xfId="18896"/>
    <cellStyle name="Output 3 5 2 6 2" xfId="44418"/>
    <cellStyle name="Output 3 5 2 6 3" xfId="48324"/>
    <cellStyle name="Output 3 5 2 6 4" xfId="36514"/>
    <cellStyle name="Output 3 5 2 7" xfId="19028"/>
    <cellStyle name="Output 3 5 2 7 2" xfId="44550"/>
    <cellStyle name="Output 3 5 2 7 3" xfId="48456"/>
    <cellStyle name="Output 3 5 2 7 4" xfId="36618"/>
    <cellStyle name="Output 3 5 2 8" xfId="19360"/>
    <cellStyle name="Output 3 5 2 8 2" xfId="44882"/>
    <cellStyle name="Output 3 5 2 8 3" xfId="48788"/>
    <cellStyle name="Output 3 5 2 9" xfId="39975"/>
    <cellStyle name="Output 3 5 3" xfId="12109"/>
    <cellStyle name="Output 3 5 3 2" xfId="41834"/>
    <cellStyle name="Output 3 5 3 3" xfId="39092"/>
    <cellStyle name="Output 3 5 3 4" xfId="29768"/>
    <cellStyle name="Output 3 5 4" xfId="19829"/>
    <cellStyle name="Output 3 5 4 2" xfId="45351"/>
    <cellStyle name="Output 3 5 4 3" xfId="49257"/>
    <cellStyle name="Output 3 5 4 4" xfId="37332"/>
    <cellStyle name="Output 3 5 5" xfId="53296"/>
    <cellStyle name="Output 3 6" xfId="3267"/>
    <cellStyle name="Output 3 6 2" xfId="7479"/>
    <cellStyle name="Output 3 6 2 10" xfId="40476"/>
    <cellStyle name="Output 3 6 2 11" xfId="53404"/>
    <cellStyle name="Output 3 6 2 2" xfId="10749"/>
    <cellStyle name="Output 3 6 2 2 2" xfId="18536"/>
    <cellStyle name="Output 3 6 2 2 2 2" xfId="44068"/>
    <cellStyle name="Output 3 6 2 2 2 3" xfId="47977"/>
    <cellStyle name="Output 3 6 2 2 2 4" xfId="36159"/>
    <cellStyle name="Output 3 6 2 2 3" xfId="19586"/>
    <cellStyle name="Output 3 6 2 2 3 2" xfId="45108"/>
    <cellStyle name="Output 3 6 2 2 3 3" xfId="49014"/>
    <cellStyle name="Output 3 6 2 2 3 4" xfId="37112"/>
    <cellStyle name="Output 3 6 2 2 4" xfId="20072"/>
    <cellStyle name="Output 3 6 2 2 4 2" xfId="45594"/>
    <cellStyle name="Output 3 6 2 2 4 3" xfId="49500"/>
    <cellStyle name="Output 3 6 2 2 4 4" xfId="37551"/>
    <cellStyle name="Output 3 6 2 2 5" xfId="20949"/>
    <cellStyle name="Output 3 6 2 2 5 2" xfId="46471"/>
    <cellStyle name="Output 3 6 2 2 5 3" xfId="50377"/>
    <cellStyle name="Output 3 6 2 2 5 4" xfId="38341"/>
    <cellStyle name="Output 3 6 2 2 6" xfId="21602"/>
    <cellStyle name="Output 3 6 2 2 6 2" xfId="47124"/>
    <cellStyle name="Output 3 6 2 2 6 3" xfId="51030"/>
    <cellStyle name="Output 3 6 2 2 7" xfId="40927"/>
    <cellStyle name="Output 3 6 2 2 8" xfId="39676"/>
    <cellStyle name="Output 3 6 2 3" xfId="11044"/>
    <cellStyle name="Output 3 6 2 3 2" xfId="18831"/>
    <cellStyle name="Output 3 6 2 3 2 2" xfId="44363"/>
    <cellStyle name="Output 3 6 2 3 2 3" xfId="48272"/>
    <cellStyle name="Output 3 6 2 3 2 4" xfId="36454"/>
    <cellStyle name="Output 3 6 2 3 3" xfId="20424"/>
    <cellStyle name="Output 3 6 2 3 3 2" xfId="45946"/>
    <cellStyle name="Output 3 6 2 3 3 3" xfId="49852"/>
    <cellStyle name="Output 3 6 2 3 3 4" xfId="37864"/>
    <cellStyle name="Output 3 6 2 3 4" xfId="20568"/>
    <cellStyle name="Output 3 6 2 3 4 2" xfId="46090"/>
    <cellStyle name="Output 3 6 2 3 4 3" xfId="49996"/>
    <cellStyle name="Output 3 6 2 3 4 4" xfId="37981"/>
    <cellStyle name="Output 3 6 2 3 5" xfId="21244"/>
    <cellStyle name="Output 3 6 2 3 5 2" xfId="46766"/>
    <cellStyle name="Output 3 6 2 3 5 3" xfId="50672"/>
    <cellStyle name="Output 3 6 2 3 5 4" xfId="38636"/>
    <cellStyle name="Output 3 6 2 3 6" xfId="21897"/>
    <cellStyle name="Output 3 6 2 3 6 2" xfId="47419"/>
    <cellStyle name="Output 3 6 2 3 6 3" xfId="51325"/>
    <cellStyle name="Output 3 6 2 3 7" xfId="41222"/>
    <cellStyle name="Output 3 6 2 3 8" xfId="39339"/>
    <cellStyle name="Output 3 6 2 4" xfId="15261"/>
    <cellStyle name="Output 3 6 2 4 2" xfId="43116"/>
    <cellStyle name="Output 3 6 2 4 3" xfId="39397"/>
    <cellStyle name="Output 3 6 2 4 4" xfId="32882"/>
    <cellStyle name="Output 3 6 2 5" xfId="12042"/>
    <cellStyle name="Output 3 6 2 5 2" xfId="41777"/>
    <cellStyle name="Output 3 6 2 5 3" xfId="47474"/>
    <cellStyle name="Output 3 6 2 5 4" xfId="29707"/>
    <cellStyle name="Output 3 6 2 6" xfId="19968"/>
    <cellStyle name="Output 3 6 2 6 2" xfId="45490"/>
    <cellStyle name="Output 3 6 2 6 3" xfId="49396"/>
    <cellStyle name="Output 3 6 2 6 4" xfId="37455"/>
    <cellStyle name="Output 3 6 2 7" xfId="19620"/>
    <cellStyle name="Output 3 6 2 7 2" xfId="45142"/>
    <cellStyle name="Output 3 6 2 7 3" xfId="49048"/>
    <cellStyle name="Output 3 6 2 7 4" xfId="37144"/>
    <cellStyle name="Output 3 6 2 8" xfId="20467"/>
    <cellStyle name="Output 3 6 2 8 2" xfId="45989"/>
    <cellStyle name="Output 3 6 2 8 3" xfId="49895"/>
    <cellStyle name="Output 3 6 2 9" xfId="39976"/>
    <cellStyle name="Output 3 6 3" xfId="12110"/>
    <cellStyle name="Output 3 6 3 2" xfId="41835"/>
    <cellStyle name="Output 3 6 3 3" xfId="39091"/>
    <cellStyle name="Output 3 6 3 4" xfId="29769"/>
    <cellStyle name="Output 3 6 4" xfId="18960"/>
    <cellStyle name="Output 3 6 4 2" xfId="44482"/>
    <cellStyle name="Output 3 6 4 3" xfId="48388"/>
    <cellStyle name="Output 3 6 4 4" xfId="36571"/>
    <cellStyle name="Output 3 6 5" xfId="53297"/>
    <cellStyle name="Output 3 7" xfId="5313"/>
    <cellStyle name="Output 3 7 2" xfId="7480"/>
    <cellStyle name="Output 3 7 2 10" xfId="39586"/>
    <cellStyle name="Output 3 7 2 2" xfId="10750"/>
    <cellStyle name="Output 3 7 2 2 2" xfId="18537"/>
    <cellStyle name="Output 3 7 2 2 2 2" xfId="44069"/>
    <cellStyle name="Output 3 7 2 2 2 3" xfId="47978"/>
    <cellStyle name="Output 3 7 2 2 2 4" xfId="36160"/>
    <cellStyle name="Output 3 7 2 2 3" xfId="20139"/>
    <cellStyle name="Output 3 7 2 2 3 2" xfId="45661"/>
    <cellStyle name="Output 3 7 2 2 3 3" xfId="49567"/>
    <cellStyle name="Output 3 7 2 2 3 4" xfId="37611"/>
    <cellStyle name="Output 3 7 2 2 4" xfId="12683"/>
    <cellStyle name="Output 3 7 2 2 4 2" xfId="42143"/>
    <cellStyle name="Output 3 7 2 2 4 3" xfId="43558"/>
    <cellStyle name="Output 3 7 2 2 4 4" xfId="30330"/>
    <cellStyle name="Output 3 7 2 2 5" xfId="20950"/>
    <cellStyle name="Output 3 7 2 2 5 2" xfId="46472"/>
    <cellStyle name="Output 3 7 2 2 5 3" xfId="50378"/>
    <cellStyle name="Output 3 7 2 2 5 4" xfId="38342"/>
    <cellStyle name="Output 3 7 2 2 6" xfId="21603"/>
    <cellStyle name="Output 3 7 2 2 6 2" xfId="47125"/>
    <cellStyle name="Output 3 7 2 2 6 3" xfId="51031"/>
    <cellStyle name="Output 3 7 2 2 7" xfId="40928"/>
    <cellStyle name="Output 3 7 2 2 8" xfId="42713"/>
    <cellStyle name="Output 3 7 2 3" xfId="11045"/>
    <cellStyle name="Output 3 7 2 3 2" xfId="18832"/>
    <cellStyle name="Output 3 7 2 3 2 2" xfId="44364"/>
    <cellStyle name="Output 3 7 2 3 2 3" xfId="48273"/>
    <cellStyle name="Output 3 7 2 3 2 4" xfId="36455"/>
    <cellStyle name="Output 3 7 2 3 3" xfId="20425"/>
    <cellStyle name="Output 3 7 2 3 3 2" xfId="45947"/>
    <cellStyle name="Output 3 7 2 3 3 3" xfId="49853"/>
    <cellStyle name="Output 3 7 2 3 3 4" xfId="37865"/>
    <cellStyle name="Output 3 7 2 3 4" xfId="20569"/>
    <cellStyle name="Output 3 7 2 3 4 2" xfId="46091"/>
    <cellStyle name="Output 3 7 2 3 4 3" xfId="49997"/>
    <cellStyle name="Output 3 7 2 3 4 4" xfId="37982"/>
    <cellStyle name="Output 3 7 2 3 5" xfId="21245"/>
    <cellStyle name="Output 3 7 2 3 5 2" xfId="46767"/>
    <cellStyle name="Output 3 7 2 3 5 3" xfId="50673"/>
    <cellStyle name="Output 3 7 2 3 5 4" xfId="38637"/>
    <cellStyle name="Output 3 7 2 3 6" xfId="21898"/>
    <cellStyle name="Output 3 7 2 3 6 2" xfId="47420"/>
    <cellStyle name="Output 3 7 2 3 6 3" xfId="51326"/>
    <cellStyle name="Output 3 7 2 3 7" xfId="41223"/>
    <cellStyle name="Output 3 7 2 3 8" xfId="39152"/>
    <cellStyle name="Output 3 7 2 4" xfId="15262"/>
    <cellStyle name="Output 3 7 2 4 2" xfId="43117"/>
    <cellStyle name="Output 3 7 2 4 3" xfId="41909"/>
    <cellStyle name="Output 3 7 2 4 4" xfId="32883"/>
    <cellStyle name="Output 3 7 2 5" xfId="19646"/>
    <cellStyle name="Output 3 7 2 5 2" xfId="45168"/>
    <cellStyle name="Output 3 7 2 5 3" xfId="49074"/>
    <cellStyle name="Output 3 7 2 5 4" xfId="37166"/>
    <cellStyle name="Output 3 7 2 6" xfId="19644"/>
    <cellStyle name="Output 3 7 2 6 2" xfId="45166"/>
    <cellStyle name="Output 3 7 2 6 3" xfId="49072"/>
    <cellStyle name="Output 3 7 2 6 4" xfId="37164"/>
    <cellStyle name="Output 3 7 2 7" xfId="20261"/>
    <cellStyle name="Output 3 7 2 7 2" xfId="45783"/>
    <cellStyle name="Output 3 7 2 7 3" xfId="49689"/>
    <cellStyle name="Output 3 7 2 7 4" xfId="37715"/>
    <cellStyle name="Output 3 7 2 8" xfId="20495"/>
    <cellStyle name="Output 3 7 2 8 2" xfId="46017"/>
    <cellStyle name="Output 3 7 2 8 3" xfId="49923"/>
    <cellStyle name="Output 3 7 2 9" xfId="39977"/>
    <cellStyle name="Output 3 7 3" xfId="13274"/>
    <cellStyle name="Output 3 7 3 2" xfId="42425"/>
    <cellStyle name="Output 3 7 3 3" xfId="39621"/>
    <cellStyle name="Output 3 7 3 4" xfId="30905"/>
    <cellStyle name="Output 3 7 4" xfId="20299"/>
    <cellStyle name="Output 3 7 4 2" xfId="45821"/>
    <cellStyle name="Output 3 7 4 3" xfId="49727"/>
    <cellStyle name="Output 3 7 4 4" xfId="37750"/>
    <cellStyle name="Output 3 7 5" xfId="53396"/>
    <cellStyle name="Output 3 8" xfId="5314"/>
    <cellStyle name="Output 3 8 2" xfId="7481"/>
    <cellStyle name="Output 3 8 2 10" xfId="47522"/>
    <cellStyle name="Output 3 8 2 2" xfId="10751"/>
    <cellStyle name="Output 3 8 2 2 2" xfId="18538"/>
    <cellStyle name="Output 3 8 2 2 2 2" xfId="44070"/>
    <cellStyle name="Output 3 8 2 2 2 3" xfId="47979"/>
    <cellStyle name="Output 3 8 2 2 2 4" xfId="36161"/>
    <cellStyle name="Output 3 8 2 2 3" xfId="19398"/>
    <cellStyle name="Output 3 8 2 2 3 2" xfId="44920"/>
    <cellStyle name="Output 3 8 2 2 3 3" xfId="48826"/>
    <cellStyle name="Output 3 8 2 2 3 4" xfId="36949"/>
    <cellStyle name="Output 3 8 2 2 4" xfId="11634"/>
    <cellStyle name="Output 3 8 2 2 4 2" xfId="41625"/>
    <cellStyle name="Output 3 8 2 2 4 3" xfId="40001"/>
    <cellStyle name="Output 3 8 2 2 4 4" xfId="29321"/>
    <cellStyle name="Output 3 8 2 2 5" xfId="20951"/>
    <cellStyle name="Output 3 8 2 2 5 2" xfId="46473"/>
    <cellStyle name="Output 3 8 2 2 5 3" xfId="50379"/>
    <cellStyle name="Output 3 8 2 2 5 4" xfId="38343"/>
    <cellStyle name="Output 3 8 2 2 6" xfId="21604"/>
    <cellStyle name="Output 3 8 2 2 6 2" xfId="47126"/>
    <cellStyle name="Output 3 8 2 2 6 3" xfId="51032"/>
    <cellStyle name="Output 3 8 2 2 7" xfId="40929"/>
    <cellStyle name="Output 3 8 2 2 8" xfId="43602"/>
    <cellStyle name="Output 3 8 2 3" xfId="11046"/>
    <cellStyle name="Output 3 8 2 3 2" xfId="18833"/>
    <cellStyle name="Output 3 8 2 3 2 2" xfId="44365"/>
    <cellStyle name="Output 3 8 2 3 2 3" xfId="48274"/>
    <cellStyle name="Output 3 8 2 3 2 4" xfId="36456"/>
    <cellStyle name="Output 3 8 2 3 3" xfId="20426"/>
    <cellStyle name="Output 3 8 2 3 3 2" xfId="45948"/>
    <cellStyle name="Output 3 8 2 3 3 3" xfId="49854"/>
    <cellStyle name="Output 3 8 2 3 3 4" xfId="37866"/>
    <cellStyle name="Output 3 8 2 3 4" xfId="20570"/>
    <cellStyle name="Output 3 8 2 3 4 2" xfId="46092"/>
    <cellStyle name="Output 3 8 2 3 4 3" xfId="49998"/>
    <cellStyle name="Output 3 8 2 3 4 4" xfId="37983"/>
    <cellStyle name="Output 3 8 2 3 5" xfId="21246"/>
    <cellStyle name="Output 3 8 2 3 5 2" xfId="46768"/>
    <cellStyle name="Output 3 8 2 3 5 3" xfId="50674"/>
    <cellStyle name="Output 3 8 2 3 5 4" xfId="38638"/>
    <cellStyle name="Output 3 8 2 3 6" xfId="21899"/>
    <cellStyle name="Output 3 8 2 3 6 2" xfId="47421"/>
    <cellStyle name="Output 3 8 2 3 6 3" xfId="51327"/>
    <cellStyle name="Output 3 8 2 3 7" xfId="41224"/>
    <cellStyle name="Output 3 8 2 3 8" xfId="41393"/>
    <cellStyle name="Output 3 8 2 4" xfId="15263"/>
    <cellStyle name="Output 3 8 2 4 2" xfId="43118"/>
    <cellStyle name="Output 3 8 2 4 3" xfId="43263"/>
    <cellStyle name="Output 3 8 2 4 4" xfId="32884"/>
    <cellStyle name="Output 3 8 2 5" xfId="20205"/>
    <cellStyle name="Output 3 8 2 5 2" xfId="45727"/>
    <cellStyle name="Output 3 8 2 5 3" xfId="49633"/>
    <cellStyle name="Output 3 8 2 5 4" xfId="37668"/>
    <cellStyle name="Output 3 8 2 6" xfId="20461"/>
    <cellStyle name="Output 3 8 2 6 2" xfId="45983"/>
    <cellStyle name="Output 3 8 2 6 3" xfId="49889"/>
    <cellStyle name="Output 3 8 2 6 4" xfId="37900"/>
    <cellStyle name="Output 3 8 2 7" xfId="19009"/>
    <cellStyle name="Output 3 8 2 7 2" xfId="44531"/>
    <cellStyle name="Output 3 8 2 7 3" xfId="48437"/>
    <cellStyle name="Output 3 8 2 7 4" xfId="36603"/>
    <cellStyle name="Output 3 8 2 8" xfId="12492"/>
    <cellStyle name="Output 3 8 2 8 2" xfId="41986"/>
    <cellStyle name="Output 3 8 2 8 3" xfId="40424"/>
    <cellStyle name="Output 3 8 2 9" xfId="39978"/>
    <cellStyle name="Output 3 8 3" xfId="13275"/>
    <cellStyle name="Output 3 8 3 2" xfId="42426"/>
    <cellStyle name="Output 3 8 3 3" xfId="42657"/>
    <cellStyle name="Output 3 8 3 4" xfId="30906"/>
    <cellStyle name="Output 3 8 4" xfId="19510"/>
    <cellStyle name="Output 3 8 4 2" xfId="45032"/>
    <cellStyle name="Output 3 8 4 3" xfId="48938"/>
    <cellStyle name="Output 3 8 4 4" xfId="37044"/>
    <cellStyle name="Output 3 9" xfId="5315"/>
    <cellStyle name="Output 3 9 2" xfId="10472"/>
    <cellStyle name="Output 3 9 2 2" xfId="18259"/>
    <cellStyle name="Output 3 9 2 2 2" xfId="43791"/>
    <cellStyle name="Output 3 9 2 2 3" xfId="47700"/>
    <cellStyle name="Output 3 9 2 2 4" xfId="35882"/>
    <cellStyle name="Output 3 9 2 3" xfId="19907"/>
    <cellStyle name="Output 3 9 2 3 2" xfId="45429"/>
    <cellStyle name="Output 3 9 2 3 3" xfId="49335"/>
    <cellStyle name="Output 3 9 2 3 4" xfId="37407"/>
    <cellStyle name="Output 3 9 2 4" xfId="11452"/>
    <cellStyle name="Output 3 9 2 4 2" xfId="41443"/>
    <cellStyle name="Output 3 9 2 4 3" xfId="40439"/>
    <cellStyle name="Output 3 9 2 4 4" xfId="29157"/>
    <cellStyle name="Output 3 9 2 5" xfId="20672"/>
    <cellStyle name="Output 3 9 2 5 2" xfId="46194"/>
    <cellStyle name="Output 3 9 2 5 3" xfId="50100"/>
    <cellStyle name="Output 3 9 2 5 4" xfId="38064"/>
    <cellStyle name="Output 3 9 2 6" xfId="21325"/>
    <cellStyle name="Output 3 9 2 6 2" xfId="46847"/>
    <cellStyle name="Output 3 9 2 6 3" xfId="50753"/>
    <cellStyle name="Output 3 9 2 7" xfId="40650"/>
    <cellStyle name="Output 3 9 2 8" xfId="39375"/>
    <cellStyle name="Output 3 9 3" xfId="8798"/>
    <cellStyle name="Output 3 9 3 2" xfId="16588"/>
    <cellStyle name="Output 3 9 3 2 2" xfId="43413"/>
    <cellStyle name="Output 3 9 3 2 3" xfId="39599"/>
    <cellStyle name="Output 3 9 3 2 4" xfId="34209"/>
    <cellStyle name="Output 3 9 3 3" xfId="19459"/>
    <cellStyle name="Output 3 9 3 3 2" xfId="44981"/>
    <cellStyle name="Output 3 9 3 3 3" xfId="48887"/>
    <cellStyle name="Output 3 9 3 3 4" xfId="37003"/>
    <cellStyle name="Output 3 9 3 4" xfId="19349"/>
    <cellStyle name="Output 3 9 3 4 2" xfId="44871"/>
    <cellStyle name="Output 3 9 3 4 3" xfId="48777"/>
    <cellStyle name="Output 3 9 3 4 4" xfId="36903"/>
    <cellStyle name="Output 3 9 3 5" xfId="19012"/>
    <cellStyle name="Output 3 9 3 5 2" xfId="44534"/>
    <cellStyle name="Output 3 9 3 5 3" xfId="48440"/>
    <cellStyle name="Output 3 9 3 5 4" xfId="36606"/>
    <cellStyle name="Output 3 9 3 6" xfId="19526"/>
    <cellStyle name="Output 3 9 3 6 2" xfId="45048"/>
    <cellStyle name="Output 3 9 3 6 3" xfId="48954"/>
    <cellStyle name="Output 3 9 3 7" xfId="40275"/>
    <cellStyle name="Output 3 9 3 8" xfId="39184"/>
    <cellStyle name="Output 3 9 4" xfId="13276"/>
    <cellStyle name="Output 3 9 4 2" xfId="42427"/>
    <cellStyle name="Output 3 9 4 3" xfId="43545"/>
    <cellStyle name="Output 3 9 4 4" xfId="30907"/>
    <cellStyle name="Output 3 9 5" xfId="11729"/>
    <cellStyle name="Output 3 9 5 2" xfId="41695"/>
    <cellStyle name="Output 3 9 5 3" xfId="42678"/>
    <cellStyle name="Output 3 9 5 4" xfId="29402"/>
    <cellStyle name="Output 3_BallGrid" xfId="3268"/>
    <cellStyle name="Output 4" xfId="138"/>
    <cellStyle name="Output 4 10" xfId="12111"/>
    <cellStyle name="Output 4 10 2" xfId="41836"/>
    <cellStyle name="Output 4 10 3" xfId="47443"/>
    <cellStyle name="Output 4 10 4" xfId="29770"/>
    <cellStyle name="Output 4 11" xfId="19669"/>
    <cellStyle name="Output 4 11 2" xfId="45191"/>
    <cellStyle name="Output 4 11 3" xfId="49097"/>
    <cellStyle name="Output 4 11 4" xfId="37187"/>
    <cellStyle name="Output 4 12" xfId="3269"/>
    <cellStyle name="Output 4 13" xfId="52739"/>
    <cellStyle name="Output 4 2" xfId="3270"/>
    <cellStyle name="Output 4 2 2" xfId="7483"/>
    <cellStyle name="Output 4 2 2 10" xfId="43507"/>
    <cellStyle name="Output 4 2 2 11" xfId="53299"/>
    <cellStyle name="Output 4 2 2 2" xfId="10753"/>
    <cellStyle name="Output 4 2 2 2 2" xfId="18540"/>
    <cellStyle name="Output 4 2 2 2 2 2" xfId="44072"/>
    <cellStyle name="Output 4 2 2 2 2 3" xfId="47981"/>
    <cellStyle name="Output 4 2 2 2 2 4" xfId="36163"/>
    <cellStyle name="Output 4 2 2 2 3" xfId="19271"/>
    <cellStyle name="Output 4 2 2 2 3 2" xfId="44793"/>
    <cellStyle name="Output 4 2 2 2 3 3" xfId="48699"/>
    <cellStyle name="Output 4 2 2 2 3 4" xfId="36835"/>
    <cellStyle name="Output 4 2 2 2 4" xfId="11648"/>
    <cellStyle name="Output 4 2 2 2 4 2" xfId="41639"/>
    <cellStyle name="Output 4 2 2 2 4 3" xfId="43462"/>
    <cellStyle name="Output 4 2 2 2 4 4" xfId="29333"/>
    <cellStyle name="Output 4 2 2 2 5" xfId="20953"/>
    <cellStyle name="Output 4 2 2 2 5 2" xfId="46475"/>
    <cellStyle name="Output 4 2 2 2 5 3" xfId="50381"/>
    <cellStyle name="Output 4 2 2 2 5 4" xfId="38345"/>
    <cellStyle name="Output 4 2 2 2 6" xfId="21606"/>
    <cellStyle name="Output 4 2 2 2 6 2" xfId="47128"/>
    <cellStyle name="Output 4 2 2 2 6 3" xfId="51034"/>
    <cellStyle name="Output 4 2 2 2 7" xfId="40931"/>
    <cellStyle name="Output 4 2 2 2 8" xfId="39570"/>
    <cellStyle name="Output 4 2 2 2 9" xfId="53407"/>
    <cellStyle name="Output 4 2 2 3" xfId="11048"/>
    <cellStyle name="Output 4 2 2 3 2" xfId="18835"/>
    <cellStyle name="Output 4 2 2 3 2 2" xfId="44367"/>
    <cellStyle name="Output 4 2 2 3 2 3" xfId="48276"/>
    <cellStyle name="Output 4 2 2 3 2 4" xfId="36458"/>
    <cellStyle name="Output 4 2 2 3 3" xfId="20428"/>
    <cellStyle name="Output 4 2 2 3 3 2" xfId="45950"/>
    <cellStyle name="Output 4 2 2 3 3 3" xfId="49856"/>
    <cellStyle name="Output 4 2 2 3 3 4" xfId="37868"/>
    <cellStyle name="Output 4 2 2 3 4" xfId="20572"/>
    <cellStyle name="Output 4 2 2 3 4 2" xfId="46094"/>
    <cellStyle name="Output 4 2 2 3 4 3" xfId="50000"/>
    <cellStyle name="Output 4 2 2 3 4 4" xfId="37985"/>
    <cellStyle name="Output 4 2 2 3 5" xfId="21248"/>
    <cellStyle name="Output 4 2 2 3 5 2" xfId="46770"/>
    <cellStyle name="Output 4 2 2 3 5 3" xfId="50676"/>
    <cellStyle name="Output 4 2 2 3 5 4" xfId="38640"/>
    <cellStyle name="Output 4 2 2 3 6" xfId="21901"/>
    <cellStyle name="Output 4 2 2 3 6 2" xfId="47423"/>
    <cellStyle name="Output 4 2 2 3 6 3" xfId="51329"/>
    <cellStyle name="Output 4 2 2 3 7" xfId="41226"/>
    <cellStyle name="Output 4 2 2 3 8" xfId="40055"/>
    <cellStyle name="Output 4 2 2 4" xfId="15265"/>
    <cellStyle name="Output 4 2 2 4 2" xfId="43120"/>
    <cellStyle name="Output 4 2 2 4 3" xfId="39236"/>
    <cellStyle name="Output 4 2 2 4 4" xfId="32886"/>
    <cellStyle name="Output 4 2 2 5" xfId="20074"/>
    <cellStyle name="Output 4 2 2 5 2" xfId="45596"/>
    <cellStyle name="Output 4 2 2 5 3" xfId="49502"/>
    <cellStyle name="Output 4 2 2 5 4" xfId="37552"/>
    <cellStyle name="Output 4 2 2 6" xfId="11617"/>
    <cellStyle name="Output 4 2 2 6 2" xfId="41608"/>
    <cellStyle name="Output 4 2 2 6 3" xfId="40324"/>
    <cellStyle name="Output 4 2 2 6 4" xfId="29306"/>
    <cellStyle name="Output 4 2 2 7" xfId="19010"/>
    <cellStyle name="Output 4 2 2 7 2" xfId="44532"/>
    <cellStyle name="Output 4 2 2 7 3" xfId="48438"/>
    <cellStyle name="Output 4 2 2 7 4" xfId="36604"/>
    <cellStyle name="Output 4 2 2 8" xfId="19828"/>
    <cellStyle name="Output 4 2 2 8 2" xfId="45350"/>
    <cellStyle name="Output 4 2 2 8 3" xfId="49256"/>
    <cellStyle name="Output 4 2 2 9" xfId="39980"/>
    <cellStyle name="Output 4 2 3" xfId="12112"/>
    <cellStyle name="Output 4 2 3 2" xfId="41837"/>
    <cellStyle name="Output 4 2 3 3" xfId="47466"/>
    <cellStyle name="Output 4 2 3 4" xfId="29771"/>
    <cellStyle name="Output 4 2 3 5" xfId="53406"/>
    <cellStyle name="Output 4 2 4" xfId="20231"/>
    <cellStyle name="Output 4 2 4 2" xfId="45753"/>
    <cellStyle name="Output 4 2 4 3" xfId="49659"/>
    <cellStyle name="Output 4 2 4 4" xfId="37689"/>
    <cellStyle name="Output 4 2 5" xfId="23009"/>
    <cellStyle name="Output 4 2 5 2" xfId="47601"/>
    <cellStyle name="Output 4 2 5 3" xfId="51412"/>
    <cellStyle name="Output 4 2 6" xfId="53298"/>
    <cellStyle name="Output 4 3" xfId="3271"/>
    <cellStyle name="Output 4 3 2" xfId="7484"/>
    <cellStyle name="Output 4 3 2 10" xfId="40370"/>
    <cellStyle name="Output 4 3 2 11" xfId="53301"/>
    <cellStyle name="Output 4 3 2 2" xfId="10754"/>
    <cellStyle name="Output 4 3 2 2 2" xfId="18541"/>
    <cellStyle name="Output 4 3 2 2 2 2" xfId="44073"/>
    <cellStyle name="Output 4 3 2 2 2 3" xfId="47982"/>
    <cellStyle name="Output 4 3 2 2 2 4" xfId="36164"/>
    <cellStyle name="Output 4 3 2 2 3" xfId="19880"/>
    <cellStyle name="Output 4 3 2 2 3 2" xfId="45402"/>
    <cellStyle name="Output 4 3 2 2 3 3" xfId="49308"/>
    <cellStyle name="Output 4 3 2 2 3 4" xfId="37380"/>
    <cellStyle name="Output 4 3 2 2 4" xfId="12686"/>
    <cellStyle name="Output 4 3 2 2 4 2" xfId="42146"/>
    <cellStyle name="Output 4 3 2 2 4 3" xfId="42535"/>
    <cellStyle name="Output 4 3 2 2 4 4" xfId="30333"/>
    <cellStyle name="Output 4 3 2 2 5" xfId="20954"/>
    <cellStyle name="Output 4 3 2 2 5 2" xfId="46476"/>
    <cellStyle name="Output 4 3 2 2 5 3" xfId="50382"/>
    <cellStyle name="Output 4 3 2 2 5 4" xfId="38346"/>
    <cellStyle name="Output 4 3 2 2 6" xfId="21607"/>
    <cellStyle name="Output 4 3 2 2 6 2" xfId="47129"/>
    <cellStyle name="Output 4 3 2 2 6 3" xfId="51035"/>
    <cellStyle name="Output 4 3 2 2 7" xfId="40932"/>
    <cellStyle name="Output 4 3 2 2 8" xfId="42578"/>
    <cellStyle name="Output 4 3 2 2 9" xfId="53409"/>
    <cellStyle name="Output 4 3 2 3" xfId="11049"/>
    <cellStyle name="Output 4 3 2 3 2" xfId="18836"/>
    <cellStyle name="Output 4 3 2 3 2 2" xfId="44368"/>
    <cellStyle name="Output 4 3 2 3 2 3" xfId="48277"/>
    <cellStyle name="Output 4 3 2 3 2 4" xfId="36459"/>
    <cellStyle name="Output 4 3 2 3 3" xfId="20429"/>
    <cellStyle name="Output 4 3 2 3 3 2" xfId="45951"/>
    <cellStyle name="Output 4 3 2 3 3 3" xfId="49857"/>
    <cellStyle name="Output 4 3 2 3 3 4" xfId="37869"/>
    <cellStyle name="Output 4 3 2 3 4" xfId="20573"/>
    <cellStyle name="Output 4 3 2 3 4 2" xfId="46095"/>
    <cellStyle name="Output 4 3 2 3 4 3" xfId="50001"/>
    <cellStyle name="Output 4 3 2 3 4 4" xfId="37986"/>
    <cellStyle name="Output 4 3 2 3 5" xfId="21249"/>
    <cellStyle name="Output 4 3 2 3 5 2" xfId="46771"/>
    <cellStyle name="Output 4 3 2 3 5 3" xfId="50677"/>
    <cellStyle name="Output 4 3 2 3 5 4" xfId="38641"/>
    <cellStyle name="Output 4 3 2 3 6" xfId="21902"/>
    <cellStyle name="Output 4 3 2 3 6 2" xfId="47424"/>
    <cellStyle name="Output 4 3 2 3 6 3" xfId="51330"/>
    <cellStyle name="Output 4 3 2 3 7" xfId="41227"/>
    <cellStyle name="Output 4 3 2 3 8" xfId="42802"/>
    <cellStyle name="Output 4 3 2 4" xfId="15266"/>
    <cellStyle name="Output 4 3 2 4 2" xfId="43121"/>
    <cellStyle name="Output 4 3 2 4 3" xfId="39028"/>
    <cellStyle name="Output 4 3 2 4 4" xfId="32887"/>
    <cellStyle name="Output 4 3 2 5" xfId="19336"/>
    <cellStyle name="Output 4 3 2 5 2" xfId="44858"/>
    <cellStyle name="Output 4 3 2 5 3" xfId="48764"/>
    <cellStyle name="Output 4 3 2 5 4" xfId="36893"/>
    <cellStyle name="Output 4 3 2 6" xfId="11559"/>
    <cellStyle name="Output 4 3 2 6 2" xfId="41550"/>
    <cellStyle name="Output 4 3 2 6 3" xfId="40328"/>
    <cellStyle name="Output 4 3 2 6 4" xfId="29256"/>
    <cellStyle name="Output 4 3 2 7" xfId="12493"/>
    <cellStyle name="Output 4 3 2 7 2" xfId="41987"/>
    <cellStyle name="Output 4 3 2 7 3" xfId="39534"/>
    <cellStyle name="Output 4 3 2 7 4" xfId="30148"/>
    <cellStyle name="Output 4 3 2 8" xfId="18894"/>
    <cellStyle name="Output 4 3 2 8 2" xfId="44416"/>
    <cellStyle name="Output 4 3 2 8 3" xfId="48322"/>
    <cellStyle name="Output 4 3 2 9" xfId="39981"/>
    <cellStyle name="Output 4 3 3" xfId="12113"/>
    <cellStyle name="Output 4 3 3 2" xfId="41838"/>
    <cellStyle name="Output 4 3 3 3" xfId="47553"/>
    <cellStyle name="Output 4 3 3 4" xfId="29772"/>
    <cellStyle name="Output 4 3 3 5" xfId="53408"/>
    <cellStyle name="Output 4 3 4" xfId="19531"/>
    <cellStyle name="Output 4 3 4 2" xfId="45053"/>
    <cellStyle name="Output 4 3 4 3" xfId="48959"/>
    <cellStyle name="Output 4 3 4 4" xfId="37061"/>
    <cellStyle name="Output 4 3 5" xfId="22606"/>
    <cellStyle name="Output 4 3 5 2" xfId="47533"/>
    <cellStyle name="Output 4 3 5 3" xfId="51382"/>
    <cellStyle name="Output 4 3 6" xfId="53300"/>
    <cellStyle name="Output 4 4" xfId="3272"/>
    <cellStyle name="Output 4 4 2" xfId="7485"/>
    <cellStyle name="Output 4 4 2 10" xfId="39482"/>
    <cellStyle name="Output 4 4 2 11" xfId="53410"/>
    <cellStyle name="Output 4 4 2 2" xfId="10755"/>
    <cellStyle name="Output 4 4 2 2 2" xfId="18542"/>
    <cellStyle name="Output 4 4 2 2 2 2" xfId="44074"/>
    <cellStyle name="Output 4 4 2 2 2 3" xfId="47983"/>
    <cellStyle name="Output 4 4 2 2 2 4" xfId="36165"/>
    <cellStyle name="Output 4 4 2 2 3" xfId="19103"/>
    <cellStyle name="Output 4 4 2 2 3 2" xfId="44625"/>
    <cellStyle name="Output 4 4 2 2 3 3" xfId="48531"/>
    <cellStyle name="Output 4 4 2 2 3 4" xfId="36684"/>
    <cellStyle name="Output 4 4 2 2 4" xfId="11661"/>
    <cellStyle name="Output 4 4 2 2 4 2" xfId="41652"/>
    <cellStyle name="Output 4 4 2 2 4 3" xfId="43675"/>
    <cellStyle name="Output 4 4 2 2 4 4" xfId="29343"/>
    <cellStyle name="Output 4 4 2 2 5" xfId="20955"/>
    <cellStyle name="Output 4 4 2 2 5 2" xfId="46477"/>
    <cellStyle name="Output 4 4 2 2 5 3" xfId="50383"/>
    <cellStyle name="Output 4 4 2 2 5 4" xfId="38347"/>
    <cellStyle name="Output 4 4 2 2 6" xfId="21608"/>
    <cellStyle name="Output 4 4 2 2 6 2" xfId="47130"/>
    <cellStyle name="Output 4 4 2 2 6 3" xfId="51036"/>
    <cellStyle name="Output 4 4 2 2 7" xfId="40933"/>
    <cellStyle name="Output 4 4 2 2 8" xfId="43491"/>
    <cellStyle name="Output 4 4 2 3" xfId="11050"/>
    <cellStyle name="Output 4 4 2 3 2" xfId="18837"/>
    <cellStyle name="Output 4 4 2 3 2 2" xfId="44369"/>
    <cellStyle name="Output 4 4 2 3 2 3" xfId="48278"/>
    <cellStyle name="Output 4 4 2 3 2 4" xfId="36460"/>
    <cellStyle name="Output 4 4 2 3 3" xfId="20430"/>
    <cellStyle name="Output 4 4 2 3 3 2" xfId="45952"/>
    <cellStyle name="Output 4 4 2 3 3 3" xfId="49858"/>
    <cellStyle name="Output 4 4 2 3 3 4" xfId="37870"/>
    <cellStyle name="Output 4 4 2 3 4" xfId="20574"/>
    <cellStyle name="Output 4 4 2 3 4 2" xfId="46096"/>
    <cellStyle name="Output 4 4 2 3 4 3" xfId="50002"/>
    <cellStyle name="Output 4 4 2 3 4 4" xfId="37987"/>
    <cellStyle name="Output 4 4 2 3 5" xfId="21250"/>
    <cellStyle name="Output 4 4 2 3 5 2" xfId="46772"/>
    <cellStyle name="Output 4 4 2 3 5 3" xfId="50678"/>
    <cellStyle name="Output 4 4 2 3 5 4" xfId="38642"/>
    <cellStyle name="Output 4 4 2 3 6" xfId="21903"/>
    <cellStyle name="Output 4 4 2 3 6 2" xfId="47425"/>
    <cellStyle name="Output 4 4 2 3 6 3" xfId="51331"/>
    <cellStyle name="Output 4 4 2 3 7" xfId="41228"/>
    <cellStyle name="Output 4 4 2 3 8" xfId="43691"/>
    <cellStyle name="Output 4 4 2 4" xfId="15267"/>
    <cellStyle name="Output 4 4 2 4 2" xfId="43122"/>
    <cellStyle name="Output 4 4 2 4 3" xfId="47452"/>
    <cellStyle name="Output 4 4 2 4 4" xfId="32888"/>
    <cellStyle name="Output 4 4 2 5" xfId="19945"/>
    <cellStyle name="Output 4 4 2 5 2" xfId="45467"/>
    <cellStyle name="Output 4 4 2 5 3" xfId="49373"/>
    <cellStyle name="Output 4 4 2 5 4" xfId="37436"/>
    <cellStyle name="Output 4 4 2 6" xfId="19353"/>
    <cellStyle name="Output 4 4 2 6 2" xfId="44875"/>
    <cellStyle name="Output 4 4 2 6 3" xfId="48781"/>
    <cellStyle name="Output 4 4 2 6 4" xfId="36907"/>
    <cellStyle name="Output 4 4 2 7" xfId="20050"/>
    <cellStyle name="Output 4 4 2 7 2" xfId="45572"/>
    <cellStyle name="Output 4 4 2 7 3" xfId="49478"/>
    <cellStyle name="Output 4 4 2 7 4" xfId="37531"/>
    <cellStyle name="Output 4 4 2 8" xfId="19341"/>
    <cellStyle name="Output 4 4 2 8 2" xfId="44863"/>
    <cellStyle name="Output 4 4 2 8 3" xfId="48769"/>
    <cellStyle name="Output 4 4 2 9" xfId="39982"/>
    <cellStyle name="Output 4 4 3" xfId="12114"/>
    <cellStyle name="Output 4 4 3 2" xfId="41839"/>
    <cellStyle name="Output 4 4 3 3" xfId="47472"/>
    <cellStyle name="Output 4 4 3 4" xfId="29773"/>
    <cellStyle name="Output 4 4 4" xfId="20097"/>
    <cellStyle name="Output 4 4 4 2" xfId="45619"/>
    <cellStyle name="Output 4 4 4 3" xfId="49525"/>
    <cellStyle name="Output 4 4 4 4" xfId="37571"/>
    <cellStyle name="Output 4 4 5" xfId="53302"/>
    <cellStyle name="Output 4 5" xfId="3273"/>
    <cellStyle name="Output 4 5 2" xfId="7486"/>
    <cellStyle name="Output 4 5 2 10" xfId="47597"/>
    <cellStyle name="Output 4 5 2 11" xfId="53411"/>
    <cellStyle name="Output 4 5 2 2" xfId="10756"/>
    <cellStyle name="Output 4 5 2 2 2" xfId="18543"/>
    <cellStyle name="Output 4 5 2 2 2 2" xfId="44075"/>
    <cellStyle name="Output 4 5 2 2 2 3" xfId="47984"/>
    <cellStyle name="Output 4 5 2 2 2 4" xfId="36166"/>
    <cellStyle name="Output 4 5 2 2 3" xfId="19719"/>
    <cellStyle name="Output 4 5 2 2 3 2" xfId="45241"/>
    <cellStyle name="Output 4 5 2 2 3 3" xfId="49147"/>
    <cellStyle name="Output 4 5 2 2 3 4" xfId="37232"/>
    <cellStyle name="Output 4 5 2 2 4" xfId="19351"/>
    <cellStyle name="Output 4 5 2 2 4 2" xfId="44873"/>
    <cellStyle name="Output 4 5 2 2 4 3" xfId="48779"/>
    <cellStyle name="Output 4 5 2 2 4 4" xfId="36905"/>
    <cellStyle name="Output 4 5 2 2 5" xfId="20956"/>
    <cellStyle name="Output 4 5 2 2 5 2" xfId="46478"/>
    <cellStyle name="Output 4 5 2 2 5 3" xfId="50384"/>
    <cellStyle name="Output 4 5 2 2 5 4" xfId="38348"/>
    <cellStyle name="Output 4 5 2 2 6" xfId="21609"/>
    <cellStyle name="Output 4 5 2 2 6 2" xfId="47131"/>
    <cellStyle name="Output 4 5 2 2 6 3" xfId="51037"/>
    <cellStyle name="Output 4 5 2 2 7" xfId="40934"/>
    <cellStyle name="Output 4 5 2 2 8" xfId="40354"/>
    <cellStyle name="Output 4 5 2 3" xfId="11051"/>
    <cellStyle name="Output 4 5 2 3 2" xfId="18838"/>
    <cellStyle name="Output 4 5 2 3 2 2" xfId="44370"/>
    <cellStyle name="Output 4 5 2 3 2 3" xfId="48279"/>
    <cellStyle name="Output 4 5 2 3 2 4" xfId="36461"/>
    <cellStyle name="Output 4 5 2 3 3" xfId="20431"/>
    <cellStyle name="Output 4 5 2 3 3 2" xfId="45953"/>
    <cellStyle name="Output 4 5 2 3 3 3" xfId="49859"/>
    <cellStyle name="Output 4 5 2 3 3 4" xfId="37871"/>
    <cellStyle name="Output 4 5 2 3 4" xfId="20575"/>
    <cellStyle name="Output 4 5 2 3 4 2" xfId="46097"/>
    <cellStyle name="Output 4 5 2 3 4 3" xfId="50003"/>
    <cellStyle name="Output 4 5 2 3 4 4" xfId="37988"/>
    <cellStyle name="Output 4 5 2 3 5" xfId="21251"/>
    <cellStyle name="Output 4 5 2 3 5 2" xfId="46773"/>
    <cellStyle name="Output 4 5 2 3 5 3" xfId="50679"/>
    <cellStyle name="Output 4 5 2 3 5 4" xfId="38643"/>
    <cellStyle name="Output 4 5 2 3 6" xfId="21904"/>
    <cellStyle name="Output 4 5 2 3 6 2" xfId="47426"/>
    <cellStyle name="Output 4 5 2 3 6 3" xfId="51332"/>
    <cellStyle name="Output 4 5 2 3 7" xfId="41229"/>
    <cellStyle name="Output 4 5 2 3 8" xfId="40550"/>
    <cellStyle name="Output 4 5 2 4" xfId="15268"/>
    <cellStyle name="Output 4 5 2 4 2" xfId="43123"/>
    <cellStyle name="Output 4 5 2 4 3" xfId="39027"/>
    <cellStyle name="Output 4 5 2 4 4" xfId="32889"/>
    <cellStyle name="Output 4 5 2 5" xfId="19178"/>
    <cellStyle name="Output 4 5 2 5 2" xfId="44700"/>
    <cellStyle name="Output 4 5 2 5 3" xfId="48606"/>
    <cellStyle name="Output 4 5 2 5 4" xfId="36751"/>
    <cellStyle name="Output 4 5 2 6" xfId="18910"/>
    <cellStyle name="Output 4 5 2 6 2" xfId="44432"/>
    <cellStyle name="Output 4 5 2 6 3" xfId="48338"/>
    <cellStyle name="Output 4 5 2 6 4" xfId="36524"/>
    <cellStyle name="Output 4 5 2 7" xfId="12606"/>
    <cellStyle name="Output 4 5 2 7 2" xfId="42066"/>
    <cellStyle name="Output 4 5 2 7 3" xfId="39531"/>
    <cellStyle name="Output 4 5 2 7 4" xfId="30258"/>
    <cellStyle name="Output 4 5 2 8" xfId="19490"/>
    <cellStyle name="Output 4 5 2 8 2" xfId="45012"/>
    <cellStyle name="Output 4 5 2 8 3" xfId="48918"/>
    <cellStyle name="Output 4 5 2 9" xfId="39983"/>
    <cellStyle name="Output 4 5 3" xfId="12115"/>
    <cellStyle name="Output 4 5 3 2" xfId="41840"/>
    <cellStyle name="Output 4 5 3 3" xfId="47471"/>
    <cellStyle name="Output 4 5 3 4" xfId="29774"/>
    <cellStyle name="Output 4 5 4" xfId="19357"/>
    <cellStyle name="Output 4 5 4 2" xfId="44879"/>
    <cellStyle name="Output 4 5 4 3" xfId="48785"/>
    <cellStyle name="Output 4 5 4 4" xfId="36911"/>
    <cellStyle name="Output 4 5 5" xfId="53303"/>
    <cellStyle name="Output 4 6" xfId="5316"/>
    <cellStyle name="Output 4 6 2" xfId="7487"/>
    <cellStyle name="Output 4 6 2 10" xfId="42157"/>
    <cellStyle name="Output 4 6 2 2" xfId="10757"/>
    <cellStyle name="Output 4 6 2 2 2" xfId="18544"/>
    <cellStyle name="Output 4 6 2 2 2 2" xfId="44076"/>
    <cellStyle name="Output 4 6 2 2 2 3" xfId="47985"/>
    <cellStyle name="Output 4 6 2 2 2 4" xfId="36167"/>
    <cellStyle name="Output 4 6 2 2 3" xfId="11499"/>
    <cellStyle name="Output 4 6 2 2 3 2" xfId="41490"/>
    <cellStyle name="Output 4 6 2 2 3 3" xfId="43469"/>
    <cellStyle name="Output 4 6 2 2 3 4" xfId="29200"/>
    <cellStyle name="Output 4 6 2 2 4" xfId="12674"/>
    <cellStyle name="Output 4 6 2 2 4 2" xfId="42134"/>
    <cellStyle name="Output 4 6 2 2 4 3" xfId="39284"/>
    <cellStyle name="Output 4 6 2 2 4 4" xfId="30322"/>
    <cellStyle name="Output 4 6 2 2 5" xfId="20957"/>
    <cellStyle name="Output 4 6 2 2 5 2" xfId="46479"/>
    <cellStyle name="Output 4 6 2 2 5 3" xfId="50385"/>
    <cellStyle name="Output 4 6 2 2 5 4" xfId="38349"/>
    <cellStyle name="Output 4 6 2 2 6" xfId="21610"/>
    <cellStyle name="Output 4 6 2 2 6 2" xfId="47132"/>
    <cellStyle name="Output 4 6 2 2 6 3" xfId="51038"/>
    <cellStyle name="Output 4 6 2 2 7" xfId="40935"/>
    <cellStyle name="Output 4 6 2 2 8" xfId="39466"/>
    <cellStyle name="Output 4 6 2 3" xfId="11052"/>
    <cellStyle name="Output 4 6 2 3 2" xfId="18839"/>
    <cellStyle name="Output 4 6 2 3 2 2" xfId="44371"/>
    <cellStyle name="Output 4 6 2 3 2 3" xfId="48280"/>
    <cellStyle name="Output 4 6 2 3 2 4" xfId="36462"/>
    <cellStyle name="Output 4 6 2 3 3" xfId="20432"/>
    <cellStyle name="Output 4 6 2 3 3 2" xfId="45954"/>
    <cellStyle name="Output 4 6 2 3 3 3" xfId="49860"/>
    <cellStyle name="Output 4 6 2 3 3 4" xfId="37872"/>
    <cellStyle name="Output 4 6 2 3 4" xfId="20576"/>
    <cellStyle name="Output 4 6 2 3 4 2" xfId="46098"/>
    <cellStyle name="Output 4 6 2 3 4 3" xfId="50004"/>
    <cellStyle name="Output 4 6 2 3 4 4" xfId="37989"/>
    <cellStyle name="Output 4 6 2 3 5" xfId="21252"/>
    <cellStyle name="Output 4 6 2 3 5 2" xfId="46774"/>
    <cellStyle name="Output 4 6 2 3 5 3" xfId="50680"/>
    <cellStyle name="Output 4 6 2 3 5 4" xfId="38644"/>
    <cellStyle name="Output 4 6 2 3 6" xfId="21905"/>
    <cellStyle name="Output 4 6 2 3 6 2" xfId="47427"/>
    <cellStyle name="Output 4 6 2 3 6 3" xfId="51333"/>
    <cellStyle name="Output 4 6 2 3 7" xfId="41230"/>
    <cellStyle name="Output 4 6 2 3 8" xfId="39661"/>
    <cellStyle name="Output 4 6 2 4" xfId="15269"/>
    <cellStyle name="Output 4 6 2 4 2" xfId="43124"/>
    <cellStyle name="Output 4 6 2 4 3" xfId="47578"/>
    <cellStyle name="Output 4 6 2 4 4" xfId="32890"/>
    <cellStyle name="Output 4 6 2 5" xfId="19801"/>
    <cellStyle name="Output 4 6 2 5 2" xfId="45323"/>
    <cellStyle name="Output 4 6 2 5 3" xfId="49229"/>
    <cellStyle name="Output 4 6 2 5 4" xfId="37308"/>
    <cellStyle name="Output 4 6 2 6" xfId="12935"/>
    <cellStyle name="Output 4 6 2 6 2" xfId="42232"/>
    <cellStyle name="Output 4 6 2 6 3" xfId="39521"/>
    <cellStyle name="Output 4 6 2 6 4" xfId="30570"/>
    <cellStyle name="Output 4 6 2 7" xfId="19858"/>
    <cellStyle name="Output 4 6 2 7 2" xfId="45380"/>
    <cellStyle name="Output 4 6 2 7 3" xfId="49286"/>
    <cellStyle name="Output 4 6 2 7 4" xfId="37358"/>
    <cellStyle name="Output 4 6 2 8" xfId="20476"/>
    <cellStyle name="Output 4 6 2 8 2" xfId="45998"/>
    <cellStyle name="Output 4 6 2 8 3" xfId="49904"/>
    <cellStyle name="Output 4 6 2 9" xfId="39984"/>
    <cellStyle name="Output 4 6 3" xfId="13277"/>
    <cellStyle name="Output 4 6 3 2" xfId="42428"/>
    <cellStyle name="Output 4 6 3 3" xfId="40406"/>
    <cellStyle name="Output 4 6 3 4" xfId="30908"/>
    <cellStyle name="Output 4 6 4" xfId="20358"/>
    <cellStyle name="Output 4 6 4 2" xfId="45880"/>
    <cellStyle name="Output 4 6 4 3" xfId="49786"/>
    <cellStyle name="Output 4 6 4 4" xfId="37800"/>
    <cellStyle name="Output 4 6 5" xfId="53405"/>
    <cellStyle name="Output 4 7" xfId="5317"/>
    <cellStyle name="Output 4 7 2" xfId="7488"/>
    <cellStyle name="Output 4 7 2 10" xfId="43391"/>
    <cellStyle name="Output 4 7 2 2" xfId="10758"/>
    <cellStyle name="Output 4 7 2 2 2" xfId="18545"/>
    <cellStyle name="Output 4 7 2 2 2 2" xfId="44077"/>
    <cellStyle name="Output 4 7 2 2 2 3" xfId="47986"/>
    <cellStyle name="Output 4 7 2 2 2 4" xfId="36168"/>
    <cellStyle name="Output 4 7 2 2 3" xfId="13324"/>
    <cellStyle name="Output 4 7 2 2 3 2" xfId="42475"/>
    <cellStyle name="Output 4 7 2 2 3 3" xfId="43163"/>
    <cellStyle name="Output 4 7 2 2 3 4" xfId="30950"/>
    <cellStyle name="Output 4 7 2 2 4" xfId="12796"/>
    <cellStyle name="Output 4 7 2 2 4 2" xfId="42192"/>
    <cellStyle name="Output 4 7 2 2 4 3" xfId="39524"/>
    <cellStyle name="Output 4 7 2 2 4 4" xfId="30439"/>
    <cellStyle name="Output 4 7 2 2 5" xfId="20958"/>
    <cellStyle name="Output 4 7 2 2 5 2" xfId="46480"/>
    <cellStyle name="Output 4 7 2 2 5 3" xfId="50386"/>
    <cellStyle name="Output 4 7 2 2 5 4" xfId="38350"/>
    <cellStyle name="Output 4 7 2 2 6" xfId="21611"/>
    <cellStyle name="Output 4 7 2 2 6 2" xfId="47133"/>
    <cellStyle name="Output 4 7 2 2 6 3" xfId="51039"/>
    <cellStyle name="Output 4 7 2 2 7" xfId="40936"/>
    <cellStyle name="Output 4 7 2 2 8" xfId="39358"/>
    <cellStyle name="Output 4 7 2 3" xfId="11053"/>
    <cellStyle name="Output 4 7 2 3 2" xfId="18840"/>
    <cellStyle name="Output 4 7 2 3 2 2" xfId="44372"/>
    <cellStyle name="Output 4 7 2 3 2 3" xfId="48281"/>
    <cellStyle name="Output 4 7 2 3 2 4" xfId="36463"/>
    <cellStyle name="Output 4 7 2 3 3" xfId="20433"/>
    <cellStyle name="Output 4 7 2 3 3 2" xfId="45955"/>
    <cellStyle name="Output 4 7 2 3 3 3" xfId="49861"/>
    <cellStyle name="Output 4 7 2 3 3 4" xfId="37873"/>
    <cellStyle name="Output 4 7 2 3 4" xfId="20577"/>
    <cellStyle name="Output 4 7 2 3 4 2" xfId="46099"/>
    <cellStyle name="Output 4 7 2 3 4 3" xfId="50005"/>
    <cellStyle name="Output 4 7 2 3 4 4" xfId="37990"/>
    <cellStyle name="Output 4 7 2 3 5" xfId="21253"/>
    <cellStyle name="Output 4 7 2 3 5 2" xfId="46775"/>
    <cellStyle name="Output 4 7 2 3 5 3" xfId="50681"/>
    <cellStyle name="Output 4 7 2 3 5 4" xfId="38645"/>
    <cellStyle name="Output 4 7 2 3 6" xfId="21906"/>
    <cellStyle name="Output 4 7 2 3 6 2" xfId="47428"/>
    <cellStyle name="Output 4 7 2 3 6 3" xfId="51334"/>
    <cellStyle name="Output 4 7 2 3 7" xfId="41231"/>
    <cellStyle name="Output 4 7 2 3 8" xfId="42698"/>
    <cellStyle name="Output 4 7 2 4" xfId="15270"/>
    <cellStyle name="Output 4 7 2 4 2" xfId="43125"/>
    <cellStyle name="Output 4 7 2 4 3" xfId="41255"/>
    <cellStyle name="Output 4 7 2 4 4" xfId="32891"/>
    <cellStyle name="Output 4 7 2 5" xfId="11364"/>
    <cellStyle name="Output 4 7 2 5 2" xfId="41380"/>
    <cellStyle name="Output 4 7 2 5 3" xfId="43472"/>
    <cellStyle name="Output 4 7 2 5 4" xfId="29073"/>
    <cellStyle name="Output 4 7 2 6" xfId="19845"/>
    <cellStyle name="Output 4 7 2 6 2" xfId="45367"/>
    <cellStyle name="Output 4 7 2 6 3" xfId="49273"/>
    <cellStyle name="Output 4 7 2 6 4" xfId="37346"/>
    <cellStyle name="Output 4 7 2 7" xfId="11581"/>
    <cellStyle name="Output 4 7 2 7 2" xfId="41572"/>
    <cellStyle name="Output 4 7 2 7 3" xfId="39141"/>
    <cellStyle name="Output 4 7 2 7 4" xfId="29275"/>
    <cellStyle name="Output 4 7 2 8" xfId="20512"/>
    <cellStyle name="Output 4 7 2 8 2" xfId="46034"/>
    <cellStyle name="Output 4 7 2 8 3" xfId="49940"/>
    <cellStyle name="Output 4 7 2 9" xfId="39985"/>
    <cellStyle name="Output 4 7 3" xfId="13278"/>
    <cellStyle name="Output 4 7 3 2" xfId="42429"/>
    <cellStyle name="Output 4 7 3 3" xfId="39514"/>
    <cellStyle name="Output 4 7 3 4" xfId="30909"/>
    <cellStyle name="Output 4 7 4" xfId="20298"/>
    <cellStyle name="Output 4 7 4 2" xfId="45820"/>
    <cellStyle name="Output 4 7 4 3" xfId="49726"/>
    <cellStyle name="Output 4 7 4 4" xfId="37749"/>
    <cellStyle name="Output 4 8" xfId="5318"/>
    <cellStyle name="Output 4 8 2" xfId="10473"/>
    <cellStyle name="Output 4 8 2 2" xfId="18260"/>
    <cellStyle name="Output 4 8 2 2 2" xfId="43792"/>
    <cellStyle name="Output 4 8 2 2 3" xfId="47701"/>
    <cellStyle name="Output 4 8 2 2 4" xfId="35883"/>
    <cellStyle name="Output 4 8 2 3" xfId="19130"/>
    <cellStyle name="Output 4 8 2 3 2" xfId="44652"/>
    <cellStyle name="Output 4 8 2 3 3" xfId="48558"/>
    <cellStyle name="Output 4 8 2 3 4" xfId="36711"/>
    <cellStyle name="Output 4 8 2 4" xfId="19856"/>
    <cellStyle name="Output 4 8 2 4 2" xfId="45378"/>
    <cellStyle name="Output 4 8 2 4 3" xfId="49284"/>
    <cellStyle name="Output 4 8 2 4 4" xfId="37356"/>
    <cellStyle name="Output 4 8 2 5" xfId="20673"/>
    <cellStyle name="Output 4 8 2 5 2" xfId="46195"/>
    <cellStyle name="Output 4 8 2 5 3" xfId="50101"/>
    <cellStyle name="Output 4 8 2 5 4" xfId="38065"/>
    <cellStyle name="Output 4 8 2 6" xfId="21326"/>
    <cellStyle name="Output 4 8 2 6 2" xfId="46848"/>
    <cellStyle name="Output 4 8 2 6 3" xfId="50754"/>
    <cellStyle name="Output 4 8 2 7" xfId="40651"/>
    <cellStyle name="Output 4 8 2 8" xfId="39176"/>
    <cellStyle name="Output 4 8 3" xfId="8799"/>
    <cellStyle name="Output 4 8 3 2" xfId="16589"/>
    <cellStyle name="Output 4 8 3 2 2" xfId="43414"/>
    <cellStyle name="Output 4 8 3 2 3" xfId="42634"/>
    <cellStyle name="Output 4 8 3 2 4" xfId="34210"/>
    <cellStyle name="Output 4 8 3 3" xfId="20060"/>
    <cellStyle name="Output 4 8 3 3 2" xfId="45582"/>
    <cellStyle name="Output 4 8 3 3 3" xfId="49488"/>
    <cellStyle name="Output 4 8 3 3 4" xfId="37540"/>
    <cellStyle name="Output 4 8 3 4" xfId="19457"/>
    <cellStyle name="Output 4 8 3 4 2" xfId="44979"/>
    <cellStyle name="Output 4 8 3 4 3" xfId="48885"/>
    <cellStyle name="Output 4 8 3 4 4" xfId="37001"/>
    <cellStyle name="Output 4 8 3 5" xfId="19640"/>
    <cellStyle name="Output 4 8 3 5 2" xfId="45162"/>
    <cellStyle name="Output 4 8 3 5 3" xfId="49068"/>
    <cellStyle name="Output 4 8 3 5 4" xfId="37160"/>
    <cellStyle name="Output 4 8 3 6" xfId="19514"/>
    <cellStyle name="Output 4 8 3 6 2" xfId="45036"/>
    <cellStyle name="Output 4 8 3 6 3" xfId="48942"/>
    <cellStyle name="Output 4 8 3 7" xfId="40276"/>
    <cellStyle name="Output 4 8 3 8" xfId="39183"/>
    <cellStyle name="Output 4 8 4" xfId="13279"/>
    <cellStyle name="Output 4 8 4 2" xfId="42430"/>
    <cellStyle name="Output 4 8 4 3" xfId="42523"/>
    <cellStyle name="Output 4 8 4 4" xfId="30910"/>
    <cellStyle name="Output 4 8 5" xfId="19509"/>
    <cellStyle name="Output 4 8 5 2" xfId="45031"/>
    <cellStyle name="Output 4 8 5 3" xfId="48937"/>
    <cellStyle name="Output 4 8 5 4" xfId="37043"/>
    <cellStyle name="Output 4 9" xfId="7482"/>
    <cellStyle name="Output 4 9 10" xfId="42594"/>
    <cellStyle name="Output 4 9 2" xfId="10752"/>
    <cellStyle name="Output 4 9 2 2" xfId="18539"/>
    <cellStyle name="Output 4 9 2 2 2" xfId="44071"/>
    <cellStyle name="Output 4 9 2 2 3" xfId="47980"/>
    <cellStyle name="Output 4 9 2 2 4" xfId="36162"/>
    <cellStyle name="Output 4 9 2 3" xfId="20005"/>
    <cellStyle name="Output 4 9 2 3 2" xfId="45527"/>
    <cellStyle name="Output 4 9 2 3 3" xfId="49433"/>
    <cellStyle name="Output 4 9 2 3 4" xfId="37489"/>
    <cellStyle name="Output 4 9 2 4" xfId="19251"/>
    <cellStyle name="Output 4 9 2 4 2" xfId="44773"/>
    <cellStyle name="Output 4 9 2 4 3" xfId="48679"/>
    <cellStyle name="Output 4 9 2 4 4" xfId="36815"/>
    <cellStyle name="Output 4 9 2 5" xfId="20952"/>
    <cellStyle name="Output 4 9 2 5 2" xfId="46474"/>
    <cellStyle name="Output 4 9 2 5 3" xfId="50380"/>
    <cellStyle name="Output 4 9 2 5 4" xfId="38344"/>
    <cellStyle name="Output 4 9 2 6" xfId="21605"/>
    <cellStyle name="Output 4 9 2 6 2" xfId="47127"/>
    <cellStyle name="Output 4 9 2 6 3" xfId="51033"/>
    <cellStyle name="Output 4 9 2 7" xfId="40930"/>
    <cellStyle name="Output 4 9 2 8" xfId="40460"/>
    <cellStyle name="Output 4 9 3" xfId="11047"/>
    <cellStyle name="Output 4 9 3 2" xfId="18834"/>
    <cellStyle name="Output 4 9 3 2 2" xfId="44366"/>
    <cellStyle name="Output 4 9 3 2 3" xfId="48275"/>
    <cellStyle name="Output 4 9 3 2 4" xfId="36457"/>
    <cellStyle name="Output 4 9 3 3" xfId="20427"/>
    <cellStyle name="Output 4 9 3 3 2" xfId="45949"/>
    <cellStyle name="Output 4 9 3 3 3" xfId="49855"/>
    <cellStyle name="Output 4 9 3 3 4" xfId="37867"/>
    <cellStyle name="Output 4 9 3 4" xfId="20571"/>
    <cellStyle name="Output 4 9 3 4 2" xfId="46093"/>
    <cellStyle name="Output 4 9 3 4 3" xfId="49999"/>
    <cellStyle name="Output 4 9 3 4 4" xfId="37984"/>
    <cellStyle name="Output 4 9 3 5" xfId="21247"/>
    <cellStyle name="Output 4 9 3 5 2" xfId="46769"/>
    <cellStyle name="Output 4 9 3 5 3" xfId="50675"/>
    <cellStyle name="Output 4 9 3 5 4" xfId="38639"/>
    <cellStyle name="Output 4 9 3 6" xfId="21900"/>
    <cellStyle name="Output 4 9 3 6 2" xfId="47422"/>
    <cellStyle name="Output 4 9 3 6 3" xfId="51328"/>
    <cellStyle name="Output 4 9 3 7" xfId="41225"/>
    <cellStyle name="Output 4 9 3 8" xfId="43196"/>
    <cellStyle name="Output 4 9 4" xfId="15264"/>
    <cellStyle name="Output 4 9 4 2" xfId="43119"/>
    <cellStyle name="Output 4 9 4 3" xfId="40122"/>
    <cellStyle name="Output 4 9 4 4" xfId="32885"/>
    <cellStyle name="Output 4 9 5" xfId="19473"/>
    <cellStyle name="Output 4 9 5 2" xfId="44995"/>
    <cellStyle name="Output 4 9 5 3" xfId="48901"/>
    <cellStyle name="Output 4 9 5 4" xfId="37015"/>
    <cellStyle name="Output 4 9 6" xfId="19147"/>
    <cellStyle name="Output 4 9 6 2" xfId="44669"/>
    <cellStyle name="Output 4 9 6 3" xfId="48575"/>
    <cellStyle name="Output 4 9 6 4" xfId="36725"/>
    <cellStyle name="Output 4 9 7" xfId="19220"/>
    <cellStyle name="Output 4 9 7 2" xfId="44742"/>
    <cellStyle name="Output 4 9 7 3" xfId="48648"/>
    <cellStyle name="Output 4 9 7 4" xfId="36788"/>
    <cellStyle name="Output 4 9 8" xfId="11664"/>
    <cellStyle name="Output 4 9 8 2" xfId="41655"/>
    <cellStyle name="Output 4 9 8 3" xfId="42681"/>
    <cellStyle name="Output 4 9 9" xfId="39979"/>
    <cellStyle name="Output 5" xfId="3274"/>
    <cellStyle name="Output 5 2" xfId="5319"/>
    <cellStyle name="Output 5 3" xfId="5320"/>
    <cellStyle name="Output 5 3 2" xfId="10474"/>
    <cellStyle name="Output 5 3 2 2" xfId="18261"/>
    <cellStyle name="Output 5 3 2 2 2" xfId="43793"/>
    <cellStyle name="Output 5 3 2 2 3" xfId="47702"/>
    <cellStyle name="Output 5 3 2 2 4" xfId="35884"/>
    <cellStyle name="Output 5 3 2 2 5" xfId="53413"/>
    <cellStyle name="Output 5 3 2 3" xfId="19755"/>
    <cellStyle name="Output 5 3 2 3 2" xfId="45277"/>
    <cellStyle name="Output 5 3 2 3 3" xfId="49183"/>
    <cellStyle name="Output 5 3 2 3 4" xfId="37268"/>
    <cellStyle name="Output 5 3 2 4" xfId="19959"/>
    <cellStyle name="Output 5 3 2 4 2" xfId="45481"/>
    <cellStyle name="Output 5 3 2 4 3" xfId="49387"/>
    <cellStyle name="Output 5 3 2 4 4" xfId="37449"/>
    <cellStyle name="Output 5 3 2 5" xfId="20674"/>
    <cellStyle name="Output 5 3 2 5 2" xfId="46196"/>
    <cellStyle name="Output 5 3 2 5 3" xfId="50102"/>
    <cellStyle name="Output 5 3 2 5 4" xfId="38066"/>
    <cellStyle name="Output 5 3 2 6" xfId="21327"/>
    <cellStyle name="Output 5 3 2 6 2" xfId="46849"/>
    <cellStyle name="Output 5 3 2 6 3" xfId="50755"/>
    <cellStyle name="Output 5 3 2 7" xfId="40652"/>
    <cellStyle name="Output 5 3 2 8" xfId="41417"/>
    <cellStyle name="Output 5 3 2 9" xfId="53306"/>
    <cellStyle name="Output 5 3 3" xfId="8800"/>
    <cellStyle name="Output 5 3 3 2" xfId="16590"/>
    <cellStyle name="Output 5 3 3 2 2" xfId="43415"/>
    <cellStyle name="Output 5 3 3 2 3" xfId="43523"/>
    <cellStyle name="Output 5 3 3 2 4" xfId="34211"/>
    <cellStyle name="Output 5 3 3 3" xfId="19326"/>
    <cellStyle name="Output 5 3 3 3 2" xfId="44848"/>
    <cellStyle name="Output 5 3 3 3 3" xfId="48754"/>
    <cellStyle name="Output 5 3 3 3 4" xfId="36884"/>
    <cellStyle name="Output 5 3 3 4" xfId="11638"/>
    <cellStyle name="Output 5 3 3 4 2" xfId="41629"/>
    <cellStyle name="Output 5 3 3 4 3" xfId="40041"/>
    <cellStyle name="Output 5 3 3 4 4" xfId="29324"/>
    <cellStyle name="Output 5 3 3 5" xfId="20173"/>
    <cellStyle name="Output 5 3 3 5 2" xfId="45695"/>
    <cellStyle name="Output 5 3 3 5 3" xfId="49601"/>
    <cellStyle name="Output 5 3 3 5 4" xfId="37644"/>
    <cellStyle name="Output 5 3 3 6" xfId="19226"/>
    <cellStyle name="Output 5 3 3 6 2" xfId="44748"/>
    <cellStyle name="Output 5 3 3 6 3" xfId="48654"/>
    <cellStyle name="Output 5 3 3 7" xfId="40277"/>
    <cellStyle name="Output 5 3 3 8" xfId="39182"/>
    <cellStyle name="Output 5 3 3 9" xfId="53412"/>
    <cellStyle name="Output 5 3 4" xfId="13280"/>
    <cellStyle name="Output 5 3 4 2" xfId="42431"/>
    <cellStyle name="Output 5 3 4 3" xfId="43434"/>
    <cellStyle name="Output 5 3 4 4" xfId="30911"/>
    <cellStyle name="Output 5 3 5" xfId="20357"/>
    <cellStyle name="Output 5 3 5 2" xfId="45879"/>
    <cellStyle name="Output 5 3 5 3" xfId="49785"/>
    <cellStyle name="Output 5 3 5 4" xfId="37799"/>
    <cellStyle name="Output 5 3 6" xfId="22607"/>
    <cellStyle name="Output 5 3 6 2" xfId="47534"/>
    <cellStyle name="Output 5 3 6 3" xfId="51383"/>
    <cellStyle name="Output 5 3 7" xfId="53305"/>
    <cellStyle name="Output 5 4" xfId="53307"/>
    <cellStyle name="Output 5 5" xfId="53308"/>
    <cellStyle name="Output 5 5 2" xfId="53414"/>
    <cellStyle name="Output 5 6" xfId="53304"/>
    <cellStyle name="Output 6" xfId="3275"/>
    <cellStyle name="Output 6 2" xfId="23010"/>
    <cellStyle name="Output 6 3" xfId="22608"/>
    <cellStyle name="Output 6 3 2" xfId="47535"/>
    <cellStyle name="Output 6 3 2 2" xfId="53311"/>
    <cellStyle name="Output 6 3 3" xfId="51384"/>
    <cellStyle name="Output 6 3 3 2" xfId="53415"/>
    <cellStyle name="Output 6 3 4" xfId="53310"/>
    <cellStyle name="Output 6 4" xfId="53312"/>
    <cellStyle name="Output 6 5" xfId="53313"/>
    <cellStyle name="Output 6 5 2" xfId="53416"/>
    <cellStyle name="Output 6 6" xfId="53309"/>
    <cellStyle name="Output 7" xfId="3276"/>
    <cellStyle name="Output 7 2" xfId="22609"/>
    <cellStyle name="Output 8" xfId="3277"/>
    <cellStyle name="Output 8 2" xfId="22611"/>
    <cellStyle name="Output 8 3" xfId="22610"/>
    <cellStyle name="Output 9" xfId="3278"/>
    <cellStyle name="Output 9 2" xfId="22612"/>
    <cellStyle name="Percent [2]" xfId="3279"/>
    <cellStyle name="Percent [2] 10" xfId="3280"/>
    <cellStyle name="Percent [2] 10 2" xfId="3281"/>
    <cellStyle name="Percent [2] 10 2 2" xfId="5323"/>
    <cellStyle name="Percent [2] 10 2 3" xfId="6042"/>
    <cellStyle name="Percent [2] 10 2 4" xfId="52637"/>
    <cellStyle name="Percent [2] 10 3" xfId="3282"/>
    <cellStyle name="Percent [2] 10 3 2" xfId="3283"/>
    <cellStyle name="Percent [2] 10 3 2 2" xfId="5325"/>
    <cellStyle name="Percent [2] 10 3 2 3" xfId="6044"/>
    <cellStyle name="Percent [2] 10 3 2 4" xfId="52639"/>
    <cellStyle name="Percent [2] 10 3 3" xfId="5324"/>
    <cellStyle name="Percent [2] 10 3 4" xfId="6043"/>
    <cellStyle name="Percent [2] 10 3 5" xfId="52638"/>
    <cellStyle name="Percent [2] 10 4" xfId="3284"/>
    <cellStyle name="Percent [2] 10 4 2" xfId="3285"/>
    <cellStyle name="Percent [2] 10 4 2 2" xfId="5327"/>
    <cellStyle name="Percent [2] 10 4 2 3" xfId="6046"/>
    <cellStyle name="Percent [2] 10 4 2 4" xfId="52641"/>
    <cellStyle name="Percent [2] 10 4 3" xfId="3286"/>
    <cellStyle name="Percent [2] 10 4 3 2" xfId="3287"/>
    <cellStyle name="Percent [2] 10 4 3 2 2" xfId="5329"/>
    <cellStyle name="Percent [2] 10 4 3 2 3" xfId="6048"/>
    <cellStyle name="Percent [2] 10 4 3 2 4" xfId="52643"/>
    <cellStyle name="Percent [2] 10 4 3 3" xfId="3288"/>
    <cellStyle name="Percent [2] 10 4 3 3 2" xfId="3289"/>
    <cellStyle name="Percent [2] 10 4 3 3 2 2" xfId="5331"/>
    <cellStyle name="Percent [2] 10 4 3 3 2 3" xfId="6050"/>
    <cellStyle name="Percent [2] 10 4 3 3 2 4" xfId="52645"/>
    <cellStyle name="Percent [2] 10 4 3 3 3" xfId="5330"/>
    <cellStyle name="Percent [2] 10 4 3 3 4" xfId="6049"/>
    <cellStyle name="Percent [2] 10 4 3 3 5" xfId="52644"/>
    <cellStyle name="Percent [2] 10 4 3 4" xfId="5332"/>
    <cellStyle name="Percent [2] 10 4 3 4 2" xfId="6051"/>
    <cellStyle name="Percent [2] 10 4 3 5" xfId="5328"/>
    <cellStyle name="Percent [2] 10 4 3 6" xfId="6047"/>
    <cellStyle name="Percent [2] 10 4 3 7" xfId="52642"/>
    <cellStyle name="Percent [2] 10 4 4" xfId="5326"/>
    <cellStyle name="Percent [2] 10 4 5" xfId="6045"/>
    <cellStyle name="Percent [2] 10 4 6" xfId="52640"/>
    <cellStyle name="Percent [2] 10 5" xfId="5322"/>
    <cellStyle name="Percent [2] 10 6" xfId="6041"/>
    <cellStyle name="Percent [2] 10 7" xfId="52636"/>
    <cellStyle name="Percent [2] 11" xfId="3290"/>
    <cellStyle name="Percent [2] 11 2" xfId="3291"/>
    <cellStyle name="Percent [2] 11 2 2" xfId="5334"/>
    <cellStyle name="Percent [2] 11 2 3" xfId="6053"/>
    <cellStyle name="Percent [2] 11 2 4" xfId="52647"/>
    <cellStyle name="Percent [2] 11 3" xfId="5333"/>
    <cellStyle name="Percent [2] 11 4" xfId="6052"/>
    <cellStyle name="Percent [2] 11 5" xfId="52646"/>
    <cellStyle name="Percent [2] 12" xfId="3292"/>
    <cellStyle name="Percent [2] 12 2" xfId="3293"/>
    <cellStyle name="Percent [2] 12 2 2" xfId="5336"/>
    <cellStyle name="Percent [2] 12 2 3" xfId="6055"/>
    <cellStyle name="Percent [2] 12 2 4" xfId="52649"/>
    <cellStyle name="Percent [2] 12 3" xfId="3294"/>
    <cellStyle name="Percent [2] 12 3 2" xfId="3295"/>
    <cellStyle name="Percent [2] 12 3 2 2" xfId="5338"/>
    <cellStyle name="Percent [2] 12 3 2 3" xfId="6057"/>
    <cellStyle name="Percent [2] 12 3 2 4" xfId="52651"/>
    <cellStyle name="Percent [2] 12 3 3" xfId="3296"/>
    <cellStyle name="Percent [2] 12 3 3 2" xfId="3297"/>
    <cellStyle name="Percent [2] 12 3 3 2 2" xfId="5340"/>
    <cellStyle name="Percent [2] 12 3 3 2 3" xfId="6059"/>
    <cellStyle name="Percent [2] 12 3 3 2 4" xfId="52653"/>
    <cellStyle name="Percent [2] 12 3 3 3" xfId="5339"/>
    <cellStyle name="Percent [2] 12 3 3 4" xfId="6058"/>
    <cellStyle name="Percent [2] 12 3 3 5" xfId="52652"/>
    <cellStyle name="Percent [2] 12 3 4" xfId="5341"/>
    <cellStyle name="Percent [2] 12 3 4 2" xfId="6060"/>
    <cellStyle name="Percent [2] 12 3 5" xfId="5337"/>
    <cellStyle name="Percent [2] 12 3 6" xfId="6056"/>
    <cellStyle name="Percent [2] 12 3 7" xfId="52650"/>
    <cellStyle name="Percent [2] 12 4" xfId="5335"/>
    <cellStyle name="Percent [2] 12 5" xfId="6054"/>
    <cellStyle name="Percent [2] 12 6" xfId="52648"/>
    <cellStyle name="Percent [2] 13" xfId="3298"/>
    <cellStyle name="Percent [2] 13 2" xfId="3299"/>
    <cellStyle name="Percent [2] 13 2 2" xfId="5343"/>
    <cellStyle name="Percent [2] 13 2 3" xfId="6062"/>
    <cellStyle name="Percent [2] 13 2 4" xfId="52655"/>
    <cellStyle name="Percent [2] 13 3" xfId="3300"/>
    <cellStyle name="Percent [2] 13 3 2" xfId="3301"/>
    <cellStyle name="Percent [2] 13 3 2 2" xfId="5345"/>
    <cellStyle name="Percent [2] 13 3 2 3" xfId="6064"/>
    <cellStyle name="Percent [2] 13 3 2 4" xfId="52657"/>
    <cellStyle name="Percent [2] 13 3 3" xfId="5344"/>
    <cellStyle name="Percent [2] 13 3 4" xfId="6063"/>
    <cellStyle name="Percent [2] 13 3 5" xfId="52656"/>
    <cellStyle name="Percent [2] 13 4" xfId="5346"/>
    <cellStyle name="Percent [2] 13 4 2" xfId="6065"/>
    <cellStyle name="Percent [2] 13 5" xfId="5342"/>
    <cellStyle name="Percent [2] 13 6" xfId="6061"/>
    <cellStyle name="Percent [2] 13 7" xfId="52654"/>
    <cellStyle name="Percent [2] 14" xfId="3302"/>
    <cellStyle name="Percent [2] 14 2" xfId="3303"/>
    <cellStyle name="Percent [2] 14 2 2" xfId="5348"/>
    <cellStyle name="Percent [2] 14 2 3" xfId="6067"/>
    <cellStyle name="Percent [2] 14 2 4" xfId="52659"/>
    <cellStyle name="Percent [2] 14 3" xfId="3304"/>
    <cellStyle name="Percent [2] 14 3 2" xfId="5350"/>
    <cellStyle name="Percent [2] 14 3 2 2" xfId="6069"/>
    <cellStyle name="Percent [2] 14 3 3" xfId="5349"/>
    <cellStyle name="Percent [2] 14 3 4" xfId="6068"/>
    <cellStyle name="Percent [2] 14 3 5" xfId="52660"/>
    <cellStyle name="Percent [2] 14 4" xfId="3305"/>
    <cellStyle name="Percent [2] 14 4 2" xfId="5347"/>
    <cellStyle name="Percent [2] 14 5" xfId="6066"/>
    <cellStyle name="Percent [2] 14 6" xfId="52658"/>
    <cellStyle name="Percent [2] 15" xfId="3306"/>
    <cellStyle name="Percent [2] 15 2" xfId="3307"/>
    <cellStyle name="Percent [2] 15 2 2" xfId="5351"/>
    <cellStyle name="Percent [2] 15 3" xfId="6070"/>
    <cellStyle name="Percent [2] 15 4" xfId="52661"/>
    <cellStyle name="Percent [2] 16" xfId="3308"/>
    <cellStyle name="Percent [2] 16 2" xfId="3309"/>
    <cellStyle name="Percent [2] 16 2 2" xfId="6071"/>
    <cellStyle name="Percent [2] 16 2 3" xfId="5353"/>
    <cellStyle name="Percent [2] 16 2 4" xfId="52663"/>
    <cellStyle name="Percent [2] 16 3" xfId="3310"/>
    <cellStyle name="Percent [2] 16 3 2" xfId="3311"/>
    <cellStyle name="Percent [2] 16 3 3" xfId="3312"/>
    <cellStyle name="Percent [2] 16 3 4" xfId="3313"/>
    <cellStyle name="Percent [2] 16 4" xfId="5352"/>
    <cellStyle name="Percent [2] 16 5" xfId="52662"/>
    <cellStyle name="Percent [2] 17" xfId="3314"/>
    <cellStyle name="Percent [2] 17 2" xfId="3315"/>
    <cellStyle name="Percent [2] 17 3" xfId="3316"/>
    <cellStyle name="Percent [2] 17 4" xfId="5321"/>
    <cellStyle name="Percent [2] 18" xfId="3317"/>
    <cellStyle name="Percent [2] 19" xfId="3318"/>
    <cellStyle name="Percent [2] 2" xfId="3319"/>
    <cellStyle name="Percent [2] 2 2" xfId="5354"/>
    <cellStyle name="Percent [2] 2 3" xfId="6072"/>
    <cellStyle name="Percent [2] 2 4" xfId="52664"/>
    <cellStyle name="Percent [2] 20" xfId="3320"/>
    <cellStyle name="Percent [2] 21" xfId="53314"/>
    <cellStyle name="Percent [2] 3" xfId="3321"/>
    <cellStyle name="Percent [2] 3 2" xfId="5355"/>
    <cellStyle name="Percent [2] 3 3" xfId="6073"/>
    <cellStyle name="Percent [2] 3 4" xfId="52665"/>
    <cellStyle name="Percent [2] 4" xfId="3322"/>
    <cellStyle name="Percent [2] 4 2" xfId="5356"/>
    <cellStyle name="Percent [2] 4 3" xfId="6074"/>
    <cellStyle name="Percent [2] 4 4" xfId="52666"/>
    <cellStyle name="Percent [2] 5" xfId="3323"/>
    <cellStyle name="Percent [2] 5 10" xfId="3324"/>
    <cellStyle name="Percent [2] 5 10 2" xfId="3325"/>
    <cellStyle name="Percent [2] 5 10 2 2" xfId="5359"/>
    <cellStyle name="Percent [2] 5 10 2 3" xfId="6076"/>
    <cellStyle name="Percent [2] 5 10 2 4" xfId="52668"/>
    <cellStyle name="Percent [2] 5 10 3" xfId="3326"/>
    <cellStyle name="Percent [2] 5 10 3 2" xfId="5361"/>
    <cellStyle name="Percent [2] 5 10 3 2 2" xfId="6078"/>
    <cellStyle name="Percent [2] 5 10 3 3" xfId="5360"/>
    <cellStyle name="Percent [2] 5 10 3 4" xfId="6077"/>
    <cellStyle name="Percent [2] 5 10 3 5" xfId="52669"/>
    <cellStyle name="Percent [2] 5 10 4" xfId="3327"/>
    <cellStyle name="Percent [2] 5 10 4 2" xfId="5358"/>
    <cellStyle name="Percent [2] 5 10 5" xfId="6075"/>
    <cellStyle name="Percent [2] 5 10 6" xfId="52667"/>
    <cellStyle name="Percent [2] 5 11" xfId="3328"/>
    <cellStyle name="Percent [2] 5 11 2" xfId="3329"/>
    <cellStyle name="Percent [2] 5 11 2 2" xfId="5362"/>
    <cellStyle name="Percent [2] 5 11 3" xfId="6079"/>
    <cellStyle name="Percent [2] 5 11 4" xfId="52670"/>
    <cellStyle name="Percent [2] 5 12" xfId="3330"/>
    <cellStyle name="Percent [2] 5 12 2" xfId="3331"/>
    <cellStyle name="Percent [2] 5 12 2 2" xfId="6080"/>
    <cellStyle name="Percent [2] 5 12 2 3" xfId="5364"/>
    <cellStyle name="Percent [2] 5 12 2 4" xfId="52672"/>
    <cellStyle name="Percent [2] 5 12 3" xfId="3332"/>
    <cellStyle name="Percent [2] 5 12 3 2" xfId="3333"/>
    <cellStyle name="Percent [2] 5 12 3 3" xfId="3334"/>
    <cellStyle name="Percent [2] 5 12 3 4" xfId="3335"/>
    <cellStyle name="Percent [2] 5 12 4" xfId="5363"/>
    <cellStyle name="Percent [2] 5 12 5" xfId="52671"/>
    <cellStyle name="Percent [2] 5 13" xfId="3336"/>
    <cellStyle name="Percent [2] 5 13 2" xfId="3337"/>
    <cellStyle name="Percent [2] 5 13 3" xfId="3338"/>
    <cellStyle name="Percent [2] 5 13 4" xfId="5357"/>
    <cellStyle name="Percent [2] 5 14" xfId="3339"/>
    <cellStyle name="Percent [2] 5 15" xfId="3340"/>
    <cellStyle name="Percent [2] 5 16" xfId="3341"/>
    <cellStyle name="Percent [2] 5 17" xfId="53315"/>
    <cellStyle name="Percent [2] 5 2" xfId="3342"/>
    <cellStyle name="Percent [2] 5 2 2" xfId="3343"/>
    <cellStyle name="Percent [2] 5 2 2 2" xfId="5366"/>
    <cellStyle name="Percent [2] 5 2 2 3" xfId="6082"/>
    <cellStyle name="Percent [2] 5 2 2 4" xfId="52674"/>
    <cellStyle name="Percent [2] 5 2 3" xfId="5365"/>
    <cellStyle name="Percent [2] 5 2 4" xfId="6081"/>
    <cellStyle name="Percent [2] 5 2 5" xfId="52673"/>
    <cellStyle name="Percent [2] 5 3" xfId="3344"/>
    <cellStyle name="Percent [2] 5 3 2" xfId="5367"/>
    <cellStyle name="Percent [2] 5 3 3" xfId="6083"/>
    <cellStyle name="Percent [2] 5 3 4" xfId="52675"/>
    <cellStyle name="Percent [2] 5 4" xfId="3345"/>
    <cellStyle name="Percent [2] 5 4 2" xfId="3346"/>
    <cellStyle name="Percent [2] 5 4 2 2" xfId="5369"/>
    <cellStyle name="Percent [2] 5 4 2 3" xfId="6085"/>
    <cellStyle name="Percent [2] 5 4 2 4" xfId="52677"/>
    <cellStyle name="Percent [2] 5 4 3" xfId="5368"/>
    <cellStyle name="Percent [2] 5 4 4" xfId="6084"/>
    <cellStyle name="Percent [2] 5 4 5" xfId="52676"/>
    <cellStyle name="Percent [2] 5 5" xfId="3347"/>
    <cellStyle name="Percent [2] 5 5 2" xfId="3348"/>
    <cellStyle name="Percent [2] 5 5 2 2" xfId="5371"/>
    <cellStyle name="Percent [2] 5 5 2 3" xfId="6087"/>
    <cellStyle name="Percent [2] 5 5 2 4" xfId="52679"/>
    <cellStyle name="Percent [2] 5 5 3" xfId="3349"/>
    <cellStyle name="Percent [2] 5 5 3 2" xfId="5372"/>
    <cellStyle name="Percent [2] 5 5 3 3" xfId="6088"/>
    <cellStyle name="Percent [2] 5 5 3 4" xfId="52680"/>
    <cellStyle name="Percent [2] 5 5 4" xfId="3350"/>
    <cellStyle name="Percent [2] 5 5 4 2" xfId="3351"/>
    <cellStyle name="Percent [2] 5 5 4 2 2" xfId="5374"/>
    <cellStyle name="Percent [2] 5 5 4 2 3" xfId="6090"/>
    <cellStyle name="Percent [2] 5 5 4 2 4" xfId="52682"/>
    <cellStyle name="Percent [2] 5 5 4 3" xfId="5373"/>
    <cellStyle name="Percent [2] 5 5 4 4" xfId="6089"/>
    <cellStyle name="Percent [2] 5 5 4 5" xfId="52681"/>
    <cellStyle name="Percent [2] 5 5 5" xfId="3352"/>
    <cellStyle name="Percent [2] 5 5 5 2" xfId="3353"/>
    <cellStyle name="Percent [2] 5 5 5 2 2" xfId="5376"/>
    <cellStyle name="Percent [2] 5 5 5 2 3" xfId="6092"/>
    <cellStyle name="Percent [2] 5 5 5 2 4" xfId="52684"/>
    <cellStyle name="Percent [2] 5 5 5 3" xfId="3354"/>
    <cellStyle name="Percent [2] 5 5 5 3 2" xfId="3355"/>
    <cellStyle name="Percent [2] 5 5 5 3 2 2" xfId="5378"/>
    <cellStyle name="Percent [2] 5 5 5 3 2 3" xfId="6094"/>
    <cellStyle name="Percent [2] 5 5 5 3 2 4" xfId="52686"/>
    <cellStyle name="Percent [2] 5 5 5 3 3" xfId="3356"/>
    <cellStyle name="Percent [2] 5 5 5 3 3 2" xfId="3357"/>
    <cellStyle name="Percent [2] 5 5 5 3 3 2 2" xfId="5380"/>
    <cellStyle name="Percent [2] 5 5 5 3 3 2 3" xfId="6096"/>
    <cellStyle name="Percent [2] 5 5 5 3 3 2 4" xfId="52688"/>
    <cellStyle name="Percent [2] 5 5 5 3 3 3" xfId="5379"/>
    <cellStyle name="Percent [2] 5 5 5 3 3 4" xfId="6095"/>
    <cellStyle name="Percent [2] 5 5 5 3 3 5" xfId="52687"/>
    <cellStyle name="Percent [2] 5 5 5 3 4" xfId="5381"/>
    <cellStyle name="Percent [2] 5 5 5 3 4 2" xfId="6097"/>
    <cellStyle name="Percent [2] 5 5 5 3 5" xfId="5377"/>
    <cellStyle name="Percent [2] 5 5 5 3 6" xfId="6093"/>
    <cellStyle name="Percent [2] 5 5 5 3 7" xfId="52685"/>
    <cellStyle name="Percent [2] 5 5 5 4" xfId="5375"/>
    <cellStyle name="Percent [2] 5 5 5 5" xfId="6091"/>
    <cellStyle name="Percent [2] 5 5 5 6" xfId="52683"/>
    <cellStyle name="Percent [2] 5 5 6" xfId="5370"/>
    <cellStyle name="Percent [2] 5 5 7" xfId="6086"/>
    <cellStyle name="Percent [2] 5 5 8" xfId="52678"/>
    <cellStyle name="Percent [2] 5 6" xfId="3358"/>
    <cellStyle name="Percent [2] 5 6 2" xfId="5382"/>
    <cellStyle name="Percent [2] 5 6 3" xfId="6098"/>
    <cellStyle name="Percent [2] 5 6 4" xfId="52689"/>
    <cellStyle name="Percent [2] 5 7" xfId="3359"/>
    <cellStyle name="Percent [2] 5 7 2" xfId="3360"/>
    <cellStyle name="Percent [2] 5 7 2 2" xfId="5384"/>
    <cellStyle name="Percent [2] 5 7 2 3" xfId="6100"/>
    <cellStyle name="Percent [2] 5 7 2 4" xfId="52691"/>
    <cellStyle name="Percent [2] 5 7 3" xfId="5383"/>
    <cellStyle name="Percent [2] 5 7 4" xfId="6099"/>
    <cellStyle name="Percent [2] 5 7 5" xfId="52690"/>
    <cellStyle name="Percent [2] 5 8" xfId="3361"/>
    <cellStyle name="Percent [2] 5 8 2" xfId="3362"/>
    <cellStyle name="Percent [2] 5 8 2 2" xfId="5386"/>
    <cellStyle name="Percent [2] 5 8 2 3" xfId="6102"/>
    <cellStyle name="Percent [2] 5 8 2 4" xfId="52693"/>
    <cellStyle name="Percent [2] 5 8 3" xfId="3363"/>
    <cellStyle name="Percent [2] 5 8 3 2" xfId="3364"/>
    <cellStyle name="Percent [2] 5 8 3 2 2" xfId="5388"/>
    <cellStyle name="Percent [2] 5 8 3 2 3" xfId="6104"/>
    <cellStyle name="Percent [2] 5 8 3 2 4" xfId="52695"/>
    <cellStyle name="Percent [2] 5 8 3 3" xfId="3365"/>
    <cellStyle name="Percent [2] 5 8 3 3 2" xfId="3366"/>
    <cellStyle name="Percent [2] 5 8 3 3 2 2" xfId="5390"/>
    <cellStyle name="Percent [2] 5 8 3 3 2 3" xfId="6106"/>
    <cellStyle name="Percent [2] 5 8 3 3 2 4" xfId="52697"/>
    <cellStyle name="Percent [2] 5 8 3 3 3" xfId="5389"/>
    <cellStyle name="Percent [2] 5 8 3 3 4" xfId="6105"/>
    <cellStyle name="Percent [2] 5 8 3 3 5" xfId="52696"/>
    <cellStyle name="Percent [2] 5 8 3 4" xfId="5391"/>
    <cellStyle name="Percent [2] 5 8 3 4 2" xfId="6107"/>
    <cellStyle name="Percent [2] 5 8 3 5" xfId="5387"/>
    <cellStyle name="Percent [2] 5 8 3 6" xfId="6103"/>
    <cellStyle name="Percent [2] 5 8 3 7" xfId="52694"/>
    <cellStyle name="Percent [2] 5 8 4" xfId="5385"/>
    <cellStyle name="Percent [2] 5 8 5" xfId="6101"/>
    <cellStyle name="Percent [2] 5 8 6" xfId="52692"/>
    <cellStyle name="Percent [2] 5 9" xfId="3367"/>
    <cellStyle name="Percent [2] 5 9 2" xfId="3368"/>
    <cellStyle name="Percent [2] 5 9 2 2" xfId="5393"/>
    <cellStyle name="Percent [2] 5 9 2 3" xfId="6109"/>
    <cellStyle name="Percent [2] 5 9 2 4" xfId="52699"/>
    <cellStyle name="Percent [2] 5 9 3" xfId="3369"/>
    <cellStyle name="Percent [2] 5 9 3 2" xfId="3370"/>
    <cellStyle name="Percent [2] 5 9 3 2 2" xfId="5395"/>
    <cellStyle name="Percent [2] 5 9 3 2 3" xfId="6111"/>
    <cellStyle name="Percent [2] 5 9 3 2 4" xfId="52701"/>
    <cellStyle name="Percent [2] 5 9 3 3" xfId="5394"/>
    <cellStyle name="Percent [2] 5 9 3 4" xfId="6110"/>
    <cellStyle name="Percent [2] 5 9 3 5" xfId="52700"/>
    <cellStyle name="Percent [2] 5 9 4" xfId="5396"/>
    <cellStyle name="Percent [2] 5 9 4 2" xfId="6112"/>
    <cellStyle name="Percent [2] 5 9 5" xfId="5392"/>
    <cellStyle name="Percent [2] 5 9 6" xfId="6108"/>
    <cellStyle name="Percent [2] 5 9 7" xfId="52698"/>
    <cellStyle name="Percent [2] 6" xfId="3371"/>
    <cellStyle name="Percent [2] 6 2" xfId="5397"/>
    <cellStyle name="Percent [2] 6 3" xfId="6113"/>
    <cellStyle name="Percent [2] 6 4" xfId="52702"/>
    <cellStyle name="Percent [2] 7" xfId="3372"/>
    <cellStyle name="Percent [2] 7 2" xfId="3373"/>
    <cellStyle name="Percent [2] 7 2 2" xfId="5399"/>
    <cellStyle name="Percent [2] 7 2 3" xfId="6115"/>
    <cellStyle name="Percent [2] 7 2 4" xfId="52704"/>
    <cellStyle name="Percent [2] 7 3" xfId="5398"/>
    <cellStyle name="Percent [2] 7 4" xfId="6114"/>
    <cellStyle name="Percent [2] 7 5" xfId="52703"/>
    <cellStyle name="Percent [2] 8" xfId="3374"/>
    <cellStyle name="Percent [2] 8 2" xfId="3375"/>
    <cellStyle name="Percent [2] 8 2 2" xfId="5401"/>
    <cellStyle name="Percent [2] 8 2 3" xfId="6117"/>
    <cellStyle name="Percent [2] 8 2 4" xfId="52706"/>
    <cellStyle name="Percent [2] 8 3" xfId="5400"/>
    <cellStyle name="Percent [2] 8 4" xfId="6116"/>
    <cellStyle name="Percent [2] 8 5" xfId="52705"/>
    <cellStyle name="Percent [2] 9" xfId="3376"/>
    <cellStyle name="Percent [2] 9 2" xfId="3377"/>
    <cellStyle name="Percent [2] 9 2 2" xfId="5403"/>
    <cellStyle name="Percent [2] 9 2 3" xfId="6119"/>
    <cellStyle name="Percent [2] 9 2 4" xfId="52708"/>
    <cellStyle name="Percent [2] 9 3" xfId="5402"/>
    <cellStyle name="Percent [2] 9 4" xfId="6118"/>
    <cellStyle name="Percent [2] 9 5" xfId="52707"/>
    <cellStyle name="Title" xfId="149" builtinId="15" customBuiltin="1"/>
    <cellStyle name="Title 10" xfId="3379"/>
    <cellStyle name="Title 10 2" xfId="5405"/>
    <cellStyle name="Title 10 2 2" xfId="22615"/>
    <cellStyle name="Title 10 3" xfId="22614"/>
    <cellStyle name="Title 11" xfId="3380"/>
    <cellStyle name="Title 11 2" xfId="5406"/>
    <cellStyle name="Title 11 2 2" xfId="22617"/>
    <cellStyle name="Title 11 3" xfId="22616"/>
    <cellStyle name="Title 12" xfId="3381"/>
    <cellStyle name="Title 12 2" xfId="5407"/>
    <cellStyle name="Title 12 2 2" xfId="22620"/>
    <cellStyle name="Title 12 2 2 2" xfId="22621"/>
    <cellStyle name="Title 12 2 3" xfId="22622"/>
    <cellStyle name="Title 12 2 4" xfId="22619"/>
    <cellStyle name="Title 12 3" xfId="22623"/>
    <cellStyle name="Title 12 4" xfId="22618"/>
    <cellStyle name="Title 13" xfId="3382"/>
    <cellStyle name="Title 13 2" xfId="5408"/>
    <cellStyle name="Title 13 3" xfId="22624"/>
    <cellStyle name="Title 14" xfId="3383"/>
    <cellStyle name="Title 14 2" xfId="22625"/>
    <cellStyle name="Title 14 3" xfId="5409"/>
    <cellStyle name="Title 15" xfId="3384"/>
    <cellStyle name="Title 15 2" xfId="22654"/>
    <cellStyle name="Title 15 3" xfId="5410"/>
    <cellStyle name="Title 16" xfId="3385"/>
    <cellStyle name="Title 16 2" xfId="22613"/>
    <cellStyle name="Title 16 3" xfId="5404"/>
    <cellStyle name="Title 17" xfId="3386"/>
    <cellStyle name="Title 18" xfId="3387"/>
    <cellStyle name="Title 19" xfId="3378"/>
    <cellStyle name="Title 2" xfId="139"/>
    <cellStyle name="Title 2 10" xfId="5411"/>
    <cellStyle name="Title 2 11" xfId="3388"/>
    <cellStyle name="Title 2 2" xfId="3389"/>
    <cellStyle name="Title 2 2 2" xfId="5412"/>
    <cellStyle name="Title 2 3" xfId="3390"/>
    <cellStyle name="Title 2 3 2" xfId="5413"/>
    <cellStyle name="Title 2 4" xfId="3391"/>
    <cellStyle name="Title 2 4 2" xfId="5414"/>
    <cellStyle name="Title 2 5" xfId="3392"/>
    <cellStyle name="Title 2 5 2" xfId="5415"/>
    <cellStyle name="Title 2 6" xfId="3393"/>
    <cellStyle name="Title 2 6 2" xfId="5416"/>
    <cellStyle name="Title 2 7" xfId="5417"/>
    <cellStyle name="Title 2 7 2" xfId="6120"/>
    <cellStyle name="Title 2 8" xfId="5418"/>
    <cellStyle name="Title 2 8 2" xfId="6121"/>
    <cellStyle name="Title 2 9" xfId="5419"/>
    <cellStyle name="Title 2_BallGrid" xfId="3394"/>
    <cellStyle name="Title 3" xfId="140"/>
    <cellStyle name="Title 3 2" xfId="3395"/>
    <cellStyle name="Title 3 2 2" xfId="5421"/>
    <cellStyle name="Title 3 3" xfId="3396"/>
    <cellStyle name="Title 3 3 2" xfId="5422"/>
    <cellStyle name="Title 3 4" xfId="5423"/>
    <cellStyle name="Title 3 4 2" xfId="6122"/>
    <cellStyle name="Title 3 5" xfId="5420"/>
    <cellStyle name="Title 4" xfId="141"/>
    <cellStyle name="Title 4 10" xfId="3397"/>
    <cellStyle name="Title 4 2" xfId="3398"/>
    <cellStyle name="Title 4 2 2" xfId="5425"/>
    <cellStyle name="Title 4 2 3" xfId="23011"/>
    <cellStyle name="Title 4 3" xfId="3399"/>
    <cellStyle name="Title 4 3 2" xfId="5426"/>
    <cellStyle name="Title 4 3 3" xfId="22626"/>
    <cellStyle name="Title 4 4" xfId="3400"/>
    <cellStyle name="Title 4 4 2" xfId="5427"/>
    <cellStyle name="Title 4 5" xfId="3401"/>
    <cellStyle name="Title 4 5 2" xfId="5428"/>
    <cellStyle name="Title 4 6" xfId="5429"/>
    <cellStyle name="Title 4 6 2" xfId="6123"/>
    <cellStyle name="Title 4 7" xfId="5430"/>
    <cellStyle name="Title 4 7 2" xfId="6124"/>
    <cellStyle name="Title 4 8" xfId="5431"/>
    <cellStyle name="Title 4 9" xfId="5424"/>
    <cellStyle name="Title 5" xfId="3402"/>
    <cellStyle name="Title 5 2" xfId="5433"/>
    <cellStyle name="Title 5 3" xfId="5434"/>
    <cellStyle name="Title 5 4" xfId="5432"/>
    <cellStyle name="Title 5 5" xfId="21992"/>
    <cellStyle name="Title 6" xfId="3403"/>
    <cellStyle name="Title 6 2" xfId="3404"/>
    <cellStyle name="Title 6 2 2" xfId="5436"/>
    <cellStyle name="Title 6 3" xfId="5435"/>
    <cellStyle name="Title 7" xfId="3405"/>
    <cellStyle name="Title 7 2" xfId="5437"/>
    <cellStyle name="Title 7 2 2" xfId="22628"/>
    <cellStyle name="Title 7 3" xfId="23012"/>
    <cellStyle name="Title 7 4" xfId="22627"/>
    <cellStyle name="Title 7 5" xfId="21994"/>
    <cellStyle name="Title 8" xfId="3406"/>
    <cellStyle name="Title 8 2" xfId="3407"/>
    <cellStyle name="Title 8 2 2" xfId="5439"/>
    <cellStyle name="Title 8 2 2 2" xfId="22631"/>
    <cellStyle name="Title 8 2 3" xfId="22630"/>
    <cellStyle name="Title 8 3" xfId="3408"/>
    <cellStyle name="Title 8 3 2" xfId="5440"/>
    <cellStyle name="Title 8 4" xfId="5438"/>
    <cellStyle name="Title 8 5" xfId="22629"/>
    <cellStyle name="Title 9" xfId="3409"/>
    <cellStyle name="Title 9 2" xfId="3410"/>
    <cellStyle name="Title 9 2 2" xfId="5442"/>
    <cellStyle name="Title 9 2 3" xfId="22633"/>
    <cellStyle name="Title 9 3" xfId="5441"/>
    <cellStyle name="Title 9 3 2" xfId="22778"/>
    <cellStyle name="Title 9 3 2 2" xfId="53417"/>
    <cellStyle name="Title 9 3 3" xfId="53316"/>
    <cellStyle name="Title 9 4" xfId="22632"/>
    <cellStyle name="Total" xfId="162" builtinId="25" customBuiltin="1"/>
    <cellStyle name="Total 10" xfId="22635"/>
    <cellStyle name="Total 10 2" xfId="47537"/>
    <cellStyle name="Total 10 2 2" xfId="53418"/>
    <cellStyle name="Total 10 3" xfId="51386"/>
    <cellStyle name="Total 11" xfId="22636"/>
    <cellStyle name="Total 11 2" xfId="47538"/>
    <cellStyle name="Total 11 2 2" xfId="53419"/>
    <cellStyle name="Total 11 3" xfId="51387"/>
    <cellStyle name="Total 12" xfId="22637"/>
    <cellStyle name="Total 12 2" xfId="22638"/>
    <cellStyle name="Total 12 2 2" xfId="47540"/>
    <cellStyle name="Total 12 2 2 2" xfId="53420"/>
    <cellStyle name="Total 12 2 3" xfId="51389"/>
    <cellStyle name="Total 12 3" xfId="47539"/>
    <cellStyle name="Total 12 3 2" xfId="53421"/>
    <cellStyle name="Total 12 4" xfId="51388"/>
    <cellStyle name="Total 13" xfId="22639"/>
    <cellStyle name="Total 13 2" xfId="47541"/>
    <cellStyle name="Total 13 2 2" xfId="53422"/>
    <cellStyle name="Total 13 3" xfId="51390"/>
    <cellStyle name="Total 14" xfId="22640"/>
    <cellStyle name="Total 14 2" xfId="47542"/>
    <cellStyle name="Total 14 2 2" xfId="53318"/>
    <cellStyle name="Total 14 3" xfId="51391"/>
    <cellStyle name="Total 14 3 2" xfId="53423"/>
    <cellStyle name="Total 14 4" xfId="53317"/>
    <cellStyle name="Total 15" xfId="22663"/>
    <cellStyle name="Total 16" xfId="22634"/>
    <cellStyle name="Total 16 2" xfId="47536"/>
    <cellStyle name="Total 16 2 2" xfId="53320"/>
    <cellStyle name="Total 16 3" xfId="51385"/>
    <cellStyle name="Total 16 3 2" xfId="53424"/>
    <cellStyle name="Total 16 4" xfId="53319"/>
    <cellStyle name="Total 2" xfId="142"/>
    <cellStyle name="Total 2 10" xfId="52740"/>
    <cellStyle name="Total 2 2" xfId="3411"/>
    <cellStyle name="Total 2 2 2" xfId="3412"/>
    <cellStyle name="Total 2 2 2 2" xfId="5446"/>
    <cellStyle name="Total 2 2 2 2 2" xfId="53323"/>
    <cellStyle name="Total 2 2 2 3" xfId="7491"/>
    <cellStyle name="Total 2 2 2 3 10" xfId="39209"/>
    <cellStyle name="Total 2 2 2 3 11" xfId="53427"/>
    <cellStyle name="Total 2 2 2 3 2" xfId="10761"/>
    <cellStyle name="Total 2 2 2 3 2 2" xfId="18548"/>
    <cellStyle name="Total 2 2 2 3 2 2 2" xfId="44080"/>
    <cellStyle name="Total 2 2 2 3 2 2 3" xfId="47989"/>
    <cellStyle name="Total 2 2 2 3 2 2 4" xfId="36171"/>
    <cellStyle name="Total 2 2 2 3 2 3" xfId="12626"/>
    <cellStyle name="Total 2 2 2 3 2 3 2" xfId="42086"/>
    <cellStyle name="Total 2 2 2 3 2 3 3" xfId="39530"/>
    <cellStyle name="Total 2 2 2 3 2 3 4" xfId="30277"/>
    <cellStyle name="Total 2 2 2 3 2 4" xfId="19811"/>
    <cellStyle name="Total 2 2 2 3 2 4 2" xfId="45333"/>
    <cellStyle name="Total 2 2 2 3 2 4 3" xfId="49239"/>
    <cellStyle name="Total 2 2 2 3 2 4 4" xfId="37315"/>
    <cellStyle name="Total 2 2 2 3 2 5" xfId="20961"/>
    <cellStyle name="Total 2 2 2 3 2 5 2" xfId="46483"/>
    <cellStyle name="Total 2 2 2 3 2 5 3" xfId="50389"/>
    <cellStyle name="Total 2 2 2 3 2 5 4" xfId="38353"/>
    <cellStyle name="Total 2 2 2 3 2 6" xfId="21614"/>
    <cellStyle name="Total 2 2 2 3 2 6 2" xfId="47136"/>
    <cellStyle name="Total 2 2 2 3 2 6 3" xfId="51042"/>
    <cellStyle name="Total 2 2 2 3 2 7" xfId="40939"/>
    <cellStyle name="Total 2 2 2 3 2 8" xfId="40068"/>
    <cellStyle name="Total 2 2 2 3 3" xfId="11056"/>
    <cellStyle name="Total 2 2 2 3 3 2" xfId="18843"/>
    <cellStyle name="Total 2 2 2 3 3 2 2" xfId="44375"/>
    <cellStyle name="Total 2 2 2 3 3 2 3" xfId="48284"/>
    <cellStyle name="Total 2 2 2 3 3 2 4" xfId="36466"/>
    <cellStyle name="Total 2 2 2 3 3 3" xfId="20436"/>
    <cellStyle name="Total 2 2 2 3 3 3 2" xfId="45958"/>
    <cellStyle name="Total 2 2 2 3 3 3 3" xfId="49864"/>
    <cellStyle name="Total 2 2 2 3 3 3 4" xfId="37876"/>
    <cellStyle name="Total 2 2 2 3 3 4" xfId="20580"/>
    <cellStyle name="Total 2 2 2 3 3 4 2" xfId="46102"/>
    <cellStyle name="Total 2 2 2 3 3 4 3" xfId="50008"/>
    <cellStyle name="Total 2 2 2 3 3 4 4" xfId="37993"/>
    <cellStyle name="Total 2 2 2 3 3 5" xfId="21256"/>
    <cellStyle name="Total 2 2 2 3 3 5 2" xfId="46778"/>
    <cellStyle name="Total 2 2 2 3 3 5 3" xfId="50684"/>
    <cellStyle name="Total 2 2 2 3 3 5 4" xfId="38648"/>
    <cellStyle name="Total 2 2 2 3 3 6" xfId="21909"/>
    <cellStyle name="Total 2 2 2 3 3 6 2" xfId="47431"/>
    <cellStyle name="Total 2 2 2 3 3 6 3" xfId="51337"/>
    <cellStyle name="Total 2 2 2 3 3 7" xfId="41234"/>
    <cellStyle name="Total 2 2 2 3 3 8" xfId="39555"/>
    <cellStyle name="Total 2 2 2 3 4" xfId="15273"/>
    <cellStyle name="Total 2 2 2 3 4 2" xfId="43128"/>
    <cellStyle name="Total 2 2 2 3 4 3" xfId="42747"/>
    <cellStyle name="Total 2 2 2 3 4 4" xfId="32894"/>
    <cellStyle name="Total 2 2 2 3 5" xfId="11363"/>
    <cellStyle name="Total 2 2 2 3 5 2" xfId="41379"/>
    <cellStyle name="Total 2 2 2 3 5 3" xfId="42558"/>
    <cellStyle name="Total 2 2 2 3 5 4" xfId="29072"/>
    <cellStyle name="Total 2 2 2 3 6" xfId="18979"/>
    <cellStyle name="Total 2 2 2 3 6 2" xfId="44501"/>
    <cellStyle name="Total 2 2 2 3 6 3" xfId="48407"/>
    <cellStyle name="Total 2 2 2 3 6 4" xfId="36587"/>
    <cellStyle name="Total 2 2 2 3 7" xfId="11571"/>
    <cellStyle name="Total 2 2 2 3 7 2" xfId="41562"/>
    <cellStyle name="Total 2 2 2 3 7 3" xfId="40434"/>
    <cellStyle name="Total 2 2 2 3 7 4" xfId="29268"/>
    <cellStyle name="Total 2 2 2 3 8" xfId="13193"/>
    <cellStyle name="Total 2 2 2 3 8 2" xfId="42395"/>
    <cellStyle name="Total 2 2 2 3 8 3" xfId="40148"/>
    <cellStyle name="Total 2 2 2 3 9" xfId="39988"/>
    <cellStyle name="Total 2 2 2 4" xfId="12139"/>
    <cellStyle name="Total 2 2 2 4 2" xfId="41864"/>
    <cellStyle name="Total 2 2 2 4 3" xfId="40316"/>
    <cellStyle name="Total 2 2 2 4 4" xfId="29797"/>
    <cellStyle name="Total 2 2 2 5" xfId="19668"/>
    <cellStyle name="Total 2 2 2 5 2" xfId="45190"/>
    <cellStyle name="Total 2 2 2 5 3" xfId="49096"/>
    <cellStyle name="Total 2 2 2 5 4" xfId="37186"/>
    <cellStyle name="Total 2 2 2 6" xfId="53322"/>
    <cellStyle name="Total 2 2 3" xfId="5445"/>
    <cellStyle name="Total 2 2 3 2" xfId="53324"/>
    <cellStyle name="Total 2 2 4" xfId="7490"/>
    <cellStyle name="Total 2 2 4 10" xfId="39380"/>
    <cellStyle name="Total 2 2 4 11" xfId="53426"/>
    <cellStyle name="Total 2 2 4 2" xfId="10760"/>
    <cellStyle name="Total 2 2 4 2 2" xfId="18547"/>
    <cellStyle name="Total 2 2 4 2 2 2" xfId="44079"/>
    <cellStyle name="Total 2 2 4 2 2 3" xfId="47988"/>
    <cellStyle name="Total 2 2 4 2 2 4" xfId="36170"/>
    <cellStyle name="Total 2 2 4 2 3" xfId="19718"/>
    <cellStyle name="Total 2 2 4 2 3 2" xfId="45240"/>
    <cellStyle name="Total 2 2 4 2 3 3" xfId="49146"/>
    <cellStyle name="Total 2 2 4 2 3 4" xfId="37231"/>
    <cellStyle name="Total 2 2 4 2 4" xfId="19462"/>
    <cellStyle name="Total 2 2 4 2 4 2" xfId="44984"/>
    <cellStyle name="Total 2 2 4 2 4 3" xfId="48890"/>
    <cellStyle name="Total 2 2 4 2 4 4" xfId="37006"/>
    <cellStyle name="Total 2 2 4 2 5" xfId="20960"/>
    <cellStyle name="Total 2 2 4 2 5 2" xfId="46482"/>
    <cellStyle name="Total 2 2 4 2 5 3" xfId="50388"/>
    <cellStyle name="Total 2 2 4 2 5 4" xfId="38352"/>
    <cellStyle name="Total 2 2 4 2 6" xfId="21613"/>
    <cellStyle name="Total 2 2 4 2 6 2" xfId="47135"/>
    <cellStyle name="Total 2 2 4 2 6 3" xfId="51041"/>
    <cellStyle name="Total 2 2 4 2 7" xfId="40938"/>
    <cellStyle name="Total 2 2 4 2 8" xfId="43209"/>
    <cellStyle name="Total 2 2 4 3" xfId="11055"/>
    <cellStyle name="Total 2 2 4 3 2" xfId="18842"/>
    <cellStyle name="Total 2 2 4 3 2 2" xfId="44374"/>
    <cellStyle name="Total 2 2 4 3 2 3" xfId="48283"/>
    <cellStyle name="Total 2 2 4 3 2 4" xfId="36465"/>
    <cellStyle name="Total 2 2 4 3 3" xfId="20435"/>
    <cellStyle name="Total 2 2 4 3 3 2" xfId="45957"/>
    <cellStyle name="Total 2 2 4 3 3 3" xfId="49863"/>
    <cellStyle name="Total 2 2 4 3 3 4" xfId="37875"/>
    <cellStyle name="Total 2 2 4 3 4" xfId="20579"/>
    <cellStyle name="Total 2 2 4 3 4 2" xfId="46101"/>
    <cellStyle name="Total 2 2 4 3 4 3" xfId="50007"/>
    <cellStyle name="Total 2 2 4 3 4 4" xfId="37992"/>
    <cellStyle name="Total 2 2 4 3 5" xfId="21255"/>
    <cellStyle name="Total 2 2 4 3 5 2" xfId="46777"/>
    <cellStyle name="Total 2 2 4 3 5 3" xfId="50683"/>
    <cellStyle name="Total 2 2 4 3 5 4" xfId="38647"/>
    <cellStyle name="Total 2 2 4 3 6" xfId="21908"/>
    <cellStyle name="Total 2 2 4 3 6 2" xfId="47430"/>
    <cellStyle name="Total 2 2 4 3 6 3" xfId="51336"/>
    <cellStyle name="Total 2 2 4 3 7" xfId="41233"/>
    <cellStyle name="Total 2 2 4 3 8" xfId="40445"/>
    <cellStyle name="Total 2 2 4 4" xfId="15272"/>
    <cellStyle name="Total 2 2 4 4 2" xfId="43127"/>
    <cellStyle name="Total 2 2 4 4 3" xfId="40007"/>
    <cellStyle name="Total 2 2 4 4 4" xfId="32893"/>
    <cellStyle name="Total 2 2 4 5" xfId="19802"/>
    <cellStyle name="Total 2 2 4 5 2" xfId="45324"/>
    <cellStyle name="Total 2 2 4 5 3" xfId="49230"/>
    <cellStyle name="Total 2 2 4 5 4" xfId="37309"/>
    <cellStyle name="Total 2 2 4 6" xfId="19151"/>
    <cellStyle name="Total 2 2 4 6 2" xfId="44673"/>
    <cellStyle name="Total 2 2 4 6 3" xfId="48579"/>
    <cellStyle name="Total 2 2 4 6 4" xfId="36729"/>
    <cellStyle name="Total 2 2 4 7" xfId="12666"/>
    <cellStyle name="Total 2 2 4 7 2" xfId="42126"/>
    <cellStyle name="Total 2 2 4 7 3" xfId="39527"/>
    <cellStyle name="Total 2 2 4 7 4" xfId="30316"/>
    <cellStyle name="Total 2 2 4 8" xfId="20465"/>
    <cellStyle name="Total 2 2 4 8 2" xfId="45987"/>
    <cellStyle name="Total 2 2 4 8 3" xfId="49893"/>
    <cellStyle name="Total 2 2 4 9" xfId="39987"/>
    <cellStyle name="Total 2 2 5" xfId="12138"/>
    <cellStyle name="Total 2 2 5 2" xfId="41863"/>
    <cellStyle name="Total 2 2 5 3" xfId="43456"/>
    <cellStyle name="Total 2 2 5 4" xfId="29796"/>
    <cellStyle name="Total 2 2 6" xfId="11601"/>
    <cellStyle name="Total 2 2 6 2" xfId="41592"/>
    <cellStyle name="Total 2 2 6 3" xfId="39322"/>
    <cellStyle name="Total 2 2 6 4" xfId="29290"/>
    <cellStyle name="Total 2 2 7" xfId="53321"/>
    <cellStyle name="Total 2 2_Sheet1" xfId="3413"/>
    <cellStyle name="Total 2 3" xfId="3414"/>
    <cellStyle name="Total 2 3 2" xfId="5447"/>
    <cellStyle name="Total 2 3 2 2" xfId="53326"/>
    <cellStyle name="Total 2 3 3" xfId="7492"/>
    <cellStyle name="Total 2 3 3 10" xfId="47448"/>
    <cellStyle name="Total 2 3 3 11" xfId="53428"/>
    <cellStyle name="Total 2 3 3 2" xfId="10762"/>
    <cellStyle name="Total 2 3 3 2 2" xfId="18549"/>
    <cellStyle name="Total 2 3 3 2 2 2" xfId="44081"/>
    <cellStyle name="Total 2 3 3 2 2 3" xfId="47990"/>
    <cellStyle name="Total 2 3 3 2 2 4" xfId="36172"/>
    <cellStyle name="Total 2 3 3 2 3" xfId="19585"/>
    <cellStyle name="Total 2 3 3 2 3 2" xfId="45107"/>
    <cellStyle name="Total 2 3 3 2 3 3" xfId="49013"/>
    <cellStyle name="Total 2 3 3 2 3 4" xfId="37111"/>
    <cellStyle name="Total 2 3 3 2 4" xfId="20450"/>
    <cellStyle name="Total 2 3 3 2 4 2" xfId="45972"/>
    <cellStyle name="Total 2 3 3 2 4 3" xfId="49878"/>
    <cellStyle name="Total 2 3 3 2 4 4" xfId="37889"/>
    <cellStyle name="Total 2 3 3 2 5" xfId="20962"/>
    <cellStyle name="Total 2 3 3 2 5 2" xfId="46484"/>
    <cellStyle name="Total 2 3 3 2 5 3" xfId="50390"/>
    <cellStyle name="Total 2 3 3 2 5 4" xfId="38354"/>
    <cellStyle name="Total 2 3 3 2 6" xfId="21615"/>
    <cellStyle name="Total 2 3 3 2 6 2" xfId="47137"/>
    <cellStyle name="Total 2 3 3 2 6 3" xfId="51043"/>
    <cellStyle name="Total 2 3 3 2 7" xfId="40940"/>
    <cellStyle name="Total 2 3 3 2 8" xfId="42816"/>
    <cellStyle name="Total 2 3 3 3" xfId="11057"/>
    <cellStyle name="Total 2 3 3 3 2" xfId="18844"/>
    <cellStyle name="Total 2 3 3 3 2 2" xfId="44376"/>
    <cellStyle name="Total 2 3 3 3 2 3" xfId="48285"/>
    <cellStyle name="Total 2 3 3 3 2 4" xfId="36467"/>
    <cellStyle name="Total 2 3 3 3 3" xfId="20437"/>
    <cellStyle name="Total 2 3 3 3 3 2" xfId="45959"/>
    <cellStyle name="Total 2 3 3 3 3 3" xfId="49865"/>
    <cellStyle name="Total 2 3 3 3 3 4" xfId="37877"/>
    <cellStyle name="Total 2 3 3 3 4" xfId="20581"/>
    <cellStyle name="Total 2 3 3 3 4 2" xfId="46103"/>
    <cellStyle name="Total 2 3 3 3 4 3" xfId="50009"/>
    <cellStyle name="Total 2 3 3 3 4 4" xfId="37994"/>
    <cellStyle name="Total 2 3 3 3 5" xfId="21257"/>
    <cellStyle name="Total 2 3 3 3 5 2" xfId="46779"/>
    <cellStyle name="Total 2 3 3 3 5 3" xfId="50685"/>
    <cellStyle name="Total 2 3 3 3 5 4" xfId="38649"/>
    <cellStyle name="Total 2 3 3 3 6" xfId="21910"/>
    <cellStyle name="Total 2 3 3 3 6 2" xfId="47432"/>
    <cellStyle name="Total 2 3 3 3 6 3" xfId="51338"/>
    <cellStyle name="Total 2 3 3 3 7" xfId="41235"/>
    <cellStyle name="Total 2 3 3 3 8" xfId="42563"/>
    <cellStyle name="Total 2 3 3 4" xfId="15274"/>
    <cellStyle name="Total 2 3 3 4 2" xfId="43129"/>
    <cellStyle name="Total 2 3 3 4 3" xfId="43634"/>
    <cellStyle name="Total 2 3 3 4 4" xfId="32895"/>
    <cellStyle name="Total 2 3 3 5" xfId="13240"/>
    <cellStyle name="Total 2 3 3 5 2" xfId="42401"/>
    <cellStyle name="Total 2 3 3 5 3" xfId="43436"/>
    <cellStyle name="Total 2 3 3 5 4" xfId="30871"/>
    <cellStyle name="Total 2 3 3 6" xfId="19203"/>
    <cellStyle name="Total 2 3 3 6 2" xfId="44725"/>
    <cellStyle name="Total 2 3 3 6 3" xfId="48631"/>
    <cellStyle name="Total 2 3 3 6 4" xfId="36774"/>
    <cellStyle name="Total 2 3 3 7" xfId="12667"/>
    <cellStyle name="Total 2 3 3 7 2" xfId="42127"/>
    <cellStyle name="Total 2 3 3 7 3" xfId="42534"/>
    <cellStyle name="Total 2 3 3 7 4" xfId="30317"/>
    <cellStyle name="Total 2 3 3 8" xfId="11665"/>
    <cellStyle name="Total 2 3 3 8 2" xfId="41656"/>
    <cellStyle name="Total 2 3 3 8 3" xfId="43569"/>
    <cellStyle name="Total 2 3 3 9" xfId="39989"/>
    <cellStyle name="Total 2 3 4" xfId="12140"/>
    <cellStyle name="Total 2 3 4 2" xfId="41865"/>
    <cellStyle name="Total 2 3 4 3" xfId="39429"/>
    <cellStyle name="Total 2 3 4 4" xfId="29798"/>
    <cellStyle name="Total 2 3 5" xfId="19530"/>
    <cellStyle name="Total 2 3 5 2" xfId="45052"/>
    <cellStyle name="Total 2 3 5 3" xfId="48958"/>
    <cellStyle name="Total 2 3 5 4" xfId="37060"/>
    <cellStyle name="Total 2 3 6" xfId="53325"/>
    <cellStyle name="Total 2 4" xfId="3415"/>
    <cellStyle name="Total 2 4 2" xfId="5448"/>
    <cellStyle name="Total 2 4 2 2" xfId="53328"/>
    <cellStyle name="Total 2 4 3" xfId="7493"/>
    <cellStyle name="Total 2 4 3 10" xfId="41678"/>
    <cellStyle name="Total 2 4 3 11" xfId="53429"/>
    <cellStyle name="Total 2 4 3 2" xfId="10763"/>
    <cellStyle name="Total 2 4 3 2 2" xfId="18550"/>
    <cellStyle name="Total 2 4 3 2 2 2" xfId="44082"/>
    <cellStyle name="Total 2 4 3 2 2 3" xfId="47991"/>
    <cellStyle name="Total 2 4 3 2 2 4" xfId="36173"/>
    <cellStyle name="Total 2 4 3 2 3" xfId="20138"/>
    <cellStyle name="Total 2 4 3 2 3 2" xfId="45660"/>
    <cellStyle name="Total 2 4 3 2 3 3" xfId="49566"/>
    <cellStyle name="Total 2 4 3 2 3 4" xfId="37610"/>
    <cellStyle name="Total 2 4 3 2 4" xfId="12684"/>
    <cellStyle name="Total 2 4 3 2 4 2" xfId="42144"/>
    <cellStyle name="Total 2 4 3 2 4 3" xfId="40419"/>
    <cellStyle name="Total 2 4 3 2 4 4" xfId="30331"/>
    <cellStyle name="Total 2 4 3 2 5" xfId="20963"/>
    <cellStyle name="Total 2 4 3 2 5 2" xfId="46485"/>
    <cellStyle name="Total 2 4 3 2 5 3" xfId="50391"/>
    <cellStyle name="Total 2 4 3 2 5 4" xfId="38355"/>
    <cellStyle name="Total 2 4 3 2 6" xfId="21616"/>
    <cellStyle name="Total 2 4 3 2 6 2" xfId="47138"/>
    <cellStyle name="Total 2 4 3 2 6 3" xfId="51044"/>
    <cellStyle name="Total 2 4 3 2 7" xfId="40941"/>
    <cellStyle name="Total 2 4 3 2 8" xfId="43705"/>
    <cellStyle name="Total 2 4 3 3" xfId="11058"/>
    <cellStyle name="Total 2 4 3 3 2" xfId="18845"/>
    <cellStyle name="Total 2 4 3 3 2 2" xfId="44377"/>
    <cellStyle name="Total 2 4 3 3 2 3" xfId="48286"/>
    <cellStyle name="Total 2 4 3 3 2 4" xfId="36468"/>
    <cellStyle name="Total 2 4 3 3 3" xfId="20438"/>
    <cellStyle name="Total 2 4 3 3 3 2" xfId="45960"/>
    <cellStyle name="Total 2 4 3 3 3 3" xfId="49866"/>
    <cellStyle name="Total 2 4 3 3 3 4" xfId="37878"/>
    <cellStyle name="Total 2 4 3 3 4" xfId="20582"/>
    <cellStyle name="Total 2 4 3 3 4 2" xfId="46104"/>
    <cellStyle name="Total 2 4 3 3 4 3" xfId="50010"/>
    <cellStyle name="Total 2 4 3 3 4 4" xfId="37995"/>
    <cellStyle name="Total 2 4 3 3 5" xfId="21258"/>
    <cellStyle name="Total 2 4 3 3 5 2" xfId="46780"/>
    <cellStyle name="Total 2 4 3 3 5 3" xfId="50686"/>
    <cellStyle name="Total 2 4 3 3 5 4" xfId="38650"/>
    <cellStyle name="Total 2 4 3 3 6" xfId="21911"/>
    <cellStyle name="Total 2 4 3 3 6 2" xfId="47433"/>
    <cellStyle name="Total 2 4 3 3 6 3" xfId="51339"/>
    <cellStyle name="Total 2 4 3 3 7" xfId="41236"/>
    <cellStyle name="Total 2 4 3 3 8" xfId="43476"/>
    <cellStyle name="Total 2 4 3 4" xfId="15275"/>
    <cellStyle name="Total 2 4 3 4 2" xfId="43130"/>
    <cellStyle name="Total 2 4 3 4 3" xfId="40493"/>
    <cellStyle name="Total 2 4 3 4 4" xfId="32896"/>
    <cellStyle name="Total 2 4 3 5" xfId="11365"/>
    <cellStyle name="Total 2 4 3 5 2" xfId="41381"/>
    <cellStyle name="Total 2 4 3 5 3" xfId="40333"/>
    <cellStyle name="Total 2 4 3 5 4" xfId="29074"/>
    <cellStyle name="Total 2 4 3 6" xfId="18980"/>
    <cellStyle name="Total 2 4 3 6 2" xfId="44502"/>
    <cellStyle name="Total 2 4 3 6 3" xfId="48408"/>
    <cellStyle name="Total 2 4 3 6 4" xfId="36588"/>
    <cellStyle name="Total 2 4 3 7" xfId="11572"/>
    <cellStyle name="Total 2 4 3 7 2" xfId="41563"/>
    <cellStyle name="Total 2 4 3 7 3" xfId="39545"/>
    <cellStyle name="Total 2 4 3 7 4" xfId="29269"/>
    <cellStyle name="Total 2 4 3 8" xfId="12697"/>
    <cellStyle name="Total 2 4 3 8 2" xfId="42153"/>
    <cellStyle name="Total 2 4 3 8 3" xfId="39631"/>
    <cellStyle name="Total 2 4 3 9" xfId="39990"/>
    <cellStyle name="Total 2 4 4" xfId="12141"/>
    <cellStyle name="Total 2 4 4 2" xfId="41866"/>
    <cellStyle name="Total 2 4 4 3" xfId="47463"/>
    <cellStyle name="Total 2 4 4 4" xfId="29799"/>
    <cellStyle name="Total 2 4 5" xfId="20094"/>
    <cellStyle name="Total 2 4 5 2" xfId="45616"/>
    <cellStyle name="Total 2 4 5 3" xfId="49522"/>
    <cellStyle name="Total 2 4 5 4" xfId="37568"/>
    <cellStyle name="Total 2 4 6" xfId="53327"/>
    <cellStyle name="Total 2 5" xfId="5449"/>
    <cellStyle name="Total 2 5 2" xfId="6125"/>
    <cellStyle name="Total 2 5 2 2" xfId="10475"/>
    <cellStyle name="Total 2 5 2 2 2" xfId="18262"/>
    <cellStyle name="Total 2 5 2 2 2 2" xfId="43794"/>
    <cellStyle name="Total 2 5 2 2 2 3" xfId="47703"/>
    <cellStyle name="Total 2 5 2 2 2 4" xfId="35885"/>
    <cellStyle name="Total 2 5 2 2 3" xfId="12611"/>
    <cellStyle name="Total 2 5 2 2 3 2" xfId="42071"/>
    <cellStyle name="Total 2 5 2 2 3 3" xfId="41954"/>
    <cellStyle name="Total 2 5 2 2 3 4" xfId="30262"/>
    <cellStyle name="Total 2 5 2 2 4" xfId="12689"/>
    <cellStyle name="Total 2 5 2 2 4 2" xfId="42149"/>
    <cellStyle name="Total 2 5 2 2 4 3" xfId="39424"/>
    <cellStyle name="Total 2 5 2 2 4 4" xfId="30335"/>
    <cellStyle name="Total 2 5 2 2 5" xfId="20675"/>
    <cellStyle name="Total 2 5 2 2 5 2" xfId="46197"/>
    <cellStyle name="Total 2 5 2 2 5 3" xfId="50103"/>
    <cellStyle name="Total 2 5 2 2 5 4" xfId="38067"/>
    <cellStyle name="Total 2 5 2 2 6" xfId="21328"/>
    <cellStyle name="Total 2 5 2 2 6 2" xfId="46850"/>
    <cellStyle name="Total 2 5 2 2 6 3" xfId="50756"/>
    <cellStyle name="Total 2 5 2 2 7" xfId="40653"/>
    <cellStyle name="Total 2 5 2 2 8" xfId="43220"/>
    <cellStyle name="Total 2 5 2 3" xfId="9338"/>
    <cellStyle name="Total 2 5 2 3 2" xfId="17127"/>
    <cellStyle name="Total 2 5 2 3 2 2" xfId="43520"/>
    <cellStyle name="Total 2 5 2 3 2 3" xfId="47640"/>
    <cellStyle name="Total 2 5 2 3 2 4" xfId="34749"/>
    <cellStyle name="Total 2 5 2 3 3" xfId="19776"/>
    <cellStyle name="Total 2 5 2 3 3 2" xfId="45298"/>
    <cellStyle name="Total 2 5 2 3 3 3" xfId="49204"/>
    <cellStyle name="Total 2 5 2 3 3 4" xfId="37286"/>
    <cellStyle name="Total 2 5 2 3 4" xfId="12065"/>
    <cellStyle name="Total 2 5 2 3 4 2" xfId="41793"/>
    <cellStyle name="Total 2 5 2 3 4 3" xfId="43459"/>
    <cellStyle name="Total 2 5 2 3 4 4" xfId="29729"/>
    <cellStyle name="Total 2 5 2 3 5" xfId="19361"/>
    <cellStyle name="Total 2 5 2 3 5 2" xfId="44883"/>
    <cellStyle name="Total 2 5 2 3 5 3" xfId="48789"/>
    <cellStyle name="Total 2 5 2 3 5 4" xfId="36913"/>
    <cellStyle name="Total 2 5 2 3 6" xfId="20368"/>
    <cellStyle name="Total 2 5 2 3 6 2" xfId="45890"/>
    <cellStyle name="Total 2 5 2 3 6 3" xfId="49796"/>
    <cellStyle name="Total 2 5 2 3 7" xfId="40383"/>
    <cellStyle name="Total 2 5 2 3 8" xfId="39181"/>
    <cellStyle name="Total 2 5 2 4" xfId="13909"/>
    <cellStyle name="Total 2 5 2 4 2" xfId="42625"/>
    <cellStyle name="Total 2 5 2 4 3" xfId="40019"/>
    <cellStyle name="Total 2 5 2 4 4" xfId="31531"/>
    <cellStyle name="Total 2 5 2 5" xfId="11788"/>
    <cellStyle name="Total 2 5 2 5 2" xfId="41718"/>
    <cellStyle name="Total 2 5 2 5 3" xfId="39125"/>
    <cellStyle name="Total 2 5 2 5 4" xfId="29460"/>
    <cellStyle name="Total 2 5 2 6" xfId="53430"/>
    <cellStyle name="Total 2 5 3" xfId="7494"/>
    <cellStyle name="Total 2 5 3 10" xfId="43241"/>
    <cellStyle name="Total 2 5 3 2" xfId="10764"/>
    <cellStyle name="Total 2 5 3 2 2" xfId="18551"/>
    <cellStyle name="Total 2 5 3 2 2 2" xfId="44083"/>
    <cellStyle name="Total 2 5 3 2 2 3" xfId="47992"/>
    <cellStyle name="Total 2 5 3 2 2 4" xfId="36174"/>
    <cellStyle name="Total 2 5 3 2 3" xfId="19397"/>
    <cellStyle name="Total 2 5 3 2 3 2" xfId="44919"/>
    <cellStyle name="Total 2 5 3 2 3 3" xfId="48825"/>
    <cellStyle name="Total 2 5 3 2 3 4" xfId="36948"/>
    <cellStyle name="Total 2 5 3 2 4" xfId="12119"/>
    <cellStyle name="Total 2 5 3 2 4 2" xfId="41844"/>
    <cellStyle name="Total 2 5 3 2 4 3" xfId="47468"/>
    <cellStyle name="Total 2 5 3 2 4 4" xfId="29778"/>
    <cellStyle name="Total 2 5 3 2 5" xfId="20964"/>
    <cellStyle name="Total 2 5 3 2 5 2" xfId="46486"/>
    <cellStyle name="Total 2 5 3 2 5 3" xfId="50392"/>
    <cellStyle name="Total 2 5 3 2 5 4" xfId="38356"/>
    <cellStyle name="Total 2 5 3 2 6" xfId="21617"/>
    <cellStyle name="Total 2 5 3 2 6 2" xfId="47139"/>
    <cellStyle name="Total 2 5 3 2 6 3" xfId="51045"/>
    <cellStyle name="Total 2 5 3 2 7" xfId="40942"/>
    <cellStyle name="Total 2 5 3 2 8" xfId="40564"/>
    <cellStyle name="Total 2 5 3 3" xfId="11059"/>
    <cellStyle name="Total 2 5 3 3 2" xfId="18846"/>
    <cellStyle name="Total 2 5 3 3 2 2" xfId="44378"/>
    <cellStyle name="Total 2 5 3 3 2 3" xfId="48287"/>
    <cellStyle name="Total 2 5 3 3 2 4" xfId="36469"/>
    <cellStyle name="Total 2 5 3 3 3" xfId="20439"/>
    <cellStyle name="Total 2 5 3 3 3 2" xfId="45961"/>
    <cellStyle name="Total 2 5 3 3 3 3" xfId="49867"/>
    <cellStyle name="Total 2 5 3 3 3 4" xfId="37879"/>
    <cellStyle name="Total 2 5 3 3 4" xfId="20583"/>
    <cellStyle name="Total 2 5 3 3 4 2" xfId="46105"/>
    <cellStyle name="Total 2 5 3 3 4 3" xfId="50011"/>
    <cellStyle name="Total 2 5 3 3 4 4" xfId="37996"/>
    <cellStyle name="Total 2 5 3 3 5" xfId="21259"/>
    <cellStyle name="Total 2 5 3 3 5 2" xfId="46781"/>
    <cellStyle name="Total 2 5 3 3 5 3" xfId="50687"/>
    <cellStyle name="Total 2 5 3 3 5 4" xfId="38651"/>
    <cellStyle name="Total 2 5 3 3 6" xfId="21912"/>
    <cellStyle name="Total 2 5 3 3 6 2" xfId="47434"/>
    <cellStyle name="Total 2 5 3 3 6 3" xfId="51340"/>
    <cellStyle name="Total 2 5 3 3 7" xfId="41237"/>
    <cellStyle name="Total 2 5 3 3 8" xfId="40339"/>
    <cellStyle name="Total 2 5 3 4" xfId="15276"/>
    <cellStyle name="Total 2 5 3 4 2" xfId="43131"/>
    <cellStyle name="Total 2 5 3 4 3" xfId="39601"/>
    <cellStyle name="Total 2 5 3 4 4" xfId="32897"/>
    <cellStyle name="Total 2 5 3 5" xfId="11366"/>
    <cellStyle name="Total 2 5 3 5 2" xfId="41382"/>
    <cellStyle name="Total 2 5 3 5 3" xfId="39445"/>
    <cellStyle name="Total 2 5 3 5 4" xfId="29075"/>
    <cellStyle name="Total 2 5 3 6" xfId="12671"/>
    <cellStyle name="Total 2 5 3 6 2" xfId="42131"/>
    <cellStyle name="Total 2 5 3 6 3" xfId="41950"/>
    <cellStyle name="Total 2 5 3 6 4" xfId="30319"/>
    <cellStyle name="Total 2 5 3 7" xfId="19008"/>
    <cellStyle name="Total 2 5 3 7 2" xfId="44530"/>
    <cellStyle name="Total 2 5 3 7 3" xfId="48436"/>
    <cellStyle name="Total 2 5 3 7 4" xfId="36602"/>
    <cellStyle name="Total 2 5 3 8" xfId="20494"/>
    <cellStyle name="Total 2 5 3 8 2" xfId="46016"/>
    <cellStyle name="Total 2 5 3 8 3" xfId="49922"/>
    <cellStyle name="Total 2 5 3 9" xfId="39991"/>
    <cellStyle name="Total 2 5 4" xfId="53329"/>
    <cellStyle name="Total 2 6" xfId="5444"/>
    <cellStyle name="Total 2 6 2" xfId="53425"/>
    <cellStyle name="Total 2 7" xfId="7489"/>
    <cellStyle name="Total 2 7 10" xfId="40253"/>
    <cellStyle name="Total 2 7 2" xfId="10759"/>
    <cellStyle name="Total 2 7 2 2" xfId="18546"/>
    <cellStyle name="Total 2 7 2 2 2" xfId="44078"/>
    <cellStyle name="Total 2 7 2 2 3" xfId="47987"/>
    <cellStyle name="Total 2 7 2 2 4" xfId="36169"/>
    <cellStyle name="Total 2 7 2 3" xfId="11500"/>
    <cellStyle name="Total 2 7 2 3 2" xfId="41491"/>
    <cellStyle name="Total 2 7 2 3 3" xfId="40330"/>
    <cellStyle name="Total 2 7 2 3 4" xfId="29201"/>
    <cellStyle name="Total 2 7 2 4" xfId="19676"/>
    <cellStyle name="Total 2 7 2 4 2" xfId="45198"/>
    <cellStyle name="Total 2 7 2 4 3" xfId="49104"/>
    <cellStyle name="Total 2 7 2 4 4" xfId="37193"/>
    <cellStyle name="Total 2 7 2 5" xfId="20959"/>
    <cellStyle name="Total 2 7 2 5 2" xfId="46481"/>
    <cellStyle name="Total 2 7 2 5 3" xfId="50387"/>
    <cellStyle name="Total 2 7 2 5 4" xfId="38351"/>
    <cellStyle name="Total 2 7 2 6" xfId="21612"/>
    <cellStyle name="Total 2 7 2 6 2" xfId="47134"/>
    <cellStyle name="Total 2 7 2 6 3" xfId="51040"/>
    <cellStyle name="Total 2 7 2 7" xfId="40937"/>
    <cellStyle name="Total 2 7 2 8" xfId="41406"/>
    <cellStyle name="Total 2 7 3" xfId="11054"/>
    <cellStyle name="Total 2 7 3 2" xfId="18841"/>
    <cellStyle name="Total 2 7 3 2 2" xfId="44373"/>
    <cellStyle name="Total 2 7 3 2 3" xfId="48282"/>
    <cellStyle name="Total 2 7 3 2 4" xfId="36464"/>
    <cellStyle name="Total 2 7 3 3" xfId="20434"/>
    <cellStyle name="Total 2 7 3 3 2" xfId="45956"/>
    <cellStyle name="Total 2 7 3 3 3" xfId="49862"/>
    <cellStyle name="Total 2 7 3 3 4" xfId="37874"/>
    <cellStyle name="Total 2 7 3 4" xfId="20578"/>
    <cellStyle name="Total 2 7 3 4 2" xfId="46100"/>
    <cellStyle name="Total 2 7 3 4 3" xfId="50006"/>
    <cellStyle name="Total 2 7 3 4 4" xfId="37991"/>
    <cellStyle name="Total 2 7 3 5" xfId="21254"/>
    <cellStyle name="Total 2 7 3 5 2" xfId="46776"/>
    <cellStyle name="Total 2 7 3 5 3" xfId="50682"/>
    <cellStyle name="Total 2 7 3 5 4" xfId="38646"/>
    <cellStyle name="Total 2 7 3 6" xfId="21907"/>
    <cellStyle name="Total 2 7 3 6 2" xfId="47429"/>
    <cellStyle name="Total 2 7 3 6 3" xfId="51335"/>
    <cellStyle name="Total 2 7 3 7" xfId="41232"/>
    <cellStyle name="Total 2 7 3 8" xfId="43587"/>
    <cellStyle name="Total 2 7 4" xfId="15271"/>
    <cellStyle name="Total 2 7 4 2" xfId="43126"/>
    <cellStyle name="Total 2 7 4 3" xfId="43148"/>
    <cellStyle name="Total 2 7 4 4" xfId="32892"/>
    <cellStyle name="Total 2 7 5" xfId="11362"/>
    <cellStyle name="Total 2 7 5 2" xfId="41378"/>
    <cellStyle name="Total 2 7 5 3" xfId="39551"/>
    <cellStyle name="Total 2 7 5 4" xfId="29071"/>
    <cellStyle name="Total 2 7 6" xfId="19685"/>
    <cellStyle name="Total 2 7 6 2" xfId="45207"/>
    <cellStyle name="Total 2 7 6 3" xfId="49113"/>
    <cellStyle name="Total 2 7 6 4" xfId="37200"/>
    <cellStyle name="Total 2 7 7" xfId="19983"/>
    <cellStyle name="Total 2 7 7 2" xfId="45505"/>
    <cellStyle name="Total 2 7 7 3" xfId="49411"/>
    <cellStyle name="Total 2 7 7 4" xfId="37467"/>
    <cellStyle name="Total 2 7 8" xfId="19543"/>
    <cellStyle name="Total 2 7 8 2" xfId="45065"/>
    <cellStyle name="Total 2 7 8 3" xfId="48971"/>
    <cellStyle name="Total 2 7 9" xfId="39986"/>
    <cellStyle name="Total 2 8" xfId="12137"/>
    <cellStyle name="Total 2 8 2" xfId="41862"/>
    <cellStyle name="Total 2 8 3" xfId="47557"/>
    <cellStyle name="Total 2 8 4" xfId="29795"/>
    <cellStyle name="Total 2 9" xfId="18956"/>
    <cellStyle name="Total 2 9 2" xfId="44478"/>
    <cellStyle name="Total 2 9 3" xfId="48384"/>
    <cellStyle name="Total 2 9 4" xfId="36568"/>
    <cellStyle name="Total 2_Sheet1" xfId="3416"/>
    <cellStyle name="Total 3" xfId="143"/>
    <cellStyle name="Total 3 2" xfId="3417"/>
    <cellStyle name="Total 3 2 2" xfId="5451"/>
    <cellStyle name="Total 3 2 2 2" xfId="53432"/>
    <cellStyle name="Total 3 2 3" xfId="7496"/>
    <cellStyle name="Total 3 2 3 10" xfId="43069"/>
    <cellStyle name="Total 3 2 3 2" xfId="10766"/>
    <cellStyle name="Total 3 2 3 2 2" xfId="18553"/>
    <cellStyle name="Total 3 2 3 2 2 2" xfId="44085"/>
    <cellStyle name="Total 3 2 3 2 2 3" xfId="47994"/>
    <cellStyle name="Total 3 2 3 2 2 4" xfId="36176"/>
    <cellStyle name="Total 3 2 3 2 3" xfId="19270"/>
    <cellStyle name="Total 3 2 3 2 3 2" xfId="44792"/>
    <cellStyle name="Total 3 2 3 2 3 3" xfId="48698"/>
    <cellStyle name="Total 3 2 3 2 3 4" xfId="36834"/>
    <cellStyle name="Total 3 2 3 2 4" xfId="11649"/>
    <cellStyle name="Total 3 2 3 2 4 2" xfId="41640"/>
    <cellStyle name="Total 3 2 3 2 4 3" xfId="40323"/>
    <cellStyle name="Total 3 2 3 2 4 4" xfId="29334"/>
    <cellStyle name="Total 3 2 3 2 5" xfId="20966"/>
    <cellStyle name="Total 3 2 3 2 5 2" xfId="46488"/>
    <cellStyle name="Total 3 2 3 2 5 3" xfId="50394"/>
    <cellStyle name="Total 3 2 3 2 5 4" xfId="38358"/>
    <cellStyle name="Total 3 2 3 2 6" xfId="21619"/>
    <cellStyle name="Total 3 2 3 2 6 2" xfId="47141"/>
    <cellStyle name="Total 3 2 3 2 6 3" xfId="51047"/>
    <cellStyle name="Total 3 2 3 2 7" xfId="40944"/>
    <cellStyle name="Total 3 2 3 2 8" xfId="42712"/>
    <cellStyle name="Total 3 2 3 3" xfId="11061"/>
    <cellStyle name="Total 3 2 3 3 2" xfId="18848"/>
    <cellStyle name="Total 3 2 3 3 2 2" xfId="44380"/>
    <cellStyle name="Total 3 2 3 3 2 3" xfId="48289"/>
    <cellStyle name="Total 3 2 3 3 2 4" xfId="36471"/>
    <cellStyle name="Total 3 2 3 3 3" xfId="20441"/>
    <cellStyle name="Total 3 2 3 3 3 2" xfId="45963"/>
    <cellStyle name="Total 3 2 3 3 3 3" xfId="49869"/>
    <cellStyle name="Total 3 2 3 3 3 4" xfId="37881"/>
    <cellStyle name="Total 3 2 3 3 4" xfId="20585"/>
    <cellStyle name="Total 3 2 3 3 4 2" xfId="46107"/>
    <cellStyle name="Total 3 2 3 3 4 3" xfId="50013"/>
    <cellStyle name="Total 3 2 3 3 4 4" xfId="37998"/>
    <cellStyle name="Total 3 2 3 3 5" xfId="21261"/>
    <cellStyle name="Total 3 2 3 3 5 2" xfId="46783"/>
    <cellStyle name="Total 3 2 3 3 5 3" xfId="50689"/>
    <cellStyle name="Total 3 2 3 3 5 4" xfId="38653"/>
    <cellStyle name="Total 3 2 3 3 6" xfId="21914"/>
    <cellStyle name="Total 3 2 3 3 6 2" xfId="47436"/>
    <cellStyle name="Total 3 2 3 3 6 3" xfId="51342"/>
    <cellStyle name="Total 3 2 3 3 7" xfId="41239"/>
    <cellStyle name="Total 3 2 3 3 8" xfId="42016"/>
    <cellStyle name="Total 3 2 3 4" xfId="15278"/>
    <cellStyle name="Total 3 2 3 4 2" xfId="43133"/>
    <cellStyle name="Total 3 2 3 4 3" xfId="43525"/>
    <cellStyle name="Total 3 2 3 4 4" xfId="32899"/>
    <cellStyle name="Total 3 2 3 5" xfId="12043"/>
    <cellStyle name="Total 3 2 3 5 2" xfId="41778"/>
    <cellStyle name="Total 3 2 3 5 3" xfId="42544"/>
    <cellStyle name="Total 3 2 3 5 4" xfId="29708"/>
    <cellStyle name="Total 3 2 3 6" xfId="20304"/>
    <cellStyle name="Total 3 2 3 6 2" xfId="45826"/>
    <cellStyle name="Total 3 2 3 6 3" xfId="49732"/>
    <cellStyle name="Total 3 2 3 6 4" xfId="37754"/>
    <cellStyle name="Total 3 2 3 7" xfId="13902"/>
    <cellStyle name="Total 3 2 3 7 2" xfId="42618"/>
    <cellStyle name="Total 3 2 3 7 3" xfId="40141"/>
    <cellStyle name="Total 3 2 3 7 4" xfId="31526"/>
    <cellStyle name="Total 3 2 3 8" xfId="13192"/>
    <cellStyle name="Total 3 2 3 8 2" xfId="42394"/>
    <cellStyle name="Total 3 2 3 8 3" xfId="43288"/>
    <cellStyle name="Total 3 2 3 9" xfId="39993"/>
    <cellStyle name="Total 3 2 4" xfId="12143"/>
    <cellStyle name="Total 3 2 4 2" xfId="41868"/>
    <cellStyle name="Total 3 2 4 3" xfId="43255"/>
    <cellStyle name="Total 3 2 4 4" xfId="29801"/>
    <cellStyle name="Total 3 2 5" xfId="19197"/>
    <cellStyle name="Total 3 2 5 2" xfId="44719"/>
    <cellStyle name="Total 3 2 5 3" xfId="48625"/>
    <cellStyle name="Total 3 2 5 4" xfId="36768"/>
    <cellStyle name="Total 3 2 6" xfId="53330"/>
    <cellStyle name="Total 3 3" xfId="3418"/>
    <cellStyle name="Total 3 3 2" xfId="5452"/>
    <cellStyle name="Total 3 3 3" xfId="7497"/>
    <cellStyle name="Total 3 3 3 10" xfId="43736"/>
    <cellStyle name="Total 3 3 3 2" xfId="10767"/>
    <cellStyle name="Total 3 3 3 2 2" xfId="18554"/>
    <cellStyle name="Total 3 3 3 2 2 2" xfId="44086"/>
    <cellStyle name="Total 3 3 3 2 2 3" xfId="47995"/>
    <cellStyle name="Total 3 3 3 2 2 4" xfId="36177"/>
    <cellStyle name="Total 3 3 3 2 3" xfId="19879"/>
    <cellStyle name="Total 3 3 3 2 3 2" xfId="45401"/>
    <cellStyle name="Total 3 3 3 2 3 3" xfId="49307"/>
    <cellStyle name="Total 3 3 3 2 3 4" xfId="37379"/>
    <cellStyle name="Total 3 3 3 2 4" xfId="19638"/>
    <cellStyle name="Total 3 3 3 2 4 2" xfId="45160"/>
    <cellStyle name="Total 3 3 3 2 4 3" xfId="49066"/>
    <cellStyle name="Total 3 3 3 2 4 4" xfId="37159"/>
    <cellStyle name="Total 3 3 3 2 5" xfId="20967"/>
    <cellStyle name="Total 3 3 3 2 5 2" xfId="46489"/>
    <cellStyle name="Total 3 3 3 2 5 3" xfId="50395"/>
    <cellStyle name="Total 3 3 3 2 5 4" xfId="38359"/>
    <cellStyle name="Total 3 3 3 2 6" xfId="21620"/>
    <cellStyle name="Total 3 3 3 2 6 2" xfId="47142"/>
    <cellStyle name="Total 3 3 3 2 6 3" xfId="51048"/>
    <cellStyle name="Total 3 3 3 2 7" xfId="40945"/>
    <cellStyle name="Total 3 3 3 2 8" xfId="43601"/>
    <cellStyle name="Total 3 3 3 3" xfId="11062"/>
    <cellStyle name="Total 3 3 3 3 2" xfId="18849"/>
    <cellStyle name="Total 3 3 3 3 2 2" xfId="44381"/>
    <cellStyle name="Total 3 3 3 3 2 3" xfId="48290"/>
    <cellStyle name="Total 3 3 3 3 2 4" xfId="36472"/>
    <cellStyle name="Total 3 3 3 3 3" xfId="20442"/>
    <cellStyle name="Total 3 3 3 3 3 2" xfId="45964"/>
    <cellStyle name="Total 3 3 3 3 3 3" xfId="49870"/>
    <cellStyle name="Total 3 3 3 3 3 4" xfId="37882"/>
    <cellStyle name="Total 3 3 3 3 4" xfId="20586"/>
    <cellStyle name="Total 3 3 3 3 4 2" xfId="46108"/>
    <cellStyle name="Total 3 3 3 3 4 3" xfId="50014"/>
    <cellStyle name="Total 3 3 3 3 4 4" xfId="37999"/>
    <cellStyle name="Total 3 3 3 3 5" xfId="21262"/>
    <cellStyle name="Total 3 3 3 3 5 2" xfId="46784"/>
    <cellStyle name="Total 3 3 3 3 5 3" xfId="50690"/>
    <cellStyle name="Total 3 3 3 3 5 4" xfId="38654"/>
    <cellStyle name="Total 3 3 3 3 6" xfId="21915"/>
    <cellStyle name="Total 3 3 3 3 6 2" xfId="47437"/>
    <cellStyle name="Total 3 3 3 3 6 3" xfId="51343"/>
    <cellStyle name="Total 3 3 3 3 7" xfId="41240"/>
    <cellStyle name="Total 3 3 3 3 8" xfId="43335"/>
    <cellStyle name="Total 3 3 3 4" xfId="15279"/>
    <cellStyle name="Total 3 3 3 4 2" xfId="43134"/>
    <cellStyle name="Total 3 3 3 4 3" xfId="40387"/>
    <cellStyle name="Total 3 3 3 4 4" xfId="32900"/>
    <cellStyle name="Total 3 3 3 5" xfId="12044"/>
    <cellStyle name="Total 3 3 3 5 2" xfId="41779"/>
    <cellStyle name="Total 3 3 3 5 3" xfId="47558"/>
    <cellStyle name="Total 3 3 3 5 4" xfId="29709"/>
    <cellStyle name="Total 3 3 3 6" xfId="19785"/>
    <cellStyle name="Total 3 3 3 6 2" xfId="45307"/>
    <cellStyle name="Total 3 3 3 6 3" xfId="49213"/>
    <cellStyle name="Total 3 3 3 6 4" xfId="37294"/>
    <cellStyle name="Total 3 3 3 7" xfId="20266"/>
    <cellStyle name="Total 3 3 3 7 2" xfId="45788"/>
    <cellStyle name="Total 3 3 3 7 3" xfId="49694"/>
    <cellStyle name="Total 3 3 3 7 4" xfId="37720"/>
    <cellStyle name="Total 3 3 3 8" xfId="19036"/>
    <cellStyle name="Total 3 3 3 8 2" xfId="44558"/>
    <cellStyle name="Total 3 3 3 8 3" xfId="48464"/>
    <cellStyle name="Total 3 3 3 9" xfId="39994"/>
    <cellStyle name="Total 3 3 4" xfId="12144"/>
    <cellStyle name="Total 3 3 4 2" xfId="41869"/>
    <cellStyle name="Total 3 3 4 3" xfId="40114"/>
    <cellStyle name="Total 3 3 4 4" xfId="29802"/>
    <cellStyle name="Total 3 3 5" xfId="19827"/>
    <cellStyle name="Total 3 3 5 2" xfId="45349"/>
    <cellStyle name="Total 3 3 5 3" xfId="49255"/>
    <cellStyle name="Total 3 3 5 4" xfId="37331"/>
    <cellStyle name="Total 3 3 6" xfId="53431"/>
    <cellStyle name="Total 3 4" xfId="5453"/>
    <cellStyle name="Total 3 4 2" xfId="6126"/>
    <cellStyle name="Total 3 4 2 2" xfId="10476"/>
    <cellStyle name="Total 3 4 2 2 2" xfId="18263"/>
    <cellStyle name="Total 3 4 2 2 2 2" xfId="43795"/>
    <cellStyle name="Total 3 4 2 2 2 3" xfId="47704"/>
    <cellStyle name="Total 3 4 2 2 2 4" xfId="35886"/>
    <cellStyle name="Total 3 4 2 2 3" xfId="13306"/>
    <cellStyle name="Total 3 4 2 2 3 2" xfId="42457"/>
    <cellStyle name="Total 3 4 2 2 3 3" xfId="39256"/>
    <cellStyle name="Total 3 4 2 2 3 4" xfId="30932"/>
    <cellStyle name="Total 3 4 2 2 4" xfId="18954"/>
    <cellStyle name="Total 3 4 2 2 4 2" xfId="44476"/>
    <cellStyle name="Total 3 4 2 2 4 3" xfId="48382"/>
    <cellStyle name="Total 3 4 2 2 4 4" xfId="36566"/>
    <cellStyle name="Total 3 4 2 2 5" xfId="20676"/>
    <cellStyle name="Total 3 4 2 2 5 2" xfId="46198"/>
    <cellStyle name="Total 3 4 2 2 5 3" xfId="50104"/>
    <cellStyle name="Total 3 4 2 2 5 4" xfId="38068"/>
    <cellStyle name="Total 3 4 2 2 6" xfId="21329"/>
    <cellStyle name="Total 3 4 2 2 6 2" xfId="46851"/>
    <cellStyle name="Total 3 4 2 2 6 3" xfId="50757"/>
    <cellStyle name="Total 3 4 2 2 7" xfId="40654"/>
    <cellStyle name="Total 3 4 2 2 8" xfId="40079"/>
    <cellStyle name="Total 3 4 2 3" xfId="9339"/>
    <cellStyle name="Total 3 4 2 3 2" xfId="17128"/>
    <cellStyle name="Total 3 4 2 3 2 2" xfId="43521"/>
    <cellStyle name="Total 3 4 2 3 2 3" xfId="47641"/>
    <cellStyle name="Total 3 4 2 3 2 4" xfId="34750"/>
    <cellStyle name="Total 3 4 2 3 3" xfId="20189"/>
    <cellStyle name="Total 3 4 2 3 3 2" xfId="45711"/>
    <cellStyle name="Total 3 4 2 3 3 3" xfId="49617"/>
    <cellStyle name="Total 3 4 2 3 3 4" xfId="37657"/>
    <cellStyle name="Total 3 4 2 3 4" xfId="19466"/>
    <cellStyle name="Total 3 4 2 3 4 2" xfId="44988"/>
    <cellStyle name="Total 3 4 2 3 4 3" xfId="48894"/>
    <cellStyle name="Total 3 4 2 3 4 4" xfId="37009"/>
    <cellStyle name="Total 3 4 2 3 5" xfId="19487"/>
    <cellStyle name="Total 3 4 2 3 5 2" xfId="45009"/>
    <cellStyle name="Total 3 4 2 3 5 3" xfId="48915"/>
    <cellStyle name="Total 3 4 2 3 5 4" xfId="37024"/>
    <cellStyle name="Total 3 4 2 3 6" xfId="18901"/>
    <cellStyle name="Total 3 4 2 3 6 2" xfId="44423"/>
    <cellStyle name="Total 3 4 2 3 6 3" xfId="48329"/>
    <cellStyle name="Total 3 4 2 3 7" xfId="40384"/>
    <cellStyle name="Total 3 4 2 3 8" xfId="39180"/>
    <cellStyle name="Total 3 4 2 4" xfId="13910"/>
    <cellStyle name="Total 3 4 2 4 2" xfId="42626"/>
    <cellStyle name="Total 3 4 2 4 3" xfId="42761"/>
    <cellStyle name="Total 3 4 2 4 4" xfId="31532"/>
    <cellStyle name="Total 3 4 2 5" xfId="12794"/>
    <cellStyle name="Total 3 4 2 5 2" xfId="42190"/>
    <cellStyle name="Total 3 4 2 5 3" xfId="43555"/>
    <cellStyle name="Total 3 4 2 5 4" xfId="30437"/>
    <cellStyle name="Total 3 4 3" xfId="7498"/>
    <cellStyle name="Total 3 4 3 10" xfId="40595"/>
    <cellStyle name="Total 3 4 3 2" xfId="10768"/>
    <cellStyle name="Total 3 4 3 2 2" xfId="18555"/>
    <cellStyle name="Total 3 4 3 2 2 2" xfId="44087"/>
    <cellStyle name="Total 3 4 3 2 2 3" xfId="47996"/>
    <cellStyle name="Total 3 4 3 2 2 4" xfId="36178"/>
    <cellStyle name="Total 3 4 3 2 3" xfId="19102"/>
    <cellStyle name="Total 3 4 3 2 3 2" xfId="44624"/>
    <cellStyle name="Total 3 4 3 2 3 3" xfId="48530"/>
    <cellStyle name="Total 3 4 3 2 3 4" xfId="36683"/>
    <cellStyle name="Total 3 4 3 2 4" xfId="18904"/>
    <cellStyle name="Total 3 4 3 2 4 2" xfId="44426"/>
    <cellStyle name="Total 3 4 3 2 4 3" xfId="48332"/>
    <cellStyle name="Total 3 4 3 2 4 4" xfId="36520"/>
    <cellStyle name="Total 3 4 3 2 5" xfId="20968"/>
    <cellStyle name="Total 3 4 3 2 5 2" xfId="46490"/>
    <cellStyle name="Total 3 4 3 2 5 3" xfId="50396"/>
    <cellStyle name="Total 3 4 3 2 5 4" xfId="38360"/>
    <cellStyle name="Total 3 4 3 2 6" xfId="21621"/>
    <cellStyle name="Total 3 4 3 2 6 2" xfId="47143"/>
    <cellStyle name="Total 3 4 3 2 6 3" xfId="51049"/>
    <cellStyle name="Total 3 4 3 2 7" xfId="40946"/>
    <cellStyle name="Total 3 4 3 2 8" xfId="40459"/>
    <cellStyle name="Total 3 4 3 3" xfId="11063"/>
    <cellStyle name="Total 3 4 3 3 2" xfId="18850"/>
    <cellStyle name="Total 3 4 3 3 2 2" xfId="44382"/>
    <cellStyle name="Total 3 4 3 3 2 3" xfId="48291"/>
    <cellStyle name="Total 3 4 3 3 2 4" xfId="36473"/>
    <cellStyle name="Total 3 4 3 3 3" xfId="20443"/>
    <cellStyle name="Total 3 4 3 3 3 2" xfId="45965"/>
    <cellStyle name="Total 3 4 3 3 3 3" xfId="49871"/>
    <cellStyle name="Total 3 4 3 3 3 4" xfId="37883"/>
    <cellStyle name="Total 3 4 3 3 4" xfId="20587"/>
    <cellStyle name="Total 3 4 3 3 4 2" xfId="46109"/>
    <cellStyle name="Total 3 4 3 3 4 3" xfId="50015"/>
    <cellStyle name="Total 3 4 3 3 4 4" xfId="38000"/>
    <cellStyle name="Total 3 4 3 3 5" xfId="21263"/>
    <cellStyle name="Total 3 4 3 3 5 2" xfId="46785"/>
    <cellStyle name="Total 3 4 3 3 5 3" xfId="50691"/>
    <cellStyle name="Total 3 4 3 3 5 4" xfId="38655"/>
    <cellStyle name="Total 3 4 3 3 6" xfId="21916"/>
    <cellStyle name="Total 3 4 3 3 6 2" xfId="47438"/>
    <cellStyle name="Total 3 4 3 3 6 3" xfId="51344"/>
    <cellStyle name="Total 3 4 3 3 7" xfId="41241"/>
    <cellStyle name="Total 3 4 3 3 8" xfId="40197"/>
    <cellStyle name="Total 3 4 3 4" xfId="15280"/>
    <cellStyle name="Total 3 4 3 4 2" xfId="43135"/>
    <cellStyle name="Total 3 4 3 4 3" xfId="39496"/>
    <cellStyle name="Total 3 4 3 4 4" xfId="32901"/>
    <cellStyle name="Total 3 4 3 5" xfId="12045"/>
    <cellStyle name="Total 3 4 3 5 2" xfId="41780"/>
    <cellStyle name="Total 3 4 3 5 3" xfId="43458"/>
    <cellStyle name="Total 3 4 3 5 4" xfId="29710"/>
    <cellStyle name="Total 3 4 3 6" xfId="19651"/>
    <cellStyle name="Total 3 4 3 6 2" xfId="45173"/>
    <cellStyle name="Total 3 4 3 6 3" xfId="49079"/>
    <cellStyle name="Total 3 4 3 6 4" xfId="37171"/>
    <cellStyle name="Total 3 4 3 7" xfId="19011"/>
    <cellStyle name="Total 3 4 3 7 2" xfId="44533"/>
    <cellStyle name="Total 3 4 3 7 3" xfId="48439"/>
    <cellStyle name="Total 3 4 3 7 4" xfId="36605"/>
    <cellStyle name="Total 3 4 3 8" xfId="18885"/>
    <cellStyle name="Total 3 4 3 8 2" xfId="44407"/>
    <cellStyle name="Total 3 4 3 8 3" xfId="48313"/>
    <cellStyle name="Total 3 4 3 9" xfId="39995"/>
    <cellStyle name="Total 3 5" xfId="5450"/>
    <cellStyle name="Total 3 6" xfId="7495"/>
    <cellStyle name="Total 3 6 10" xfId="40100"/>
    <cellStyle name="Total 3 6 2" xfId="10765"/>
    <cellStyle name="Total 3 6 2 2" xfId="18552"/>
    <cellStyle name="Total 3 6 2 2 2" xfId="44084"/>
    <cellStyle name="Total 3 6 2 2 3" xfId="47993"/>
    <cellStyle name="Total 3 6 2 2 4" xfId="36175"/>
    <cellStyle name="Total 3 6 2 3" xfId="20004"/>
    <cellStyle name="Total 3 6 2 3 2" xfId="45526"/>
    <cellStyle name="Total 3 6 2 3 3" xfId="49432"/>
    <cellStyle name="Total 3 6 2 3 4" xfId="37488"/>
    <cellStyle name="Total 3 6 2 4" xfId="11620"/>
    <cellStyle name="Total 3 6 2 4 2" xfId="41611"/>
    <cellStyle name="Total 3 6 2 4 3" xfId="43317"/>
    <cellStyle name="Total 3 6 2 4 4" xfId="29309"/>
    <cellStyle name="Total 3 6 2 5" xfId="20965"/>
    <cellStyle name="Total 3 6 2 5 2" xfId="46487"/>
    <cellStyle name="Total 3 6 2 5 3" xfId="50393"/>
    <cellStyle name="Total 3 6 2 5 4" xfId="38357"/>
    <cellStyle name="Total 3 6 2 6" xfId="21618"/>
    <cellStyle name="Total 3 6 2 6 2" xfId="47140"/>
    <cellStyle name="Total 3 6 2 6 3" xfId="51046"/>
    <cellStyle name="Total 3 6 2 7" xfId="40943"/>
    <cellStyle name="Total 3 6 2 8" xfId="39675"/>
    <cellStyle name="Total 3 6 3" xfId="11060"/>
    <cellStyle name="Total 3 6 3 2" xfId="18847"/>
    <cellStyle name="Total 3 6 3 2 2" xfId="44379"/>
    <cellStyle name="Total 3 6 3 2 3" xfId="48288"/>
    <cellStyle name="Total 3 6 3 2 4" xfId="36470"/>
    <cellStyle name="Total 3 6 3 3" xfId="20440"/>
    <cellStyle name="Total 3 6 3 3 2" xfId="45962"/>
    <cellStyle name="Total 3 6 3 3 3" xfId="49868"/>
    <cellStyle name="Total 3 6 3 3 4" xfId="37880"/>
    <cellStyle name="Total 3 6 3 4" xfId="20584"/>
    <cellStyle name="Total 3 6 3 4 2" xfId="46106"/>
    <cellStyle name="Total 3 6 3 4 3" xfId="50012"/>
    <cellStyle name="Total 3 6 3 4 4" xfId="37997"/>
    <cellStyle name="Total 3 6 3 5" xfId="21260"/>
    <cellStyle name="Total 3 6 3 5 2" xfId="46782"/>
    <cellStyle name="Total 3 6 3 5 3" xfId="50688"/>
    <cellStyle name="Total 3 6 3 5 4" xfId="38652"/>
    <cellStyle name="Total 3 6 3 6" xfId="21913"/>
    <cellStyle name="Total 3 6 3 6 2" xfId="47435"/>
    <cellStyle name="Total 3 6 3 6 3" xfId="51341"/>
    <cellStyle name="Total 3 6 3 7" xfId="41238"/>
    <cellStyle name="Total 3 6 3 8" xfId="39451"/>
    <cellStyle name="Total 3 6 4" xfId="15277"/>
    <cellStyle name="Total 3 6 4 2" xfId="43132"/>
    <cellStyle name="Total 3 6 4 3" xfId="42637"/>
    <cellStyle name="Total 3 6 4 4" xfId="32898"/>
    <cellStyle name="Total 3 6 5" xfId="11367"/>
    <cellStyle name="Total 3 6 5 2" xfId="41383"/>
    <cellStyle name="Total 3 6 5 3" xfId="42008"/>
    <cellStyle name="Total 3 6 5 4" xfId="29076"/>
    <cellStyle name="Total 3 6 6" xfId="19684"/>
    <cellStyle name="Total 3 6 6 2" xfId="45206"/>
    <cellStyle name="Total 3 6 6 3" xfId="49112"/>
    <cellStyle name="Total 3 6 6 4" xfId="37199"/>
    <cellStyle name="Total 3 6 7" xfId="11573"/>
    <cellStyle name="Total 3 6 7 2" xfId="41564"/>
    <cellStyle name="Total 3 6 7 3" xfId="42552"/>
    <cellStyle name="Total 3 6 7 4" xfId="29270"/>
    <cellStyle name="Total 3 6 8" xfId="20079"/>
    <cellStyle name="Total 3 6 8 2" xfId="45601"/>
    <cellStyle name="Total 3 6 8 3" xfId="49507"/>
    <cellStyle name="Total 3 6 9" xfId="39992"/>
    <cellStyle name="Total 3 7" xfId="12142"/>
    <cellStyle name="Total 3 7 2" xfId="41867"/>
    <cellStyle name="Total 3 7 3" xfId="41899"/>
    <cellStyle name="Total 3 7 4" xfId="29800"/>
    <cellStyle name="Total 3 8" xfId="19961"/>
    <cellStyle name="Total 3 8 2" xfId="45483"/>
    <cellStyle name="Total 3 8 3" xfId="49389"/>
    <cellStyle name="Total 3 8 4" xfId="37451"/>
    <cellStyle name="Total 3 9" xfId="52741"/>
    <cellStyle name="Total 4" xfId="144"/>
    <cellStyle name="Total 4 10" xfId="52742"/>
    <cellStyle name="Total 4 2" xfId="3419"/>
    <cellStyle name="Total 4 2 2" xfId="5455"/>
    <cellStyle name="Total 4 2 2 2" xfId="53434"/>
    <cellStyle name="Total 4 2 3" xfId="7500"/>
    <cellStyle name="Total 4 2 3 10" xfId="42729"/>
    <cellStyle name="Total 4 2 3 2" xfId="10770"/>
    <cellStyle name="Total 4 2 3 2 2" xfId="18557"/>
    <cellStyle name="Total 4 2 3 2 2 2" xfId="44089"/>
    <cellStyle name="Total 4 2 3 2 2 3" xfId="47998"/>
    <cellStyle name="Total 4 2 3 2 2 4" xfId="36180"/>
    <cellStyle name="Total 4 2 3 2 3" xfId="11502"/>
    <cellStyle name="Total 4 2 3 2 3 2" xfId="41493"/>
    <cellStyle name="Total 4 2 3 2 3 3" xfId="42000"/>
    <cellStyle name="Total 4 2 3 2 3 4" xfId="29203"/>
    <cellStyle name="Total 4 2 3 2 4" xfId="19538"/>
    <cellStyle name="Total 4 2 3 2 4 2" xfId="45060"/>
    <cellStyle name="Total 4 2 3 2 4 3" xfId="48966"/>
    <cellStyle name="Total 4 2 3 2 4 4" xfId="37066"/>
    <cellStyle name="Total 4 2 3 2 5" xfId="20970"/>
    <cellStyle name="Total 4 2 3 2 5 2" xfId="46492"/>
    <cellStyle name="Total 4 2 3 2 5 3" xfId="50398"/>
    <cellStyle name="Total 4 2 3 2 5 4" xfId="38362"/>
    <cellStyle name="Total 4 2 3 2 6" xfId="21623"/>
    <cellStyle name="Total 4 2 3 2 6 2" xfId="47145"/>
    <cellStyle name="Total 4 2 3 2 6 3" xfId="51051"/>
    <cellStyle name="Total 4 2 3 2 7" xfId="40948"/>
    <cellStyle name="Total 4 2 3 2 8" xfId="42577"/>
    <cellStyle name="Total 4 2 3 3" xfId="11065"/>
    <cellStyle name="Total 4 2 3 3 2" xfId="18852"/>
    <cellStyle name="Total 4 2 3 3 2 2" xfId="44384"/>
    <cellStyle name="Total 4 2 3 3 2 3" xfId="48293"/>
    <cellStyle name="Total 4 2 3 3 2 4" xfId="36475"/>
    <cellStyle name="Total 4 2 3 3 3" xfId="20445"/>
    <cellStyle name="Total 4 2 3 3 3 2" xfId="45967"/>
    <cellStyle name="Total 4 2 3 3 3 3" xfId="49873"/>
    <cellStyle name="Total 4 2 3 3 3 4" xfId="37885"/>
    <cellStyle name="Total 4 2 3 3 4" xfId="20589"/>
    <cellStyle name="Total 4 2 3 3 4 2" xfId="46111"/>
    <cellStyle name="Total 4 2 3 3 4 3" xfId="50017"/>
    <cellStyle name="Total 4 2 3 3 4 4" xfId="38002"/>
    <cellStyle name="Total 4 2 3 3 5" xfId="21265"/>
    <cellStyle name="Total 4 2 3 3 5 2" xfId="46787"/>
    <cellStyle name="Total 4 2 3 3 5 3" xfId="50693"/>
    <cellStyle name="Total 4 2 3 3 5 4" xfId="38657"/>
    <cellStyle name="Total 4 2 3 3 6" xfId="21918"/>
    <cellStyle name="Total 4 2 3 3 6 2" xfId="47440"/>
    <cellStyle name="Total 4 2 3 3 6 3" xfId="51346"/>
    <cellStyle name="Total 4 2 3 3 7" xfId="41243"/>
    <cellStyle name="Total 4 2 3 3 8" xfId="39151"/>
    <cellStyle name="Total 4 2 3 4" xfId="15282"/>
    <cellStyle name="Total 4 2 3 4 2" xfId="43137"/>
    <cellStyle name="Total 4 2 3 4 3" xfId="43417"/>
    <cellStyle name="Total 4 2 3 4 4" xfId="32903"/>
    <cellStyle name="Total 4 2 3 5" xfId="13241"/>
    <cellStyle name="Total 4 2 3 5 2" xfId="42402"/>
    <cellStyle name="Total 4 2 3 5 3" xfId="40298"/>
    <cellStyle name="Total 4 2 3 5 4" xfId="30872"/>
    <cellStyle name="Total 4 2 3 6" xfId="11846"/>
    <cellStyle name="Total 4 2 3 6 2" xfId="41744"/>
    <cellStyle name="Total 4 2 3 6 3" xfId="39309"/>
    <cellStyle name="Total 4 2 3 6 4" xfId="29516"/>
    <cellStyle name="Total 4 2 3 7" xfId="11580"/>
    <cellStyle name="Total 4 2 3 7 2" xfId="41571"/>
    <cellStyle name="Total 4 2 3 7 3" xfId="39324"/>
    <cellStyle name="Total 4 2 3 7 4" xfId="29274"/>
    <cellStyle name="Total 4 2 3 8" xfId="19663"/>
    <cellStyle name="Total 4 2 3 8 2" xfId="45185"/>
    <cellStyle name="Total 4 2 3 8 3" xfId="49091"/>
    <cellStyle name="Total 4 2 3 9" xfId="39997"/>
    <cellStyle name="Total 4 2 4" xfId="12146"/>
    <cellStyle name="Total 4 2 4 2" xfId="41871"/>
    <cellStyle name="Total 4 2 4 3" xfId="41302"/>
    <cellStyle name="Total 4 2 4 4" xfId="29804"/>
    <cellStyle name="Total 4 2 5" xfId="11602"/>
    <cellStyle name="Total 4 2 5 2" xfId="41593"/>
    <cellStyle name="Total 4 2 5 3" xfId="39139"/>
    <cellStyle name="Total 4 2 5 4" xfId="29291"/>
    <cellStyle name="Total 4 2 6" xfId="53331"/>
    <cellStyle name="Total 4 3" xfId="3420"/>
    <cellStyle name="Total 4 3 2" xfId="5456"/>
    <cellStyle name="Total 4 3 3" xfId="7501"/>
    <cellStyle name="Total 4 3 3 10" xfId="43617"/>
    <cellStyle name="Total 4 3 3 2" xfId="10771"/>
    <cellStyle name="Total 4 3 3 2 2" xfId="18558"/>
    <cellStyle name="Total 4 3 3 2 2 2" xfId="44090"/>
    <cellStyle name="Total 4 3 3 2 2 3" xfId="47999"/>
    <cellStyle name="Total 4 3 3 2 2 4" xfId="36181"/>
    <cellStyle name="Total 4 3 3 2 3" xfId="19717"/>
    <cellStyle name="Total 4 3 3 2 3 2" xfId="45239"/>
    <cellStyle name="Total 4 3 3 2 3 3" xfId="49145"/>
    <cellStyle name="Total 4 3 3 2 3 4" xfId="37230"/>
    <cellStyle name="Total 4 3 3 2 4" xfId="20331"/>
    <cellStyle name="Total 4 3 3 2 4 2" xfId="45853"/>
    <cellStyle name="Total 4 3 3 2 4 3" xfId="49759"/>
    <cellStyle name="Total 4 3 3 2 4 4" xfId="37777"/>
    <cellStyle name="Total 4 3 3 2 5" xfId="20971"/>
    <cellStyle name="Total 4 3 3 2 5 2" xfId="46493"/>
    <cellStyle name="Total 4 3 3 2 5 3" xfId="50399"/>
    <cellStyle name="Total 4 3 3 2 5 4" xfId="38363"/>
    <cellStyle name="Total 4 3 3 2 6" xfId="21624"/>
    <cellStyle name="Total 4 3 3 2 6 2" xfId="47146"/>
    <cellStyle name="Total 4 3 3 2 6 3" xfId="51052"/>
    <cellStyle name="Total 4 3 3 2 7" xfId="40949"/>
    <cellStyle name="Total 4 3 3 2 8" xfId="43490"/>
    <cellStyle name="Total 4 3 3 3" xfId="11066"/>
    <cellStyle name="Total 4 3 3 3 2" xfId="18853"/>
    <cellStyle name="Total 4 3 3 3 2 2" xfId="44385"/>
    <cellStyle name="Total 4 3 3 3 2 3" xfId="48294"/>
    <cellStyle name="Total 4 3 3 3 2 4" xfId="36476"/>
    <cellStyle name="Total 4 3 3 3 3" xfId="20446"/>
    <cellStyle name="Total 4 3 3 3 3 2" xfId="45968"/>
    <cellStyle name="Total 4 3 3 3 3 3" xfId="49874"/>
    <cellStyle name="Total 4 3 3 3 3 4" xfId="37886"/>
    <cellStyle name="Total 4 3 3 3 4" xfId="20590"/>
    <cellStyle name="Total 4 3 3 3 4 2" xfId="46112"/>
    <cellStyle name="Total 4 3 3 3 4 3" xfId="50018"/>
    <cellStyle name="Total 4 3 3 3 4 4" xfId="38003"/>
    <cellStyle name="Total 4 3 3 3 5" xfId="21266"/>
    <cellStyle name="Total 4 3 3 3 5 2" xfId="46788"/>
    <cellStyle name="Total 4 3 3 3 5 3" xfId="50694"/>
    <cellStyle name="Total 4 3 3 3 5 4" xfId="38658"/>
    <cellStyle name="Total 4 3 3 3 6" xfId="21919"/>
    <cellStyle name="Total 4 3 3 3 6 2" xfId="47441"/>
    <cellStyle name="Total 4 3 3 3 6 3" xfId="51347"/>
    <cellStyle name="Total 4 3 3 3 7" xfId="41244"/>
    <cellStyle name="Total 4 3 3 3 8" xfId="41392"/>
    <cellStyle name="Total 4 3 3 4" xfId="15283"/>
    <cellStyle name="Total 4 3 3 4 2" xfId="43138"/>
    <cellStyle name="Total 4 3 3 4 3" xfId="40279"/>
    <cellStyle name="Total 4 3 3 4 4" xfId="32904"/>
    <cellStyle name="Total 4 3 3 5" xfId="12046"/>
    <cellStyle name="Total 4 3 3 5 2" xfId="41781"/>
    <cellStyle name="Total 4 3 3 5 3" xfId="40318"/>
    <cellStyle name="Total 4 3 3 5 4" xfId="29711"/>
    <cellStyle name="Total 4 3 3 6" xfId="19443"/>
    <cellStyle name="Total 4 3 3 6 2" xfId="44965"/>
    <cellStyle name="Total 4 3 3 6 3" xfId="48871"/>
    <cellStyle name="Total 4 3 3 6 4" xfId="36989"/>
    <cellStyle name="Total 4 3 3 7" xfId="19376"/>
    <cellStyle name="Total 4 3 3 7 2" xfId="44898"/>
    <cellStyle name="Total 4 3 3 7 3" xfId="48804"/>
    <cellStyle name="Total 4 3 3 7 4" xfId="36927"/>
    <cellStyle name="Total 4 3 3 8" xfId="20324"/>
    <cellStyle name="Total 4 3 3 8 2" xfId="45846"/>
    <cellStyle name="Total 4 3 3 8 3" xfId="49752"/>
    <cellStyle name="Total 4 3 3 9" xfId="39998"/>
    <cellStyle name="Total 4 3 4" xfId="12147"/>
    <cellStyle name="Total 4 3 4 2" xfId="41872"/>
    <cellStyle name="Total 4 3 4 3" xfId="43175"/>
    <cellStyle name="Total 4 3 4 4" xfId="29805"/>
    <cellStyle name="Total 4 3 5" xfId="12678"/>
    <cellStyle name="Total 4 3 5 2" xfId="42138"/>
    <cellStyle name="Total 4 3 5 3" xfId="42775"/>
    <cellStyle name="Total 4 3 5 4" xfId="30325"/>
    <cellStyle name="Total 4 3 6" xfId="53433"/>
    <cellStyle name="Total 4 4" xfId="5457"/>
    <cellStyle name="Total 4 4 2" xfId="6127"/>
    <cellStyle name="Total 4 4 2 2" xfId="10477"/>
    <cellStyle name="Total 4 4 2 2 2" xfId="18264"/>
    <cellStyle name="Total 4 4 2 2 2 2" xfId="43796"/>
    <cellStyle name="Total 4 4 2 2 2 3" xfId="47705"/>
    <cellStyle name="Total 4 4 2 2 2 4" xfId="35887"/>
    <cellStyle name="Total 4 4 2 2 3" xfId="19754"/>
    <cellStyle name="Total 4 4 2 2 3 2" xfId="45276"/>
    <cellStyle name="Total 4 4 2 2 3 3" xfId="49182"/>
    <cellStyle name="Total 4 4 2 2 3 4" xfId="37267"/>
    <cellStyle name="Total 4 4 2 2 4" xfId="12640"/>
    <cellStyle name="Total 4 4 2 2 4 2" xfId="42100"/>
    <cellStyle name="Total 4 4 2 2 4 3" xfId="43664"/>
    <cellStyle name="Total 4 4 2 2 4 4" xfId="30291"/>
    <cellStyle name="Total 4 4 2 2 5" xfId="20677"/>
    <cellStyle name="Total 4 4 2 2 5 2" xfId="46199"/>
    <cellStyle name="Total 4 4 2 2 5 3" xfId="50105"/>
    <cellStyle name="Total 4 4 2 2 5 4" xfId="38069"/>
    <cellStyle name="Total 4 4 2 2 6" xfId="21330"/>
    <cellStyle name="Total 4 4 2 2 6 2" xfId="46852"/>
    <cellStyle name="Total 4 4 2 2 6 3" xfId="50758"/>
    <cellStyle name="Total 4 4 2 2 7" xfId="40655"/>
    <cellStyle name="Total 4 4 2 2 8" xfId="42829"/>
    <cellStyle name="Total 4 4 2 3" xfId="9340"/>
    <cellStyle name="Total 4 4 2 3 2" xfId="17129"/>
    <cellStyle name="Total 4 4 2 3 2 2" xfId="43522"/>
    <cellStyle name="Total 4 4 2 3 2 3" xfId="47642"/>
    <cellStyle name="Total 4 4 2 3 2 4" xfId="34751"/>
    <cellStyle name="Total 4 4 2 3 3" xfId="19450"/>
    <cellStyle name="Total 4 4 2 3 3 2" xfId="44972"/>
    <cellStyle name="Total 4 4 2 3 3 3" xfId="48878"/>
    <cellStyle name="Total 4 4 2 3 3 4" xfId="36994"/>
    <cellStyle name="Total 4 4 2 3 4" xfId="12088"/>
    <cellStyle name="Total 4 4 2 3 4 2" xfId="41813"/>
    <cellStyle name="Total 4 4 2 3 4 3" xfId="39108"/>
    <cellStyle name="Total 4 4 2 3 4 4" xfId="29747"/>
    <cellStyle name="Total 4 4 2 3 5" xfId="20501"/>
    <cellStyle name="Total 4 4 2 3 5 2" xfId="46023"/>
    <cellStyle name="Total 4 4 2 3 5 3" xfId="49929"/>
    <cellStyle name="Total 4 4 2 3 5 4" xfId="37923"/>
    <cellStyle name="Total 4 4 2 3 6" xfId="11553"/>
    <cellStyle name="Total 4 4 2 3 6 2" xfId="41544"/>
    <cellStyle name="Total 4 4 2 3 6 3" xfId="42687"/>
    <cellStyle name="Total 4 4 2 3 7" xfId="40385"/>
    <cellStyle name="Total 4 4 2 3 8" xfId="39179"/>
    <cellStyle name="Total 4 4 2 4" xfId="13911"/>
    <cellStyle name="Total 4 4 2 4 2" xfId="42627"/>
    <cellStyle name="Total 4 4 2 4 3" xfId="43648"/>
    <cellStyle name="Total 4 4 2 4 4" xfId="31533"/>
    <cellStyle name="Total 4 4 2 5" xfId="11789"/>
    <cellStyle name="Total 4 4 2 5 2" xfId="41719"/>
    <cellStyle name="Total 4 4 2 5 3" xfId="39124"/>
    <cellStyle name="Total 4 4 2 5 4" xfId="29461"/>
    <cellStyle name="Total 4 4 3" xfId="7502"/>
    <cellStyle name="Total 4 4 3 10" xfId="40475"/>
    <cellStyle name="Total 4 4 3 2" xfId="10772"/>
    <cellStyle name="Total 4 4 3 2 2" xfId="18559"/>
    <cellStyle name="Total 4 4 3 2 2 2" xfId="44091"/>
    <cellStyle name="Total 4 4 3 2 2 3" xfId="48000"/>
    <cellStyle name="Total 4 4 3 2 2 4" xfId="36182"/>
    <cellStyle name="Total 4 4 3 2 3" xfId="11501"/>
    <cellStyle name="Total 4 4 3 2 3 2" xfId="41492"/>
    <cellStyle name="Total 4 4 3 2 3 3" xfId="39442"/>
    <cellStyle name="Total 4 4 3 2 3 4" xfId="29202"/>
    <cellStyle name="Total 4 4 3 2 4" xfId="20238"/>
    <cellStyle name="Total 4 4 3 2 4 2" xfId="45760"/>
    <cellStyle name="Total 4 4 3 2 4 3" xfId="49666"/>
    <cellStyle name="Total 4 4 3 2 4 4" xfId="37695"/>
    <cellStyle name="Total 4 4 3 2 5" xfId="20972"/>
    <cellStyle name="Total 4 4 3 2 5 2" xfId="46494"/>
    <cellStyle name="Total 4 4 3 2 5 3" xfId="50400"/>
    <cellStyle name="Total 4 4 3 2 5 4" xfId="38364"/>
    <cellStyle name="Total 4 4 3 2 6" xfId="21625"/>
    <cellStyle name="Total 4 4 3 2 6 2" xfId="47147"/>
    <cellStyle name="Total 4 4 3 2 6 3" xfId="51053"/>
    <cellStyle name="Total 4 4 3 2 7" xfId="40950"/>
    <cellStyle name="Total 4 4 3 2 8" xfId="40353"/>
    <cellStyle name="Total 4 4 3 3" xfId="11067"/>
    <cellStyle name="Total 4 4 3 3 2" xfId="18854"/>
    <cellStyle name="Total 4 4 3 3 2 2" xfId="44386"/>
    <cellStyle name="Total 4 4 3 3 2 3" xfId="48295"/>
    <cellStyle name="Total 4 4 3 3 2 4" xfId="36477"/>
    <cellStyle name="Total 4 4 3 3 3" xfId="20447"/>
    <cellStyle name="Total 4 4 3 3 3 2" xfId="45969"/>
    <cellStyle name="Total 4 4 3 3 3 3" xfId="49875"/>
    <cellStyle name="Total 4 4 3 3 3 4" xfId="37887"/>
    <cellStyle name="Total 4 4 3 3 4" xfId="20591"/>
    <cellStyle name="Total 4 4 3 3 4 2" xfId="46113"/>
    <cellStyle name="Total 4 4 3 3 4 3" xfId="50019"/>
    <cellStyle name="Total 4 4 3 3 4 4" xfId="38004"/>
    <cellStyle name="Total 4 4 3 3 5" xfId="21267"/>
    <cellStyle name="Total 4 4 3 3 5 2" xfId="46789"/>
    <cellStyle name="Total 4 4 3 3 5 3" xfId="50695"/>
    <cellStyle name="Total 4 4 3 3 5 4" xfId="38659"/>
    <cellStyle name="Total 4 4 3 3 6" xfId="21920"/>
    <cellStyle name="Total 4 4 3 3 6 2" xfId="47442"/>
    <cellStyle name="Total 4 4 3 3 6 3" xfId="51348"/>
    <cellStyle name="Total 4 4 3 3 7" xfId="41245"/>
    <cellStyle name="Total 4 4 3 3 8" xfId="43195"/>
    <cellStyle name="Total 4 4 3 4" xfId="15284"/>
    <cellStyle name="Total 4 4 3 4 2" xfId="43139"/>
    <cellStyle name="Total 4 4 3 4 3" xfId="39396"/>
    <cellStyle name="Total 4 4 3 4 4" xfId="32905"/>
    <cellStyle name="Total 4 4 3 5" xfId="11368"/>
    <cellStyle name="Total 4 4 3 5 2" xfId="41384"/>
    <cellStyle name="Total 4 4 3 5 3" xfId="43329"/>
    <cellStyle name="Total 4 4 3 5 4" xfId="29077"/>
    <cellStyle name="Total 4 4 3 6" xfId="18978"/>
    <cellStyle name="Total 4 4 3 6 2" xfId="44500"/>
    <cellStyle name="Total 4 4 3 6 3" xfId="48406"/>
    <cellStyle name="Total 4 4 3 6 4" xfId="36586"/>
    <cellStyle name="Total 4 4 3 7" xfId="12479"/>
    <cellStyle name="Total 4 4 3 7 2" xfId="41980"/>
    <cellStyle name="Total 4 4 3 7 3" xfId="41955"/>
    <cellStyle name="Total 4 4 3 7 4" xfId="30136"/>
    <cellStyle name="Total 4 4 3 8" xfId="19313"/>
    <cellStyle name="Total 4 4 3 8 2" xfId="44835"/>
    <cellStyle name="Total 4 4 3 8 3" xfId="48741"/>
    <cellStyle name="Total 4 4 3 9" xfId="39999"/>
    <cellStyle name="Total 4 5" xfId="5458"/>
    <cellStyle name="Total 4 6" xfId="5454"/>
    <cellStyle name="Total 4 7" xfId="7499"/>
    <cellStyle name="Total 4 7 10" xfId="39929"/>
    <cellStyle name="Total 4 7 2" xfId="10769"/>
    <cellStyle name="Total 4 7 2 2" xfId="18556"/>
    <cellStyle name="Total 4 7 2 2 2" xfId="44088"/>
    <cellStyle name="Total 4 7 2 2 3" xfId="47997"/>
    <cellStyle name="Total 4 7 2 2 4" xfId="36179"/>
    <cellStyle name="Total 4 7 2 3" xfId="19716"/>
    <cellStyle name="Total 4 7 2 3 2" xfId="45238"/>
    <cellStyle name="Total 4 7 2 3 3" xfId="49144"/>
    <cellStyle name="Total 4 7 2 3 4" xfId="37229"/>
    <cellStyle name="Total 4 7 2 4" xfId="20193"/>
    <cellStyle name="Total 4 7 2 4 2" xfId="45715"/>
    <cellStyle name="Total 4 7 2 4 3" xfId="49621"/>
    <cellStyle name="Total 4 7 2 4 4" xfId="37660"/>
    <cellStyle name="Total 4 7 2 5" xfId="20969"/>
    <cellStyle name="Total 4 7 2 5 2" xfId="46491"/>
    <cellStyle name="Total 4 7 2 5 3" xfId="50397"/>
    <cellStyle name="Total 4 7 2 5 4" xfId="38361"/>
    <cellStyle name="Total 4 7 2 6" xfId="21622"/>
    <cellStyle name="Total 4 7 2 6 2" xfId="47144"/>
    <cellStyle name="Total 4 7 2 6 3" xfId="51050"/>
    <cellStyle name="Total 4 7 2 7" xfId="40947"/>
    <cellStyle name="Total 4 7 2 8" xfId="39569"/>
    <cellStyle name="Total 4 7 3" xfId="11064"/>
    <cellStyle name="Total 4 7 3 2" xfId="18851"/>
    <cellStyle name="Total 4 7 3 2 2" xfId="44383"/>
    <cellStyle name="Total 4 7 3 2 3" xfId="48292"/>
    <cellStyle name="Total 4 7 3 2 4" xfId="36474"/>
    <cellStyle name="Total 4 7 3 3" xfId="20444"/>
    <cellStyle name="Total 4 7 3 3 2" xfId="45966"/>
    <cellStyle name="Total 4 7 3 3 3" xfId="49872"/>
    <cellStyle name="Total 4 7 3 3 4" xfId="37884"/>
    <cellStyle name="Total 4 7 3 4" xfId="20588"/>
    <cellStyle name="Total 4 7 3 4 2" xfId="46110"/>
    <cellStyle name="Total 4 7 3 4 3" xfId="50016"/>
    <cellStyle name="Total 4 7 3 4 4" xfId="38001"/>
    <cellStyle name="Total 4 7 3 5" xfId="21264"/>
    <cellStyle name="Total 4 7 3 5 2" xfId="46786"/>
    <cellStyle name="Total 4 7 3 5 3" xfId="50692"/>
    <cellStyle name="Total 4 7 3 5 4" xfId="38656"/>
    <cellStyle name="Total 4 7 3 6" xfId="21917"/>
    <cellStyle name="Total 4 7 3 6 2" xfId="47439"/>
    <cellStyle name="Total 4 7 3 6 3" xfId="51345"/>
    <cellStyle name="Total 4 7 3 7" xfId="41242"/>
    <cellStyle name="Total 4 7 3 8" xfId="39337"/>
    <cellStyle name="Total 4 7 4" xfId="15281"/>
    <cellStyle name="Total 4 7 4 2" xfId="43136"/>
    <cellStyle name="Total 4 7 4 3" xfId="42506"/>
    <cellStyle name="Total 4 7 4 4" xfId="32902"/>
    <cellStyle name="Total 4 7 5" xfId="13242"/>
    <cellStyle name="Total 4 7 5 2" xfId="42403"/>
    <cellStyle name="Total 4 7 5 3" xfId="39415"/>
    <cellStyle name="Total 4 7 5 4" xfId="30873"/>
    <cellStyle name="Total 4 7 6" xfId="20054"/>
    <cellStyle name="Total 4 7 6 2" xfId="45576"/>
    <cellStyle name="Total 4 7 6 3" xfId="49482"/>
    <cellStyle name="Total 4 7 6 4" xfId="37534"/>
    <cellStyle name="Total 4 7 7" xfId="20118"/>
    <cellStyle name="Total 4 7 7 2" xfId="45640"/>
    <cellStyle name="Total 4 7 7 3" xfId="49546"/>
    <cellStyle name="Total 4 7 7 4" xfId="37590"/>
    <cellStyle name="Total 4 7 8" xfId="19335"/>
    <cellStyle name="Total 4 7 8 2" xfId="44857"/>
    <cellStyle name="Total 4 7 8 3" xfId="48763"/>
    <cellStyle name="Total 4 7 9" xfId="39996"/>
    <cellStyle name="Total 4 8" xfId="12145"/>
    <cellStyle name="Total 4 8 2" xfId="41870"/>
    <cellStyle name="Total 4 8 3" xfId="39230"/>
    <cellStyle name="Total 4 8 4" xfId="29803"/>
    <cellStyle name="Total 4 9" xfId="18955"/>
    <cellStyle name="Total 4 9 2" xfId="44477"/>
    <cellStyle name="Total 4 9 3" xfId="48383"/>
    <cellStyle name="Total 4 9 4" xfId="36567"/>
    <cellStyle name="Total 5" xfId="3421"/>
    <cellStyle name="Total 5 2" xfId="5460"/>
    <cellStyle name="Total 5 2 2" xfId="53333"/>
    <cellStyle name="Total 5 3" xfId="5461"/>
    <cellStyle name="Total 5 3 2" xfId="53435"/>
    <cellStyle name="Total 5 4" xfId="5459"/>
    <cellStyle name="Total 5 5" xfId="22641"/>
    <cellStyle name="Total 5 5 2" xfId="47543"/>
    <cellStyle name="Total 5 5 3" xfId="51392"/>
    <cellStyle name="Total 5 6" xfId="53332"/>
    <cellStyle name="Total 6" xfId="5443"/>
    <cellStyle name="Total 6 2" xfId="22642"/>
    <cellStyle name="Total 6 2 2" xfId="47544"/>
    <cellStyle name="Total 6 2 2 2" xfId="53436"/>
    <cellStyle name="Total 6 2 3" xfId="51393"/>
    <cellStyle name="Total 6 2 4" xfId="53335"/>
    <cellStyle name="Total 6 3" xfId="53334"/>
    <cellStyle name="Total 7" xfId="22643"/>
    <cellStyle name="Total 7 2" xfId="47545"/>
    <cellStyle name="Total 7 2 2" xfId="53437"/>
    <cellStyle name="Total 7 3" xfId="51394"/>
    <cellStyle name="Total 8" xfId="22644"/>
    <cellStyle name="Total 8 2" xfId="22645"/>
    <cellStyle name="Total 8 2 2" xfId="47547"/>
    <cellStyle name="Total 8 2 2 2" xfId="53438"/>
    <cellStyle name="Total 8 2 3" xfId="51396"/>
    <cellStyle name="Total 8 3" xfId="47546"/>
    <cellStyle name="Total 8 3 2" xfId="53439"/>
    <cellStyle name="Total 8 4" xfId="51395"/>
    <cellStyle name="Total 9" xfId="22646"/>
    <cellStyle name="Total 9 2" xfId="47548"/>
    <cellStyle name="Total 9 2 2" xfId="53440"/>
    <cellStyle name="Total 9 3" xfId="51397"/>
    <cellStyle name="Warning Text" xfId="159" builtinId="11" customBuiltin="1"/>
    <cellStyle name="Warning Text 2" xfId="145"/>
    <cellStyle name="Warning Text 2 10" xfId="3423"/>
    <cellStyle name="Warning Text 2 10 2" xfId="5464"/>
    <cellStyle name="Warning Text 2 11" xfId="3424"/>
    <cellStyle name="Warning Text 2 11 2" xfId="5465"/>
    <cellStyle name="Warning Text 2 12" xfId="3425"/>
    <cellStyle name="Warning Text 2 12 2" xfId="5466"/>
    <cellStyle name="Warning Text 2 13" xfId="3426"/>
    <cellStyle name="Warning Text 2 13 2" xfId="5467"/>
    <cellStyle name="Warning Text 2 14" xfId="3427"/>
    <cellStyle name="Warning Text 2 14 2" xfId="5468"/>
    <cellStyle name="Warning Text 2 15" xfId="5469"/>
    <cellStyle name="Warning Text 2 15 2" xfId="6128"/>
    <cellStyle name="Warning Text 2 16" xfId="5470"/>
    <cellStyle name="Warning Text 2 16 2" xfId="6129"/>
    <cellStyle name="Warning Text 2 17" xfId="5471"/>
    <cellStyle name="Warning Text 2 18" xfId="5463"/>
    <cellStyle name="Warning Text 2 19" xfId="3422"/>
    <cellStyle name="Warning Text 2 2" xfId="3428"/>
    <cellStyle name="Warning Text 2 2 2" xfId="3429"/>
    <cellStyle name="Warning Text 2 2 2 2" xfId="5473"/>
    <cellStyle name="Warning Text 2 2 3" xfId="3430"/>
    <cellStyle name="Warning Text 2 2 3 2" xfId="5474"/>
    <cellStyle name="Warning Text 2 2 4" xfId="5475"/>
    <cellStyle name="Warning Text 2 2 4 2" xfId="6130"/>
    <cellStyle name="Warning Text 2 2 5" xfId="5476"/>
    <cellStyle name="Warning Text 2 2 6" xfId="5472"/>
    <cellStyle name="Warning Text 2 2_Sheet1" xfId="3431"/>
    <cellStyle name="Warning Text 2 3" xfId="3432"/>
    <cellStyle name="Warning Text 2 3 2" xfId="5477"/>
    <cellStyle name="Warning Text 2 4" xfId="3433"/>
    <cellStyle name="Warning Text 2 4 2" xfId="5478"/>
    <cellStyle name="Warning Text 2 5" xfId="3434"/>
    <cellStyle name="Warning Text 2 5 2" xfId="5479"/>
    <cellStyle name="Warning Text 2 6" xfId="3435"/>
    <cellStyle name="Warning Text 2 6 2" xfId="5480"/>
    <cellStyle name="Warning Text 2 7" xfId="3436"/>
    <cellStyle name="Warning Text 2 7 2" xfId="5481"/>
    <cellStyle name="Warning Text 2 8" xfId="3437"/>
    <cellStyle name="Warning Text 2 8 2" xfId="5482"/>
    <cellStyle name="Warning Text 2 9" xfId="3438"/>
    <cellStyle name="Warning Text 2 9 2" xfId="5483"/>
    <cellStyle name="Warning Text 2_BallGrid" xfId="3439"/>
    <cellStyle name="Warning Text 3" xfId="146"/>
    <cellStyle name="Warning Text 3 2" xfId="3440"/>
    <cellStyle name="Warning Text 3 2 2" xfId="5485"/>
    <cellStyle name="Warning Text 3 3" xfId="3441"/>
    <cellStyle name="Warning Text 3 3 2" xfId="5486"/>
    <cellStyle name="Warning Text 3 4" xfId="5487"/>
    <cellStyle name="Warning Text 3 4 2" xfId="6131"/>
    <cellStyle name="Warning Text 3 5" xfId="5484"/>
    <cellStyle name="Warning Text 4" xfId="147"/>
    <cellStyle name="Warning Text 4 2" xfId="3442"/>
    <cellStyle name="Warning Text 4 2 2" xfId="5490"/>
    <cellStyle name="Warning Text 4 2 3" xfId="5491"/>
    <cellStyle name="Warning Text 4 2 4" xfId="5489"/>
    <cellStyle name="Warning Text 4 3" xfId="3443"/>
    <cellStyle name="Warning Text 4 3 2" xfId="5493"/>
    <cellStyle name="Warning Text 4 3 3" xfId="5494"/>
    <cellStyle name="Warning Text 4 3 4" xfId="5492"/>
    <cellStyle name="Warning Text 4 4" xfId="5495"/>
    <cellStyle name="Warning Text 4 4 2" xfId="5496"/>
    <cellStyle name="Warning Text 4 4 3" xfId="6132"/>
    <cellStyle name="Warning Text 4 5" xfId="5497"/>
    <cellStyle name="Warning Text 4 6" xfId="5498"/>
    <cellStyle name="Warning Text 4 7" xfId="5499"/>
    <cellStyle name="Warning Text 4 8" xfId="5488"/>
    <cellStyle name="Warning Text 5" xfId="3444"/>
    <cellStyle name="Warning Text 5 2" xfId="5501"/>
    <cellStyle name="Warning Text 5 3" xfId="5502"/>
    <cellStyle name="Warning Text 5 4" xfId="5503"/>
    <cellStyle name="Warning Text 5 5" xfId="5504"/>
    <cellStyle name="Warning Text 5 6" xfId="5500"/>
    <cellStyle name="Warning Text 5 7" xfId="22649"/>
    <cellStyle name="Warning Text 6" xfId="5462"/>
    <cellStyle name="Warning Text 6 2" xfId="22650"/>
    <cellStyle name="Warning Text 7" xfId="22651"/>
    <cellStyle name="Warning Text 8" xfId="22652"/>
    <cellStyle name="Warning Text 9" xfId="22647"/>
    <cellStyle name="一般_MCP73_79_ballout_31x31_0922" xfId="3445"/>
    <cellStyle name="標準_NOR+SDRAM-PoP_Pin要求仕様_20070117" xfId="21993"/>
  </cellStyles>
  <dxfs count="1484">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FFC7CE"/>
      <color rgb="FFFFCC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 textlink="">
          <xdr:nvSpPr>
            <xdr:cNvPr id="279553" name="Button 1" descr="Generate C Code" hidden="1">
              <a:extLst>
                <a:ext uri="{63B3BB69-23CF-44E3-9099-C40C66FF867C}">
                  <a14:compatExt spid="_x0000_s279553"/>
                </a:ext>
                <a:ext uri="{FF2B5EF4-FFF2-40B4-BE49-F238E27FC236}">
                  <a16:creationId xmlns:a16="http://schemas.microsoft.com/office/drawing/2014/main" id="{00000000-0008-0000-01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9:I104"/>
  <sheetViews>
    <sheetView tabSelected="1" topLeftCell="A11" workbookViewId="0">
      <selection activeCell="D23" sqref="D23"/>
    </sheetView>
  </sheetViews>
  <sheetFormatPr defaultColWidth="17.85546875" defaultRowHeight="15"/>
  <cols>
    <col min="1" max="1" width="17.85546875" customWidth="1"/>
    <col min="2" max="2" width="19.85546875" style="162" customWidth="1"/>
    <col min="3" max="3" width="51" style="155" customWidth="1"/>
    <col min="4" max="4" width="33.28515625" style="155" customWidth="1"/>
    <col min="5" max="6" width="17.85546875" style="155"/>
    <col min="7" max="7" width="24.5703125" style="155" customWidth="1"/>
  </cols>
  <sheetData>
    <row r="9" spans="2:7" ht="31.5">
      <c r="B9" s="298" t="s">
        <v>3785</v>
      </c>
      <c r="C9" s="304">
        <f>MAX(C12:C104)</f>
        <v>1.05</v>
      </c>
    </row>
    <row r="10" spans="2:7" ht="15.75">
      <c r="B10" s="153" t="s">
        <v>292</v>
      </c>
      <c r="C10" s="154"/>
      <c r="D10" s="154"/>
    </row>
    <row r="11" spans="2:7">
      <c r="B11" s="156" t="s">
        <v>293</v>
      </c>
      <c r="C11" s="157" t="s">
        <v>61</v>
      </c>
      <c r="D11" s="158" t="s">
        <v>62</v>
      </c>
    </row>
    <row r="12" spans="2:7" ht="30" customHeight="1">
      <c r="B12" s="159">
        <v>42856</v>
      </c>
      <c r="C12" s="299">
        <v>1</v>
      </c>
      <c r="D12" s="353" t="s">
        <v>3791</v>
      </c>
      <c r="E12" s="353"/>
      <c r="F12" s="353"/>
      <c r="G12" s="353"/>
    </row>
    <row r="13" spans="2:7" ht="39" customHeight="1">
      <c r="B13" s="160">
        <v>42927</v>
      </c>
      <c r="C13" s="300">
        <v>1.01</v>
      </c>
      <c r="D13" s="354" t="s">
        <v>3787</v>
      </c>
      <c r="E13" s="354"/>
      <c r="F13" s="354"/>
      <c r="G13" s="354"/>
    </row>
    <row r="14" spans="2:7" ht="33" customHeight="1">
      <c r="B14" s="160"/>
      <c r="C14" s="300"/>
      <c r="D14" s="354" t="s">
        <v>3781</v>
      </c>
      <c r="E14" s="355"/>
      <c r="F14" s="355"/>
      <c r="G14" s="355"/>
    </row>
    <row r="15" spans="2:7" ht="32.25" customHeight="1">
      <c r="B15" s="160"/>
      <c r="C15" s="300"/>
      <c r="D15" s="354" t="s">
        <v>3786</v>
      </c>
      <c r="E15" s="356"/>
      <c r="F15" s="356"/>
      <c r="G15" s="356"/>
    </row>
    <row r="16" spans="2:7" ht="33.75" customHeight="1">
      <c r="B16" s="160"/>
      <c r="C16" s="300"/>
      <c r="D16" s="354" t="s">
        <v>3815</v>
      </c>
      <c r="E16" s="357"/>
      <c r="F16" s="357"/>
      <c r="G16" s="357"/>
    </row>
    <row r="17" spans="2:9">
      <c r="B17" s="161">
        <v>43007</v>
      </c>
      <c r="C17" s="301">
        <v>1.02</v>
      </c>
      <c r="D17" s="155" t="s">
        <v>3816</v>
      </c>
    </row>
    <row r="18" spans="2:9" ht="15" customHeight="1">
      <c r="C18" s="302"/>
      <c r="D18" s="310" t="s">
        <v>3793</v>
      </c>
    </row>
    <row r="19" spans="2:9">
      <c r="B19" s="161">
        <v>43026</v>
      </c>
      <c r="C19" s="304">
        <v>1.03</v>
      </c>
      <c r="D19" s="310" t="s">
        <v>3817</v>
      </c>
    </row>
    <row r="20" spans="2:9">
      <c r="C20" s="302"/>
      <c r="D20" s="155" t="s">
        <v>3818</v>
      </c>
    </row>
    <row r="21" spans="2:9">
      <c r="C21" s="302"/>
      <c r="D21" s="155" t="s">
        <v>3819</v>
      </c>
    </row>
    <row r="22" spans="2:9">
      <c r="B22" s="161">
        <v>43069</v>
      </c>
      <c r="C22" s="304">
        <v>1.04</v>
      </c>
      <c r="D22" s="155" t="s">
        <v>3981</v>
      </c>
    </row>
    <row r="23" spans="2:9">
      <c r="B23" s="161">
        <v>43130</v>
      </c>
      <c r="C23" s="304">
        <v>1.05</v>
      </c>
      <c r="D23" s="155" t="s">
        <v>3982</v>
      </c>
    </row>
    <row r="24" spans="2:9">
      <c r="C24" s="302"/>
    </row>
    <row r="25" spans="2:9" ht="23.25">
      <c r="B25"/>
      <c r="C25" s="303"/>
      <c r="D25" s="359" t="s">
        <v>45</v>
      </c>
      <c r="E25" s="359"/>
      <c r="F25" s="359"/>
      <c r="G25" s="359"/>
      <c r="H25" s="155"/>
      <c r="I25" s="155"/>
    </row>
    <row r="26" spans="2:9">
      <c r="B26"/>
      <c r="C26" s="302"/>
      <c r="D26" s="162"/>
      <c r="H26" s="155"/>
      <c r="I26" s="155"/>
    </row>
    <row r="27" spans="2:9" ht="61.5" customHeight="1">
      <c r="B27"/>
      <c r="C27" s="302"/>
      <c r="D27" s="358" t="s">
        <v>3780</v>
      </c>
      <c r="E27" s="358"/>
      <c r="F27" s="358"/>
      <c r="H27" s="155"/>
      <c r="I27" s="155"/>
    </row>
    <row r="28" spans="2:9" ht="35.25" customHeight="1">
      <c r="B28"/>
      <c r="C28" s="302"/>
      <c r="D28" s="358" t="s">
        <v>47</v>
      </c>
      <c r="E28" s="358"/>
      <c r="F28" s="358"/>
      <c r="H28" s="155"/>
      <c r="I28" s="155"/>
    </row>
    <row r="29" spans="2:9" ht="55.5" customHeight="1">
      <c r="B29"/>
      <c r="C29" s="302"/>
      <c r="D29" s="358" t="s">
        <v>46</v>
      </c>
      <c r="E29" s="358"/>
      <c r="F29" s="358"/>
      <c r="H29" s="155"/>
      <c r="I29" s="155"/>
    </row>
    <row r="30" spans="2:9">
      <c r="B30"/>
      <c r="C30" s="302"/>
      <c r="D30" s="155" t="s">
        <v>42</v>
      </c>
      <c r="H30" s="155"/>
    </row>
    <row r="31" spans="2:9">
      <c r="B31"/>
      <c r="C31" s="302"/>
      <c r="D31" s="155" t="s">
        <v>43</v>
      </c>
      <c r="H31" s="155"/>
    </row>
    <row r="32" spans="2:9">
      <c r="B32"/>
      <c r="C32" s="302"/>
      <c r="D32" s="155" t="s">
        <v>44</v>
      </c>
      <c r="H32" s="155"/>
    </row>
    <row r="33" spans="2:9" ht="45.75" customHeight="1">
      <c r="B33"/>
      <c r="C33" s="302"/>
      <c r="D33" s="358"/>
      <c r="E33" s="358"/>
      <c r="F33" s="358"/>
      <c r="H33" s="155"/>
      <c r="I33" s="155"/>
    </row>
    <row r="34" spans="2:9" ht="75" customHeight="1">
      <c r="B34"/>
      <c r="C34" s="302"/>
      <c r="D34" s="358"/>
      <c r="E34" s="358"/>
      <c r="F34" s="358"/>
      <c r="H34" s="155"/>
      <c r="I34" s="155"/>
    </row>
    <row r="35" spans="2:9" ht="15.75">
      <c r="B35"/>
      <c r="C35" s="302"/>
      <c r="D35" s="163" t="s">
        <v>294</v>
      </c>
      <c r="E35" s="154"/>
      <c r="F35" s="154"/>
      <c r="H35" s="155"/>
      <c r="I35" s="155"/>
    </row>
    <row r="36" spans="2:9" ht="190.5" customHeight="1">
      <c r="B36"/>
      <c r="C36" s="302"/>
      <c r="D36" s="352" t="s">
        <v>295</v>
      </c>
      <c r="E36" s="352"/>
      <c r="F36" s="352"/>
      <c r="H36" s="155"/>
      <c r="I36" s="155"/>
    </row>
    <row r="37" spans="2:9">
      <c r="C37" s="302"/>
    </row>
    <row r="38" spans="2:9">
      <c r="C38" s="302"/>
    </row>
    <row r="39" spans="2:9">
      <c r="C39" s="302"/>
    </row>
    <row r="40" spans="2:9">
      <c r="C40" s="302"/>
    </row>
    <row r="41" spans="2:9">
      <c r="C41" s="302"/>
    </row>
    <row r="42" spans="2:9">
      <c r="C42" s="302"/>
    </row>
    <row r="43" spans="2:9">
      <c r="C43" s="302"/>
    </row>
    <row r="44" spans="2:9">
      <c r="C44" s="302"/>
    </row>
    <row r="45" spans="2:9">
      <c r="C45" s="302"/>
    </row>
    <row r="46" spans="2:9">
      <c r="C46" s="302"/>
    </row>
    <row r="47" spans="2:9">
      <c r="C47" s="302"/>
    </row>
    <row r="48" spans="2:9">
      <c r="C48" s="302"/>
    </row>
    <row r="49" spans="3:3">
      <c r="C49" s="302"/>
    </row>
    <row r="50" spans="3:3">
      <c r="C50" s="302"/>
    </row>
    <row r="51" spans="3:3">
      <c r="C51" s="302"/>
    </row>
    <row r="52" spans="3:3">
      <c r="C52" s="302"/>
    </row>
    <row r="53" spans="3:3">
      <c r="C53" s="302"/>
    </row>
    <row r="54" spans="3:3">
      <c r="C54" s="302"/>
    </row>
    <row r="55" spans="3:3">
      <c r="C55" s="302"/>
    </row>
    <row r="56" spans="3:3">
      <c r="C56" s="302"/>
    </row>
    <row r="57" spans="3:3">
      <c r="C57" s="302"/>
    </row>
    <row r="58" spans="3:3">
      <c r="C58" s="302"/>
    </row>
    <row r="59" spans="3:3">
      <c r="C59" s="302"/>
    </row>
    <row r="60" spans="3:3">
      <c r="C60" s="302"/>
    </row>
    <row r="61" spans="3:3">
      <c r="C61" s="302"/>
    </row>
    <row r="62" spans="3:3">
      <c r="C62" s="302"/>
    </row>
    <row r="63" spans="3:3">
      <c r="C63" s="302"/>
    </row>
    <row r="64" spans="3:3">
      <c r="C64" s="302"/>
    </row>
    <row r="65" spans="3:3">
      <c r="C65" s="302"/>
    </row>
    <row r="66" spans="3:3">
      <c r="C66" s="302"/>
    </row>
    <row r="67" spans="3:3">
      <c r="C67" s="302"/>
    </row>
    <row r="68" spans="3:3">
      <c r="C68" s="302"/>
    </row>
    <row r="69" spans="3:3">
      <c r="C69" s="302"/>
    </row>
    <row r="70" spans="3:3">
      <c r="C70" s="302"/>
    </row>
    <row r="71" spans="3:3">
      <c r="C71" s="302"/>
    </row>
    <row r="72" spans="3:3">
      <c r="C72" s="302"/>
    </row>
    <row r="73" spans="3:3">
      <c r="C73" s="302"/>
    </row>
    <row r="74" spans="3:3">
      <c r="C74" s="302"/>
    </row>
    <row r="75" spans="3:3">
      <c r="C75" s="302"/>
    </row>
    <row r="76" spans="3:3">
      <c r="C76" s="302"/>
    </row>
    <row r="77" spans="3:3">
      <c r="C77" s="302"/>
    </row>
    <row r="78" spans="3:3">
      <c r="C78" s="302"/>
    </row>
    <row r="79" spans="3:3">
      <c r="C79" s="302"/>
    </row>
    <row r="80" spans="3:3">
      <c r="C80" s="302"/>
    </row>
    <row r="81" spans="3:3">
      <c r="C81" s="302"/>
    </row>
    <row r="82" spans="3:3">
      <c r="C82" s="302"/>
    </row>
    <row r="83" spans="3:3">
      <c r="C83" s="302"/>
    </row>
    <row r="84" spans="3:3">
      <c r="C84" s="302"/>
    </row>
    <row r="85" spans="3:3">
      <c r="C85" s="302"/>
    </row>
    <row r="86" spans="3:3">
      <c r="C86" s="302"/>
    </row>
    <row r="87" spans="3:3">
      <c r="C87" s="302"/>
    </row>
    <row r="88" spans="3:3">
      <c r="C88" s="302"/>
    </row>
    <row r="89" spans="3:3">
      <c r="C89" s="302"/>
    </row>
    <row r="90" spans="3:3">
      <c r="C90" s="302"/>
    </row>
    <row r="91" spans="3:3">
      <c r="C91" s="302"/>
    </row>
    <row r="92" spans="3:3">
      <c r="C92" s="302"/>
    </row>
    <row r="93" spans="3:3">
      <c r="C93" s="302"/>
    </row>
    <row r="94" spans="3:3">
      <c r="C94" s="302"/>
    </row>
    <row r="95" spans="3:3">
      <c r="C95" s="302"/>
    </row>
    <row r="96" spans="3:3">
      <c r="C96" s="302"/>
    </row>
    <row r="97" spans="3:3">
      <c r="C97" s="302"/>
    </row>
    <row r="98" spans="3:3">
      <c r="C98" s="302"/>
    </row>
    <row r="99" spans="3:3">
      <c r="C99" s="302"/>
    </row>
    <row r="100" spans="3:3">
      <c r="C100" s="302"/>
    </row>
    <row r="101" spans="3:3">
      <c r="C101" s="302"/>
    </row>
    <row r="102" spans="3:3">
      <c r="C102" s="302"/>
    </row>
    <row r="103" spans="3:3">
      <c r="C103" s="302"/>
    </row>
    <row r="104" spans="3:3">
      <c r="C104" s="302"/>
    </row>
  </sheetData>
  <mergeCells count="12">
    <mergeCell ref="D36:F36"/>
    <mergeCell ref="D12:G12"/>
    <mergeCell ref="D13:G13"/>
    <mergeCell ref="D14:G14"/>
    <mergeCell ref="D15:G15"/>
    <mergeCell ref="D16:G16"/>
    <mergeCell ref="D27:F27"/>
    <mergeCell ref="D28:F28"/>
    <mergeCell ref="D29:F29"/>
    <mergeCell ref="D33:F33"/>
    <mergeCell ref="D34:F34"/>
    <mergeCell ref="D25:G2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CE803"/>
  <sheetViews>
    <sheetView topLeftCell="A11" zoomScale="80" zoomScaleNormal="80" workbookViewId="0">
      <selection activeCell="BB34" sqref="BB34"/>
    </sheetView>
  </sheetViews>
  <sheetFormatPr defaultColWidth="9.140625" defaultRowHeight="11.25"/>
  <cols>
    <col min="1" max="1" width="28.28515625" style="21" customWidth="1"/>
    <col min="2" max="2" width="10.28515625" style="21" customWidth="1"/>
    <col min="3" max="3" width="17" style="21" bestFit="1" customWidth="1"/>
    <col min="4" max="5" width="6.7109375" style="21" hidden="1" customWidth="1"/>
    <col min="6" max="6" width="24" style="21" hidden="1" customWidth="1"/>
    <col min="7" max="7" width="12.7109375" style="125" hidden="1" customWidth="1"/>
    <col min="8" max="8" width="18.28515625" style="125" hidden="1" customWidth="1"/>
    <col min="9" max="9" width="15.5703125" style="125" hidden="1" customWidth="1"/>
    <col min="10" max="10" width="15.42578125" style="125" hidden="1" customWidth="1"/>
    <col min="11" max="11" width="15" style="125" hidden="1" customWidth="1"/>
    <col min="12" max="12" width="4.85546875" style="21" hidden="1" customWidth="1"/>
    <col min="13" max="14" width="5.140625" style="21" hidden="1" customWidth="1"/>
    <col min="15" max="15" width="5.28515625" style="21" hidden="1" customWidth="1"/>
    <col min="16" max="16" width="4.85546875" style="21" hidden="1" customWidth="1"/>
    <col min="17" max="22" width="17.7109375" style="21" hidden="1" customWidth="1"/>
    <col min="23" max="23" width="16" style="21" customWidth="1"/>
    <col min="24" max="24" width="6.28515625" style="137" customWidth="1"/>
    <col min="25" max="25" width="6.28515625" style="137" hidden="1" customWidth="1"/>
    <col min="26" max="26" width="12.140625" style="124" customWidth="1"/>
    <col min="27" max="27" width="32" style="124" hidden="1" customWidth="1"/>
    <col min="28" max="28" width="10.85546875" style="124" customWidth="1"/>
    <col min="29" max="29" width="7.28515625" style="124" customWidth="1"/>
    <col min="30" max="30" width="12" style="124" hidden="1" customWidth="1"/>
    <col min="31" max="31" width="8.85546875" style="124" hidden="1" customWidth="1"/>
    <col min="32" max="32" width="10.5703125" style="124" hidden="1" customWidth="1"/>
    <col min="33" max="33" width="10.28515625" style="124" hidden="1" customWidth="1"/>
    <col min="34" max="34" width="9.85546875" style="124" hidden="1" customWidth="1"/>
    <col min="35" max="35" width="7.85546875" style="124" hidden="1" customWidth="1"/>
    <col min="36" max="42" width="12.28515625" style="124" hidden="1" customWidth="1"/>
    <col min="43" max="43" width="26.42578125" style="21" customWidth="1"/>
    <col min="44" max="44" width="11.42578125" style="21" customWidth="1"/>
    <col min="45" max="45" width="8.42578125" style="165" customWidth="1"/>
    <col min="46" max="46" width="7.28515625" style="165" customWidth="1"/>
    <col min="47" max="47" width="8.42578125" style="165" hidden="1" customWidth="1"/>
    <col min="48" max="48" width="10.140625" style="165" customWidth="1"/>
    <col min="49" max="49" width="9.140625" style="165" customWidth="1"/>
    <col min="50" max="50" width="9.85546875" style="297" customWidth="1"/>
    <col min="51" max="53" width="8.42578125" style="165" customWidth="1"/>
    <col min="54" max="54" width="10.140625" style="141" customWidth="1"/>
    <col min="55" max="55" width="34.140625" style="165" customWidth="1"/>
    <col min="56" max="56" width="25" style="137" hidden="1" customWidth="1"/>
    <col min="57" max="16384" width="9.140625" style="21"/>
  </cols>
  <sheetData>
    <row r="1" spans="1:83" s="25" customFormat="1" ht="18.75" customHeight="1">
      <c r="C1" s="24"/>
      <c r="D1" s="373"/>
      <c r="E1" s="373"/>
      <c r="F1" s="373"/>
      <c r="G1" s="373"/>
      <c r="H1" s="373"/>
      <c r="I1" s="373"/>
      <c r="J1" s="373"/>
      <c r="K1" s="373"/>
      <c r="L1" s="202"/>
      <c r="M1" s="202"/>
      <c r="N1" s="202"/>
      <c r="O1" s="202"/>
      <c r="P1" s="202"/>
      <c r="Q1" s="202"/>
      <c r="R1" s="202"/>
      <c r="S1" s="202"/>
      <c r="T1" s="202"/>
      <c r="U1" s="202"/>
      <c r="V1" s="202"/>
      <c r="X1" s="128"/>
      <c r="Y1" s="128"/>
      <c r="Z1" s="27"/>
      <c r="AA1" s="27"/>
      <c r="AB1" s="27"/>
      <c r="AC1" s="27"/>
      <c r="AD1" s="27"/>
      <c r="AE1" s="27"/>
      <c r="AF1" s="27"/>
      <c r="AG1" s="27"/>
      <c r="AH1" s="27"/>
      <c r="AI1" s="27"/>
      <c r="AJ1" s="27"/>
      <c r="AK1" s="27"/>
      <c r="AL1" s="27"/>
      <c r="AM1" s="27"/>
      <c r="AN1" s="27"/>
      <c r="AO1" s="27"/>
      <c r="AP1" s="27"/>
      <c r="AS1" s="26" t="s">
        <v>362</v>
      </c>
      <c r="AT1" s="26"/>
      <c r="AU1" s="26"/>
      <c r="AV1" s="26"/>
      <c r="AW1" s="26"/>
      <c r="AX1" s="280"/>
      <c r="AY1" s="26"/>
      <c r="AZ1" s="26"/>
      <c r="BA1" s="26"/>
      <c r="BB1" s="17"/>
      <c r="BC1" s="26"/>
      <c r="BD1" s="147" t="s">
        <v>68</v>
      </c>
    </row>
    <row r="2" spans="1:83" s="25" customFormat="1" ht="15" customHeight="1">
      <c r="C2" s="24"/>
      <c r="D2" s="373" t="s">
        <v>363</v>
      </c>
      <c r="E2" s="373"/>
      <c r="F2" s="373"/>
      <c r="G2" s="373"/>
      <c r="H2" s="373"/>
      <c r="I2" s="373"/>
      <c r="J2" s="373"/>
      <c r="K2" s="373"/>
      <c r="L2" s="373"/>
      <c r="M2" s="202"/>
      <c r="N2" s="202"/>
      <c r="O2" s="202"/>
      <c r="P2" s="202"/>
      <c r="Q2" s="202"/>
      <c r="R2" s="202"/>
      <c r="S2" s="202"/>
      <c r="T2" s="202"/>
      <c r="U2" s="202"/>
      <c r="V2" s="202"/>
      <c r="X2" s="128"/>
      <c r="Y2" s="128"/>
      <c r="Z2" s="27"/>
      <c r="AA2" s="27"/>
      <c r="AB2" s="27"/>
      <c r="AC2" s="27"/>
      <c r="AD2" s="27"/>
      <c r="AE2" s="27"/>
      <c r="AF2" s="27"/>
      <c r="AG2" s="27"/>
      <c r="AH2" s="27"/>
      <c r="AI2" s="27"/>
      <c r="AJ2" s="27"/>
      <c r="AK2" s="27"/>
      <c r="AL2" s="27"/>
      <c r="AM2" s="27"/>
      <c r="AN2" s="27"/>
      <c r="AO2" s="27"/>
      <c r="AP2" s="27"/>
      <c r="AS2" s="166" t="s">
        <v>364</v>
      </c>
      <c r="AT2" s="26"/>
      <c r="AU2" s="26"/>
      <c r="AV2" s="26"/>
      <c r="AW2" s="26"/>
      <c r="AX2" s="280"/>
      <c r="AY2" s="26"/>
      <c r="AZ2" s="26"/>
      <c r="BA2" s="26"/>
      <c r="BB2" s="17"/>
      <c r="BC2" s="26"/>
      <c r="BD2" s="148" t="s">
        <v>69</v>
      </c>
    </row>
    <row r="3" spans="1:83" s="25" customFormat="1" ht="15" customHeight="1">
      <c r="A3" s="25" t="s">
        <v>3784</v>
      </c>
      <c r="B3" s="305">
        <f>'Customer-Readme'!C9</f>
        <v>1.05</v>
      </c>
      <c r="C3" s="24" t="s">
        <v>1429</v>
      </c>
      <c r="D3" s="373"/>
      <c r="E3" s="373"/>
      <c r="F3" s="373"/>
      <c r="G3" s="373"/>
      <c r="H3" s="373"/>
      <c r="I3" s="373"/>
      <c r="J3" s="373"/>
      <c r="K3" s="373"/>
      <c r="L3" s="202"/>
      <c r="M3" s="202"/>
      <c r="N3" s="202"/>
      <c r="O3" s="202"/>
      <c r="P3" s="202"/>
      <c r="Q3" s="202"/>
      <c r="R3" s="202"/>
      <c r="S3" s="202"/>
      <c r="T3" s="202"/>
      <c r="U3" s="202"/>
      <c r="V3" s="202"/>
      <c r="X3" s="128"/>
      <c r="Y3" s="128"/>
      <c r="Z3" s="27"/>
      <c r="AA3" s="27"/>
      <c r="AB3" s="27"/>
      <c r="AC3" s="27"/>
      <c r="AD3" s="27"/>
      <c r="AE3" s="27"/>
      <c r="AF3" s="27"/>
      <c r="AG3" s="27"/>
      <c r="AH3" s="27"/>
      <c r="AI3" s="27"/>
      <c r="AJ3" s="27"/>
      <c r="AK3" s="27"/>
      <c r="AL3" s="27"/>
      <c r="AM3" s="27"/>
      <c r="AN3" s="27"/>
      <c r="AO3" s="27"/>
      <c r="AP3" s="27"/>
      <c r="AS3" s="167" t="s">
        <v>365</v>
      </c>
      <c r="AT3" s="26"/>
      <c r="AU3" s="26"/>
      <c r="AV3" s="26"/>
      <c r="AW3" s="26"/>
      <c r="AX3" s="280"/>
      <c r="AY3" s="26"/>
      <c r="AZ3" s="26"/>
      <c r="BA3" s="26"/>
      <c r="BB3" s="17"/>
      <c r="BC3" s="26"/>
      <c r="BD3" s="149" t="s">
        <v>70</v>
      </c>
    </row>
    <row r="4" spans="1:83" s="25" customFormat="1" ht="15" customHeight="1">
      <c r="C4" s="24"/>
      <c r="D4" s="373"/>
      <c r="E4" s="373"/>
      <c r="F4" s="373"/>
      <c r="G4" s="373"/>
      <c r="H4" s="373"/>
      <c r="I4" s="373"/>
      <c r="J4" s="373"/>
      <c r="K4" s="373"/>
      <c r="L4" s="202"/>
      <c r="M4" s="202"/>
      <c r="N4" s="202"/>
      <c r="O4" s="202"/>
      <c r="P4" s="202"/>
      <c r="Q4" s="202"/>
      <c r="R4" s="202"/>
      <c r="S4" s="202"/>
      <c r="T4" s="202"/>
      <c r="U4" s="202"/>
      <c r="V4" s="202"/>
      <c r="X4" s="128"/>
      <c r="Y4" s="128"/>
      <c r="Z4" s="27"/>
      <c r="AA4" s="27"/>
      <c r="AB4" s="27"/>
      <c r="AC4" s="27"/>
      <c r="AD4" s="27"/>
      <c r="AE4" s="27"/>
      <c r="AF4" s="27"/>
      <c r="AG4" s="27"/>
      <c r="AH4" s="27"/>
      <c r="AI4" s="27"/>
      <c r="AJ4" s="27"/>
      <c r="AK4" s="27"/>
      <c r="AL4" s="27"/>
      <c r="AM4" s="27"/>
      <c r="AN4" s="27"/>
      <c r="AO4" s="27"/>
      <c r="AP4" s="27"/>
      <c r="AS4" s="26"/>
      <c r="AT4" s="26"/>
      <c r="AU4" s="26"/>
      <c r="AV4" s="26"/>
      <c r="AW4" s="26"/>
      <c r="AX4" s="280"/>
      <c r="AY4" s="26"/>
      <c r="AZ4" s="26"/>
      <c r="BA4" s="26"/>
      <c r="BB4" s="17"/>
      <c r="BC4" s="26"/>
      <c r="BD4" s="150" t="s">
        <v>71</v>
      </c>
    </row>
    <row r="5" spans="1:83" s="25" customFormat="1" ht="15" customHeight="1">
      <c r="C5" s="24"/>
      <c r="D5" s="373"/>
      <c r="E5" s="373"/>
      <c r="F5" s="373"/>
      <c r="G5" s="373"/>
      <c r="H5" s="373"/>
      <c r="I5" s="373"/>
      <c r="J5" s="373"/>
      <c r="K5" s="373"/>
      <c r="L5" s="202"/>
      <c r="M5" s="202"/>
      <c r="N5" s="202"/>
      <c r="O5" s="202"/>
      <c r="P5" s="202"/>
      <c r="Q5" s="202"/>
      <c r="R5" s="202"/>
      <c r="S5" s="202"/>
      <c r="T5" s="202"/>
      <c r="U5" s="202"/>
      <c r="V5" s="202"/>
      <c r="X5" s="128"/>
      <c r="Y5" s="128"/>
      <c r="Z5" s="27"/>
      <c r="AA5" s="27"/>
      <c r="AB5" s="27"/>
      <c r="AC5" s="27"/>
      <c r="AD5" s="27"/>
      <c r="AE5" s="27"/>
      <c r="AF5" s="27"/>
      <c r="AG5" s="27"/>
      <c r="AH5" s="27"/>
      <c r="AI5" s="27"/>
      <c r="AJ5" s="27"/>
      <c r="AK5" s="27"/>
      <c r="AL5" s="27"/>
      <c r="AM5" s="27"/>
      <c r="AN5" s="27"/>
      <c r="AO5" s="27"/>
      <c r="AP5" s="27"/>
      <c r="AS5" s="26"/>
      <c r="AT5" s="26"/>
      <c r="AU5" s="26"/>
      <c r="AV5" s="26"/>
      <c r="AW5" s="26"/>
      <c r="AX5" s="280"/>
      <c r="AY5" s="26"/>
      <c r="AZ5" s="26"/>
      <c r="BA5" s="26"/>
      <c r="BB5" s="17"/>
      <c r="BC5" s="26"/>
      <c r="BD5" s="151"/>
    </row>
    <row r="6" spans="1:83" s="25" customFormat="1" ht="15" customHeight="1">
      <c r="A6" s="376" t="s">
        <v>3493</v>
      </c>
      <c r="B6" s="376"/>
      <c r="C6" s="376"/>
      <c r="D6" s="365" t="s">
        <v>72</v>
      </c>
      <c r="E6" s="365"/>
      <c r="F6" s="28"/>
      <c r="G6" s="377" t="s">
        <v>73</v>
      </c>
      <c r="H6" s="378"/>
      <c r="I6" s="378"/>
      <c r="J6" s="378"/>
      <c r="K6" s="379"/>
      <c r="L6" s="364" t="s">
        <v>74</v>
      </c>
      <c r="M6" s="365"/>
      <c r="N6" s="365"/>
      <c r="O6" s="365"/>
      <c r="P6" s="366"/>
      <c r="Q6" s="364" t="s">
        <v>75</v>
      </c>
      <c r="R6" s="365"/>
      <c r="S6" s="365"/>
      <c r="T6" s="365"/>
      <c r="U6" s="365"/>
      <c r="V6" s="203"/>
      <c r="W6" s="364" t="s">
        <v>0</v>
      </c>
      <c r="X6" s="365"/>
      <c r="Y6" s="366"/>
      <c r="Z6" s="367" t="s">
        <v>1472</v>
      </c>
      <c r="AA6" s="368"/>
      <c r="AB6" s="369"/>
      <c r="AC6" s="29" t="s">
        <v>60</v>
      </c>
      <c r="AD6" s="370" t="s">
        <v>76</v>
      </c>
      <c r="AE6" s="371"/>
      <c r="AF6" s="371"/>
      <c r="AG6" s="371"/>
      <c r="AH6" s="371"/>
      <c r="AI6" s="372"/>
      <c r="AJ6" s="370" t="s">
        <v>77</v>
      </c>
      <c r="AK6" s="371"/>
      <c r="AL6" s="371"/>
      <c r="AM6" s="371"/>
      <c r="AN6" s="371"/>
      <c r="AO6" s="371"/>
      <c r="AP6" s="372"/>
      <c r="AQ6" s="360" t="s">
        <v>78</v>
      </c>
      <c r="AR6" s="361"/>
      <c r="AS6" s="361"/>
      <c r="AT6" s="361"/>
      <c r="AU6" s="361"/>
      <c r="AV6" s="361"/>
      <c r="AW6" s="361"/>
      <c r="AX6" s="361"/>
      <c r="AY6" s="361"/>
      <c r="AZ6" s="361"/>
      <c r="BA6" s="361"/>
      <c r="BB6" s="142"/>
      <c r="BC6" s="30"/>
      <c r="BD6" s="362" t="s">
        <v>754</v>
      </c>
    </row>
    <row r="7" spans="1:83" s="23" customFormat="1" ht="51">
      <c r="A7" s="374" t="s">
        <v>3671</v>
      </c>
      <c r="B7" s="375"/>
      <c r="C7" s="31" t="s">
        <v>3672</v>
      </c>
      <c r="D7" s="32" t="s">
        <v>238</v>
      </c>
      <c r="E7" s="32" t="s">
        <v>765</v>
      </c>
      <c r="F7" s="32" t="s">
        <v>79</v>
      </c>
      <c r="G7" s="33" t="s">
        <v>69</v>
      </c>
      <c r="H7" s="34" t="s">
        <v>80</v>
      </c>
      <c r="I7" s="34" t="s">
        <v>1</v>
      </c>
      <c r="J7" s="34" t="s">
        <v>2</v>
      </c>
      <c r="K7" s="35" t="s">
        <v>3</v>
      </c>
      <c r="L7" s="32" t="s">
        <v>69</v>
      </c>
      <c r="M7" s="32" t="s">
        <v>80</v>
      </c>
      <c r="N7" s="32" t="s">
        <v>1</v>
      </c>
      <c r="O7" s="32" t="s">
        <v>2</v>
      </c>
      <c r="P7" s="36" t="s">
        <v>3</v>
      </c>
      <c r="Q7" s="32" t="s">
        <v>81</v>
      </c>
      <c r="R7" s="32" t="s">
        <v>82</v>
      </c>
      <c r="S7" s="32" t="s">
        <v>83</v>
      </c>
      <c r="T7" s="32" t="s">
        <v>84</v>
      </c>
      <c r="U7" s="32" t="s">
        <v>85</v>
      </c>
      <c r="V7" s="32" t="s">
        <v>1428</v>
      </c>
      <c r="W7" s="31" t="s">
        <v>86</v>
      </c>
      <c r="X7" s="128" t="s">
        <v>48</v>
      </c>
      <c r="Y7" s="128" t="s">
        <v>361</v>
      </c>
      <c r="Z7" s="197" t="s">
        <v>1470</v>
      </c>
      <c r="AA7" s="198" t="s">
        <v>65</v>
      </c>
      <c r="AB7" s="199" t="s">
        <v>1473</v>
      </c>
      <c r="AC7" s="196" t="s">
        <v>5</v>
      </c>
      <c r="AD7" s="38" t="s">
        <v>87</v>
      </c>
      <c r="AE7" s="39" t="s">
        <v>88</v>
      </c>
      <c r="AF7" s="40" t="s">
        <v>4</v>
      </c>
      <c r="AG7" s="40" t="s">
        <v>89</v>
      </c>
      <c r="AH7" s="40" t="s">
        <v>90</v>
      </c>
      <c r="AI7" s="41" t="s">
        <v>91</v>
      </c>
      <c r="AJ7" s="39" t="s">
        <v>757</v>
      </c>
      <c r="AK7" s="39" t="s">
        <v>758</v>
      </c>
      <c r="AL7" s="39" t="s">
        <v>92</v>
      </c>
      <c r="AM7" s="39" t="s">
        <v>759</v>
      </c>
      <c r="AN7" s="39" t="s">
        <v>760</v>
      </c>
      <c r="AO7" s="39" t="s">
        <v>761</v>
      </c>
      <c r="AP7" s="39" t="s">
        <v>756</v>
      </c>
      <c r="AQ7" s="42" t="s">
        <v>93</v>
      </c>
      <c r="AR7" s="37" t="s">
        <v>94</v>
      </c>
      <c r="AS7" s="37" t="s">
        <v>66</v>
      </c>
      <c r="AT7" s="37" t="s">
        <v>95</v>
      </c>
      <c r="AU7" s="37" t="s">
        <v>96</v>
      </c>
      <c r="AV7" s="37" t="s">
        <v>560</v>
      </c>
      <c r="AW7" s="37" t="s">
        <v>1474</v>
      </c>
      <c r="AX7" s="281" t="s">
        <v>1475</v>
      </c>
      <c r="AY7" s="37" t="s">
        <v>289</v>
      </c>
      <c r="AZ7" s="37" t="s">
        <v>290</v>
      </c>
      <c r="BA7" s="139" t="s">
        <v>97</v>
      </c>
      <c r="BB7" s="143" t="s">
        <v>285</v>
      </c>
      <c r="BC7" s="43" t="s">
        <v>3673</v>
      </c>
      <c r="BD7" s="363"/>
    </row>
    <row r="8" spans="1:83" s="23" customFormat="1" ht="15.75">
      <c r="A8" s="88"/>
      <c r="B8" s="88"/>
      <c r="C8" s="88" t="s">
        <v>98</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2"/>
      <c r="AY8" s="93"/>
      <c r="AZ8" s="93"/>
      <c r="BA8" s="93"/>
      <c r="BB8" s="103"/>
      <c r="BC8" s="93"/>
      <c r="BD8" s="183"/>
      <c r="BE8" s="306"/>
    </row>
    <row r="9" spans="1:83" s="50" customFormat="1" ht="18" customHeight="1">
      <c r="A9" s="170" t="s">
        <v>3551</v>
      </c>
      <c r="B9" s="170" t="s">
        <v>3552</v>
      </c>
      <c r="C9" s="170"/>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3"/>
      <c r="AY9" s="49"/>
      <c r="AZ9" s="49"/>
      <c r="BA9" s="49"/>
      <c r="BB9" s="168" t="s">
        <v>49</v>
      </c>
      <c r="BC9" s="307"/>
      <c r="BD9" s="173"/>
    </row>
    <row r="10" spans="1:83" ht="12.95" customHeight="1">
      <c r="A10" s="21" t="s">
        <v>306</v>
      </c>
      <c r="B10" s="21" t="s">
        <v>3638</v>
      </c>
      <c r="C10" s="51" t="s">
        <v>301</v>
      </c>
      <c r="D10" s="52" t="s">
        <v>1578</v>
      </c>
      <c r="E10" s="52" t="s">
        <v>1579</v>
      </c>
      <c r="F10" s="53" t="s">
        <v>553</v>
      </c>
      <c r="G10" s="179"/>
      <c r="H10" s="180" t="s">
        <v>1477</v>
      </c>
      <c r="I10" s="55" t="s">
        <v>1429</v>
      </c>
      <c r="J10" s="55" t="s">
        <v>1429</v>
      </c>
      <c r="K10" s="56" t="s">
        <v>1429</v>
      </c>
      <c r="L10" s="54" t="s">
        <v>1580</v>
      </c>
      <c r="M10" s="55" t="s">
        <v>1581</v>
      </c>
      <c r="N10" s="55" t="s">
        <v>1429</v>
      </c>
      <c r="O10" s="55" t="s">
        <v>1429</v>
      </c>
      <c r="P10" s="56" t="s">
        <v>1429</v>
      </c>
      <c r="Q10" s="52" t="s">
        <v>119</v>
      </c>
      <c r="R10" s="52" t="s">
        <v>113</v>
      </c>
      <c r="S10" s="52" t="s">
        <v>99</v>
      </c>
      <c r="T10" s="52" t="s">
        <v>100</v>
      </c>
      <c r="U10" s="57" t="s">
        <v>113</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6" t="b">
        <v>1</v>
      </c>
      <c r="AK10" s="176" t="b">
        <v>1</v>
      </c>
      <c r="AL10" s="176" t="b">
        <v>1</v>
      </c>
      <c r="AM10" s="176" t="b">
        <v>1</v>
      </c>
      <c r="AN10" s="176" t="b">
        <v>1</v>
      </c>
      <c r="AO10" s="176" t="b">
        <v>1</v>
      </c>
      <c r="AP10" s="64" t="str">
        <f t="shared" ref="AP10:AP23" si="4">IF(AND($AJ10:$AO10), "VALID", "INVALID")</f>
        <v>VALID</v>
      </c>
      <c r="AQ10" s="211" t="s">
        <v>1477</v>
      </c>
      <c r="AR10" s="182" t="s">
        <v>3495</v>
      </c>
      <c r="AS10" s="181"/>
      <c r="AT10" s="5"/>
      <c r="AU10" s="5"/>
      <c r="AV10" s="5"/>
      <c r="AW10" s="181" t="s">
        <v>125</v>
      </c>
      <c r="AX10" s="284"/>
      <c r="AY10" s="181"/>
      <c r="AZ10" s="181"/>
      <c r="BA10" s="7"/>
      <c r="BB10" s="212"/>
      <c r="BC10" s="10" t="s">
        <v>3674</v>
      </c>
      <c r="BD10" s="238"/>
      <c r="BE10" s="239"/>
      <c r="BF10" s="239"/>
      <c r="BG10" s="239"/>
      <c r="BH10" s="239"/>
      <c r="BI10" s="239"/>
      <c r="BJ10" s="239"/>
      <c r="BK10" s="239"/>
      <c r="BL10" s="239"/>
      <c r="BM10" s="239"/>
      <c r="BN10" s="239"/>
      <c r="BO10" s="239"/>
      <c r="BP10" s="239"/>
      <c r="BQ10" s="239"/>
      <c r="BR10" s="239"/>
      <c r="BS10" s="239"/>
      <c r="BT10" s="239"/>
      <c r="BU10" s="239"/>
      <c r="BV10" s="239"/>
      <c r="BW10" s="239"/>
      <c r="BX10" s="239"/>
      <c r="BY10" s="239"/>
      <c r="BZ10" s="239"/>
      <c r="CA10" s="239"/>
      <c r="CB10" s="239"/>
      <c r="CC10" s="239"/>
      <c r="CD10" s="239"/>
      <c r="CE10" s="239"/>
    </row>
    <row r="11" spans="1:83" ht="12.95" customHeight="1">
      <c r="A11" s="21" t="s">
        <v>307</v>
      </c>
      <c r="B11" s="21" t="s">
        <v>3637</v>
      </c>
      <c r="C11" s="51" t="s">
        <v>302</v>
      </c>
      <c r="D11" s="52" t="s">
        <v>1588</v>
      </c>
      <c r="E11" s="52" t="s">
        <v>1589</v>
      </c>
      <c r="F11" s="53" t="s">
        <v>554</v>
      </c>
      <c r="G11" s="179"/>
      <c r="H11" s="180" t="s">
        <v>1478</v>
      </c>
      <c r="I11" s="55" t="s">
        <v>1429</v>
      </c>
      <c r="J11" s="55" t="s">
        <v>1429</v>
      </c>
      <c r="K11" s="56" t="s">
        <v>1429</v>
      </c>
      <c r="L11" s="54" t="s">
        <v>1580</v>
      </c>
      <c r="M11" s="55" t="s">
        <v>1590</v>
      </c>
      <c r="N11" s="55" t="s">
        <v>1429</v>
      </c>
      <c r="O11" s="55" t="s">
        <v>1429</v>
      </c>
      <c r="P11" s="56" t="s">
        <v>1429</v>
      </c>
      <c r="Q11" s="52" t="s">
        <v>119</v>
      </c>
      <c r="R11" s="52" t="s">
        <v>113</v>
      </c>
      <c r="S11" s="52" t="s">
        <v>99</v>
      </c>
      <c r="T11" s="52" t="s">
        <v>100</v>
      </c>
      <c r="U11" s="57" t="s">
        <v>113</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6" t="b">
        <v>1</v>
      </c>
      <c r="AK11" s="176" t="b">
        <v>1</v>
      </c>
      <c r="AL11" s="176" t="b">
        <v>1</v>
      </c>
      <c r="AM11" s="176" t="b">
        <v>1</v>
      </c>
      <c r="AN11" s="176" t="b">
        <v>1</v>
      </c>
      <c r="AO11" s="176" t="b">
        <v>1</v>
      </c>
      <c r="AP11" s="64" t="str">
        <f t="shared" si="4"/>
        <v>VALID</v>
      </c>
      <c r="AQ11" s="211" t="s">
        <v>1478</v>
      </c>
      <c r="AR11" s="182" t="s">
        <v>3496</v>
      </c>
      <c r="AS11" s="181" t="s">
        <v>3497</v>
      </c>
      <c r="AT11" s="5"/>
      <c r="AU11" s="5"/>
      <c r="AV11" s="5"/>
      <c r="AW11" s="181" t="s">
        <v>125</v>
      </c>
      <c r="AX11" s="284"/>
      <c r="AY11" s="181"/>
      <c r="AZ11" s="181"/>
      <c r="BA11" s="7"/>
      <c r="BB11" s="212"/>
      <c r="BC11" s="10" t="s">
        <v>3675</v>
      </c>
      <c r="BD11" s="238"/>
      <c r="BE11" s="239"/>
      <c r="BF11" s="239"/>
      <c r="BG11" s="239"/>
      <c r="BH11" s="239"/>
      <c r="BI11" s="239"/>
      <c r="BJ11" s="239"/>
      <c r="BK11" s="239"/>
      <c r="BL11" s="239"/>
      <c r="BM11" s="239"/>
      <c r="BN11" s="239"/>
      <c r="BO11" s="239"/>
      <c r="BP11" s="239"/>
      <c r="BQ11" s="239"/>
      <c r="BR11" s="239"/>
      <c r="BS11" s="239"/>
      <c r="BT11" s="239"/>
      <c r="BU11" s="239"/>
      <c r="BV11" s="239"/>
      <c r="BW11" s="239"/>
      <c r="BX11" s="239"/>
      <c r="BY11" s="239"/>
      <c r="BZ11" s="239"/>
      <c r="CA11" s="239"/>
      <c r="CB11" s="239"/>
      <c r="CC11" s="239"/>
      <c r="CD11" s="239"/>
      <c r="CE11" s="239"/>
    </row>
    <row r="12" spans="1:83" ht="12.95" customHeight="1">
      <c r="A12" s="21" t="s">
        <v>3311</v>
      </c>
      <c r="B12" s="21" t="s">
        <v>3636</v>
      </c>
      <c r="C12" s="51" t="s">
        <v>283</v>
      </c>
      <c r="D12" s="52" t="s">
        <v>1592</v>
      </c>
      <c r="E12" s="52" t="s">
        <v>1593</v>
      </c>
      <c r="F12" s="53" t="s">
        <v>555</v>
      </c>
      <c r="G12" s="179"/>
      <c r="H12" s="180" t="s">
        <v>1479</v>
      </c>
      <c r="I12" s="55" t="s">
        <v>1429</v>
      </c>
      <c r="J12" s="55" t="s">
        <v>1429</v>
      </c>
      <c r="K12" s="56" t="s">
        <v>1429</v>
      </c>
      <c r="L12" s="54" t="s">
        <v>1580</v>
      </c>
      <c r="M12" s="55" t="s">
        <v>1581</v>
      </c>
      <c r="N12" s="55" t="s">
        <v>1429</v>
      </c>
      <c r="O12" s="55" t="s">
        <v>1429</v>
      </c>
      <c r="P12" s="56" t="s">
        <v>1429</v>
      </c>
      <c r="Q12" s="52" t="s">
        <v>119</v>
      </c>
      <c r="R12" s="52" t="s">
        <v>113</v>
      </c>
      <c r="S12" s="52" t="s">
        <v>99</v>
      </c>
      <c r="T12" s="52" t="s">
        <v>100</v>
      </c>
      <c r="U12" s="57" t="s">
        <v>113</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6" t="b">
        <v>1</v>
      </c>
      <c r="AK12" s="176" t="b">
        <v>1</v>
      </c>
      <c r="AL12" s="176" t="b">
        <v>1</v>
      </c>
      <c r="AM12" s="176" t="b">
        <v>1</v>
      </c>
      <c r="AN12" s="176" t="b">
        <v>1</v>
      </c>
      <c r="AO12" s="176" t="b">
        <v>1</v>
      </c>
      <c r="AP12" s="64" t="str">
        <f t="shared" si="4"/>
        <v>VALID</v>
      </c>
      <c r="AQ12" s="211" t="s">
        <v>1479</v>
      </c>
      <c r="AR12" s="182" t="s">
        <v>3495</v>
      </c>
      <c r="AS12" s="181"/>
      <c r="AT12" s="5"/>
      <c r="AU12" s="5"/>
      <c r="AV12" s="5"/>
      <c r="AW12" s="181" t="s">
        <v>125</v>
      </c>
      <c r="AX12" s="284"/>
      <c r="AY12" s="181"/>
      <c r="AZ12" s="181"/>
      <c r="BA12" s="7"/>
      <c r="BB12" s="212"/>
      <c r="BC12" s="10" t="s">
        <v>3676</v>
      </c>
      <c r="BD12" s="238"/>
      <c r="BE12" s="239"/>
      <c r="BF12" s="239"/>
      <c r="BG12" s="239"/>
      <c r="BH12" s="239"/>
      <c r="BI12" s="239"/>
      <c r="BJ12" s="239"/>
      <c r="BK12" s="239"/>
      <c r="BL12" s="239"/>
      <c r="BM12" s="239"/>
      <c r="BN12" s="239"/>
      <c r="BO12" s="239"/>
      <c r="BP12" s="239"/>
      <c r="BQ12" s="239"/>
      <c r="BR12" s="239"/>
      <c r="BS12" s="239"/>
      <c r="BT12" s="239"/>
      <c r="BU12" s="239"/>
      <c r="BV12" s="239"/>
      <c r="BW12" s="239"/>
      <c r="BX12" s="239"/>
      <c r="BY12" s="239"/>
      <c r="BZ12" s="239"/>
      <c r="CA12" s="239"/>
      <c r="CB12" s="239"/>
      <c r="CC12" s="239"/>
      <c r="CD12" s="239"/>
      <c r="CE12" s="239"/>
    </row>
    <row r="13" spans="1:83" ht="12.95" customHeight="1">
      <c r="A13" s="21" t="s">
        <v>3310</v>
      </c>
      <c r="B13" s="21" t="s">
        <v>2329</v>
      </c>
      <c r="C13" s="51" t="s">
        <v>282</v>
      </c>
      <c r="D13" s="52" t="s">
        <v>1596</v>
      </c>
      <c r="E13" s="52" t="s">
        <v>1597</v>
      </c>
      <c r="F13" s="53" t="s">
        <v>556</v>
      </c>
      <c r="G13" s="179"/>
      <c r="H13" s="180" t="s">
        <v>1480</v>
      </c>
      <c r="I13" s="55" t="s">
        <v>1429</v>
      </c>
      <c r="J13" s="55" t="s">
        <v>1429</v>
      </c>
      <c r="K13" s="56" t="s">
        <v>1429</v>
      </c>
      <c r="L13" s="54" t="s">
        <v>1580</v>
      </c>
      <c r="M13" s="55" t="s">
        <v>1590</v>
      </c>
      <c r="N13" s="55" t="s">
        <v>1429</v>
      </c>
      <c r="O13" s="55" t="s">
        <v>1429</v>
      </c>
      <c r="P13" s="56" t="s">
        <v>1429</v>
      </c>
      <c r="Q13" s="52" t="s">
        <v>119</v>
      </c>
      <c r="R13" s="52" t="s">
        <v>113</v>
      </c>
      <c r="S13" s="52" t="s">
        <v>99</v>
      </c>
      <c r="T13" s="52" t="s">
        <v>100</v>
      </c>
      <c r="U13" s="57" t="s">
        <v>113</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6" t="b">
        <v>1</v>
      </c>
      <c r="AK13" s="176" t="b">
        <v>1</v>
      </c>
      <c r="AL13" s="176" t="b">
        <v>1</v>
      </c>
      <c r="AM13" s="176" t="b">
        <v>1</v>
      </c>
      <c r="AN13" s="176" t="b">
        <v>1</v>
      </c>
      <c r="AO13" s="176" t="b">
        <v>1</v>
      </c>
      <c r="AP13" s="64" t="str">
        <f t="shared" si="4"/>
        <v>VALID</v>
      </c>
      <c r="AQ13" s="211" t="s">
        <v>1480</v>
      </c>
      <c r="AR13" s="182" t="s">
        <v>3496</v>
      </c>
      <c r="AS13" s="181" t="s">
        <v>3497</v>
      </c>
      <c r="AT13" s="181" t="s">
        <v>104</v>
      </c>
      <c r="AU13" s="5"/>
      <c r="AV13" s="5"/>
      <c r="AW13" s="181" t="s">
        <v>125</v>
      </c>
      <c r="AX13" s="284"/>
      <c r="AY13" s="181"/>
      <c r="AZ13" s="181"/>
      <c r="BA13" s="7"/>
      <c r="BB13" s="212"/>
      <c r="BC13" s="10" t="s">
        <v>3677</v>
      </c>
      <c r="BD13" s="238"/>
      <c r="BE13" s="239"/>
      <c r="BF13" s="239"/>
      <c r="BG13" s="239"/>
      <c r="BH13" s="239"/>
      <c r="BI13" s="239"/>
      <c r="BJ13" s="239"/>
      <c r="BK13" s="239"/>
      <c r="BL13" s="239"/>
      <c r="BM13" s="239"/>
      <c r="BN13" s="239"/>
      <c r="BO13" s="239"/>
      <c r="BP13" s="239"/>
      <c r="BQ13" s="239"/>
      <c r="BR13" s="239"/>
      <c r="BS13" s="239"/>
      <c r="BT13" s="239"/>
      <c r="BU13" s="239"/>
      <c r="BV13" s="239"/>
      <c r="BW13" s="239"/>
      <c r="BX13" s="239"/>
      <c r="BY13" s="239"/>
      <c r="BZ13" s="239"/>
      <c r="CA13" s="239"/>
      <c r="CB13" s="239"/>
      <c r="CC13" s="239"/>
      <c r="CD13" s="239"/>
      <c r="CE13" s="239"/>
    </row>
    <row r="14" spans="1:83" ht="12.95" customHeight="1">
      <c r="A14" s="21" t="s">
        <v>3794</v>
      </c>
      <c r="B14" s="21" t="s">
        <v>1868</v>
      </c>
      <c r="C14" s="51" t="s">
        <v>912</v>
      </c>
      <c r="D14" s="52" t="s">
        <v>1601</v>
      </c>
      <c r="E14" s="52" t="s">
        <v>1602</v>
      </c>
      <c r="F14" s="53" t="s">
        <v>1205</v>
      </c>
      <c r="G14" s="179" t="s">
        <v>1481</v>
      </c>
      <c r="H14" s="180" t="s">
        <v>1429</v>
      </c>
      <c r="I14" s="55" t="s">
        <v>1429</v>
      </c>
      <c r="J14" s="55" t="s">
        <v>1429</v>
      </c>
      <c r="K14" s="56" t="s">
        <v>1429</v>
      </c>
      <c r="L14" s="54" t="s">
        <v>1580</v>
      </c>
      <c r="M14" s="55" t="s">
        <v>1429</v>
      </c>
      <c r="N14" s="55" t="s">
        <v>1429</v>
      </c>
      <c r="O14" s="55" t="s">
        <v>1429</v>
      </c>
      <c r="P14" s="56" t="s">
        <v>1429</v>
      </c>
      <c r="Q14" s="52" t="s">
        <v>755</v>
      </c>
      <c r="R14" s="52" t="s">
        <v>113</v>
      </c>
      <c r="S14" s="52" t="s">
        <v>99</v>
      </c>
      <c r="T14" s="52" t="s">
        <v>100</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6" t="b">
        <v>1</v>
      </c>
      <c r="AK14" s="176" t="b">
        <v>1</v>
      </c>
      <c r="AL14" s="176" t="b">
        <v>1</v>
      </c>
      <c r="AM14" s="176" t="b">
        <v>1</v>
      </c>
      <c r="AN14" s="176" t="b">
        <v>1</v>
      </c>
      <c r="AO14" s="176" t="b">
        <v>1</v>
      </c>
      <c r="AP14" s="64" t="str">
        <f t="shared" si="4"/>
        <v>VALID</v>
      </c>
      <c r="AQ14" s="211" t="s">
        <v>1481</v>
      </c>
      <c r="AR14" s="182" t="s">
        <v>3495</v>
      </c>
      <c r="AS14" s="181" t="s">
        <v>3498</v>
      </c>
      <c r="AT14" s="5"/>
      <c r="AU14" s="5"/>
      <c r="AV14" s="5"/>
      <c r="AW14" s="181" t="s">
        <v>125</v>
      </c>
      <c r="AX14" s="284"/>
      <c r="AY14" s="181"/>
      <c r="AZ14" s="181"/>
      <c r="BA14" s="7"/>
      <c r="BB14" s="212"/>
      <c r="BC14" s="10" t="s">
        <v>3506</v>
      </c>
      <c r="BD14" s="240"/>
      <c r="BE14" s="239"/>
      <c r="BF14" s="239"/>
      <c r="BG14" s="239"/>
      <c r="BH14" s="239"/>
      <c r="BI14" s="239"/>
      <c r="BJ14" s="239"/>
      <c r="BK14" s="239"/>
      <c r="BL14" s="239"/>
      <c r="BM14" s="239"/>
      <c r="BN14" s="239"/>
      <c r="BO14" s="239"/>
      <c r="BP14" s="239"/>
      <c r="BQ14" s="239"/>
      <c r="BR14" s="239"/>
      <c r="BS14" s="239"/>
      <c r="BT14" s="239"/>
      <c r="BU14" s="239"/>
      <c r="BV14" s="239"/>
      <c r="BW14" s="239"/>
      <c r="BX14" s="239"/>
      <c r="BY14" s="239"/>
      <c r="BZ14" s="239"/>
      <c r="CA14" s="239"/>
      <c r="CB14" s="239"/>
      <c r="CC14" s="239"/>
      <c r="CD14" s="239"/>
      <c r="CE14" s="239"/>
    </row>
    <row r="15" spans="1:83" ht="12.95" customHeight="1">
      <c r="A15" s="21" t="s">
        <v>3795</v>
      </c>
      <c r="B15" s="21" t="s">
        <v>3567</v>
      </c>
      <c r="C15" s="51" t="s">
        <v>913</v>
      </c>
      <c r="D15" s="52" t="s">
        <v>1604</v>
      </c>
      <c r="E15" s="52" t="s">
        <v>1605</v>
      </c>
      <c r="F15" s="53" t="s">
        <v>1206</v>
      </c>
      <c r="G15" s="179" t="s">
        <v>1482</v>
      </c>
      <c r="H15" s="180" t="s">
        <v>1429</v>
      </c>
      <c r="I15" s="55" t="s">
        <v>1429</v>
      </c>
      <c r="J15" s="55" t="s">
        <v>1429</v>
      </c>
      <c r="K15" s="56" t="s">
        <v>1429</v>
      </c>
      <c r="L15" s="54" t="s">
        <v>1580</v>
      </c>
      <c r="M15" s="55" t="s">
        <v>1429</v>
      </c>
      <c r="N15" s="55" t="s">
        <v>1429</v>
      </c>
      <c r="O15" s="55" t="s">
        <v>1429</v>
      </c>
      <c r="P15" s="56" t="s">
        <v>1429</v>
      </c>
      <c r="Q15" s="52" t="s">
        <v>755</v>
      </c>
      <c r="R15" s="52" t="s">
        <v>113</v>
      </c>
      <c r="S15" s="52" t="s">
        <v>99</v>
      </c>
      <c r="T15" s="52" t="s">
        <v>100</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6" t="b">
        <v>1</v>
      </c>
      <c r="AK15" s="176" t="b">
        <v>1</v>
      </c>
      <c r="AL15" s="176" t="b">
        <v>1</v>
      </c>
      <c r="AM15" s="176" t="b">
        <v>1</v>
      </c>
      <c r="AN15" s="176" t="b">
        <v>1</v>
      </c>
      <c r="AO15" s="176" t="b">
        <v>1</v>
      </c>
      <c r="AP15" s="64" t="str">
        <f t="shared" si="4"/>
        <v>VALID</v>
      </c>
      <c r="AQ15" s="211" t="s">
        <v>1482</v>
      </c>
      <c r="AR15" s="182" t="s">
        <v>3496</v>
      </c>
      <c r="AS15" s="181" t="s">
        <v>3497</v>
      </c>
      <c r="AT15" s="181" t="s">
        <v>3499</v>
      </c>
      <c r="AU15" s="5"/>
      <c r="AV15" s="5"/>
      <c r="AW15" s="181" t="s">
        <v>125</v>
      </c>
      <c r="AX15" s="284"/>
      <c r="AY15" s="181"/>
      <c r="AZ15" s="181"/>
      <c r="BA15" s="7"/>
      <c r="BB15" s="212"/>
      <c r="BC15" s="10" t="s">
        <v>3507</v>
      </c>
      <c r="BD15" s="240"/>
      <c r="BE15" s="239"/>
      <c r="BF15" s="239"/>
      <c r="BG15" s="239"/>
      <c r="BH15" s="239"/>
      <c r="BI15" s="239"/>
      <c r="BJ15" s="239"/>
      <c r="BK15" s="239"/>
      <c r="BL15" s="239"/>
      <c r="BM15" s="239"/>
      <c r="BN15" s="239"/>
      <c r="BO15" s="239"/>
      <c r="BP15" s="239"/>
      <c r="BQ15" s="239"/>
      <c r="BR15" s="239"/>
      <c r="BS15" s="239"/>
      <c r="BT15" s="239"/>
      <c r="BU15" s="239"/>
      <c r="BV15" s="239"/>
      <c r="BW15" s="239"/>
      <c r="BX15" s="239"/>
      <c r="BY15" s="239"/>
      <c r="BZ15" s="239"/>
      <c r="CA15" s="239"/>
      <c r="CB15" s="239"/>
      <c r="CC15" s="239"/>
      <c r="CD15" s="239"/>
      <c r="CE15" s="239"/>
    </row>
    <row r="16" spans="1:83" ht="12.95" customHeight="1">
      <c r="A16" s="21" t="s">
        <v>3312</v>
      </c>
      <c r="B16" s="21" t="s">
        <v>2165</v>
      </c>
      <c r="C16" s="51" t="s">
        <v>914</v>
      </c>
      <c r="D16" s="52" t="s">
        <v>1608</v>
      </c>
      <c r="E16" s="52" t="s">
        <v>1609</v>
      </c>
      <c r="F16" s="53" t="s">
        <v>1207</v>
      </c>
      <c r="G16" s="179" t="s">
        <v>1483</v>
      </c>
      <c r="H16" s="180" t="s">
        <v>1429</v>
      </c>
      <c r="I16" s="55" t="s">
        <v>1429</v>
      </c>
      <c r="J16" s="55" t="s">
        <v>1429</v>
      </c>
      <c r="K16" s="56" t="s">
        <v>1429</v>
      </c>
      <c r="L16" s="54" t="s">
        <v>1580</v>
      </c>
      <c r="M16" s="55" t="s">
        <v>1429</v>
      </c>
      <c r="N16" s="55" t="s">
        <v>1429</v>
      </c>
      <c r="O16" s="55" t="s">
        <v>1429</v>
      </c>
      <c r="P16" s="56" t="s">
        <v>1429</v>
      </c>
      <c r="Q16" s="52" t="s">
        <v>755</v>
      </c>
      <c r="R16" s="52" t="s">
        <v>113</v>
      </c>
      <c r="S16" s="52" t="s">
        <v>99</v>
      </c>
      <c r="T16" s="52" t="s">
        <v>100</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6" t="b">
        <v>1</v>
      </c>
      <c r="AK16" s="176" t="b">
        <v>1</v>
      </c>
      <c r="AL16" s="176" t="b">
        <v>1</v>
      </c>
      <c r="AM16" s="176" t="b">
        <v>1</v>
      </c>
      <c r="AN16" s="176" t="b">
        <v>1</v>
      </c>
      <c r="AO16" s="176" t="b">
        <v>1</v>
      </c>
      <c r="AP16" s="64" t="str">
        <f t="shared" si="4"/>
        <v>VALID</v>
      </c>
      <c r="AQ16" s="211" t="s">
        <v>1483</v>
      </c>
      <c r="AR16" s="182" t="s">
        <v>3495</v>
      </c>
      <c r="AS16" s="181" t="s">
        <v>3500</v>
      </c>
      <c r="AT16" s="5"/>
      <c r="AU16" s="5"/>
      <c r="AV16" s="5"/>
      <c r="AW16" s="181" t="s">
        <v>125</v>
      </c>
      <c r="AX16" s="284"/>
      <c r="AY16" s="181"/>
      <c r="AZ16" s="181"/>
      <c r="BA16" s="7"/>
      <c r="BB16" s="212"/>
      <c r="BC16" s="10" t="s">
        <v>3508</v>
      </c>
      <c r="BD16" s="240"/>
      <c r="BE16" s="239"/>
      <c r="BF16" s="239"/>
      <c r="BG16" s="239"/>
      <c r="BH16" s="239"/>
      <c r="BI16" s="239"/>
      <c r="BJ16" s="239"/>
      <c r="BK16" s="239"/>
      <c r="BL16" s="239"/>
      <c r="BM16" s="239"/>
      <c r="BN16" s="239"/>
      <c r="BO16" s="239"/>
      <c r="BP16" s="239"/>
      <c r="BQ16" s="239"/>
      <c r="BR16" s="239"/>
      <c r="BS16" s="239"/>
      <c r="BT16" s="239"/>
      <c r="BU16" s="239"/>
      <c r="BV16" s="239"/>
      <c r="BW16" s="239"/>
      <c r="BX16" s="239"/>
      <c r="BY16" s="239"/>
      <c r="BZ16" s="239"/>
      <c r="CA16" s="239"/>
      <c r="CB16" s="239"/>
      <c r="CC16" s="239"/>
      <c r="CD16" s="239"/>
      <c r="CE16" s="239"/>
    </row>
    <row r="17" spans="1:83" ht="12.95" customHeight="1">
      <c r="A17" s="21" t="s">
        <v>3796</v>
      </c>
      <c r="B17" s="21" t="s">
        <v>1880</v>
      </c>
      <c r="C17" s="51" t="s">
        <v>915</v>
      </c>
      <c r="D17" s="52" t="s">
        <v>1611</v>
      </c>
      <c r="E17" s="52" t="s">
        <v>1612</v>
      </c>
      <c r="F17" s="53" t="s">
        <v>1208</v>
      </c>
      <c r="G17" s="179" t="s">
        <v>1613</v>
      </c>
      <c r="H17" s="180" t="s">
        <v>1429</v>
      </c>
      <c r="I17" s="55" t="s">
        <v>1429</v>
      </c>
      <c r="J17" s="55" t="s">
        <v>1429</v>
      </c>
      <c r="K17" s="56" t="s">
        <v>1429</v>
      </c>
      <c r="L17" s="54" t="s">
        <v>1580</v>
      </c>
      <c r="M17" s="55" t="s">
        <v>1429</v>
      </c>
      <c r="N17" s="55" t="s">
        <v>1429</v>
      </c>
      <c r="O17" s="55" t="s">
        <v>1429</v>
      </c>
      <c r="P17" s="56" t="s">
        <v>1429</v>
      </c>
      <c r="Q17" s="52" t="s">
        <v>755</v>
      </c>
      <c r="R17" s="52" t="s">
        <v>113</v>
      </c>
      <c r="S17" s="52" t="s">
        <v>99</v>
      </c>
      <c r="T17" s="52" t="s">
        <v>100</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6" t="b">
        <v>1</v>
      </c>
      <c r="AK17" s="176" t="b">
        <v>1</v>
      </c>
      <c r="AL17" s="176" t="b">
        <v>1</v>
      </c>
      <c r="AM17" s="176" t="b">
        <v>1</v>
      </c>
      <c r="AN17" s="176" t="b">
        <v>1</v>
      </c>
      <c r="AO17" s="176" t="b">
        <v>1</v>
      </c>
      <c r="AP17" s="64" t="str">
        <f t="shared" si="4"/>
        <v>VALID</v>
      </c>
      <c r="AQ17" s="211" t="s">
        <v>1613</v>
      </c>
      <c r="AR17" s="182" t="s">
        <v>3496</v>
      </c>
      <c r="AS17" s="181" t="s">
        <v>3497</v>
      </c>
      <c r="AT17" s="181" t="s">
        <v>3499</v>
      </c>
      <c r="AU17" s="5"/>
      <c r="AV17" s="5"/>
      <c r="AW17" s="181" t="s">
        <v>125</v>
      </c>
      <c r="AX17" s="284"/>
      <c r="AY17" s="181"/>
      <c r="AZ17" s="181"/>
      <c r="BA17" s="7"/>
      <c r="BB17" s="212"/>
      <c r="BC17" s="10" t="s">
        <v>3509</v>
      </c>
      <c r="BD17" s="240"/>
      <c r="BE17" s="239"/>
      <c r="BF17" s="239"/>
      <c r="BG17" s="239"/>
      <c r="BH17" s="239"/>
      <c r="BI17" s="239"/>
      <c r="BJ17" s="239"/>
      <c r="BK17" s="239"/>
      <c r="BL17" s="239"/>
      <c r="BM17" s="239"/>
      <c r="BN17" s="239"/>
      <c r="BO17" s="239"/>
      <c r="BP17" s="239"/>
      <c r="BQ17" s="239"/>
      <c r="BR17" s="239"/>
      <c r="BS17" s="239"/>
      <c r="BT17" s="239"/>
      <c r="BU17" s="239"/>
      <c r="BV17" s="239"/>
      <c r="BW17" s="239"/>
      <c r="BX17" s="239"/>
      <c r="BY17" s="239"/>
      <c r="BZ17" s="239"/>
      <c r="CA17" s="239"/>
      <c r="CB17" s="239"/>
      <c r="CC17" s="239"/>
      <c r="CD17" s="239"/>
      <c r="CE17" s="239"/>
    </row>
    <row r="18" spans="1:83" ht="12.95" customHeight="1">
      <c r="A18" s="21" t="s">
        <v>3313</v>
      </c>
      <c r="B18" s="21" t="s">
        <v>2372</v>
      </c>
      <c r="C18" s="51" t="s">
        <v>13</v>
      </c>
      <c r="D18" s="52" t="s">
        <v>1616</v>
      </c>
      <c r="E18" s="52" t="s">
        <v>1617</v>
      </c>
      <c r="F18" s="53" t="s">
        <v>110</v>
      </c>
      <c r="G18" s="179"/>
      <c r="H18" s="180" t="s">
        <v>1484</v>
      </c>
      <c r="I18" s="55" t="s">
        <v>1429</v>
      </c>
      <c r="J18" s="55" t="s">
        <v>1429</v>
      </c>
      <c r="K18" s="56" t="s">
        <v>1429</v>
      </c>
      <c r="L18" s="54" t="s">
        <v>1580</v>
      </c>
      <c r="M18" s="55" t="s">
        <v>1580</v>
      </c>
      <c r="N18" s="55" t="s">
        <v>1429</v>
      </c>
      <c r="O18" s="55" t="s">
        <v>1429</v>
      </c>
      <c r="P18" s="56" t="s">
        <v>1429</v>
      </c>
      <c r="Q18" s="52" t="s">
        <v>115</v>
      </c>
      <c r="R18" s="52" t="s">
        <v>113</v>
      </c>
      <c r="S18" s="52" t="s">
        <v>99</v>
      </c>
      <c r="T18" s="52" t="s">
        <v>100</v>
      </c>
      <c r="U18" s="57" t="s">
        <v>113</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DISABLE</v>
      </c>
      <c r="AI18" s="67" t="str">
        <f t="shared" si="3"/>
        <v>N/A</v>
      </c>
      <c r="AJ18" s="176" t="b">
        <v>1</v>
      </c>
      <c r="AK18" s="176" t="b">
        <v>1</v>
      </c>
      <c r="AL18" s="176" t="b">
        <v>1</v>
      </c>
      <c r="AM18" s="176" t="b">
        <v>1</v>
      </c>
      <c r="AN18" s="176" t="b">
        <v>1</v>
      </c>
      <c r="AO18" s="176" t="b">
        <v>1</v>
      </c>
      <c r="AP18" s="64" t="str">
        <f t="shared" si="4"/>
        <v>VALID</v>
      </c>
      <c r="AQ18" s="211" t="s">
        <v>1484</v>
      </c>
      <c r="AR18" s="182" t="s">
        <v>3495</v>
      </c>
      <c r="AS18" s="181"/>
      <c r="AT18" s="5"/>
      <c r="AU18" s="5"/>
      <c r="AV18" s="5"/>
      <c r="AW18" s="181" t="s">
        <v>125</v>
      </c>
      <c r="AX18" s="284"/>
      <c r="AY18" s="181"/>
      <c r="AZ18" s="181"/>
      <c r="BA18" s="7"/>
      <c r="BB18" s="212"/>
      <c r="BC18" s="10" t="s">
        <v>3678</v>
      </c>
      <c r="BD18" s="238"/>
      <c r="BE18" s="239"/>
      <c r="BF18" s="239"/>
      <c r="BG18" s="239"/>
      <c r="BH18" s="239"/>
      <c r="BI18" s="239"/>
      <c r="BJ18" s="239"/>
      <c r="BK18" s="239"/>
      <c r="BL18" s="239"/>
      <c r="BM18" s="239"/>
      <c r="BN18" s="239"/>
      <c r="BO18" s="239"/>
      <c r="BP18" s="239"/>
      <c r="BQ18" s="239"/>
      <c r="BR18" s="239"/>
      <c r="BS18" s="239"/>
      <c r="BT18" s="239"/>
      <c r="BU18" s="239"/>
      <c r="BV18" s="239"/>
      <c r="BW18" s="239"/>
      <c r="BX18" s="239"/>
      <c r="BY18" s="239"/>
      <c r="BZ18" s="239"/>
      <c r="CA18" s="239"/>
      <c r="CB18" s="239"/>
      <c r="CC18" s="239"/>
      <c r="CD18" s="239"/>
      <c r="CE18" s="239"/>
    </row>
    <row r="19" spans="1:83" ht="12.95" customHeight="1">
      <c r="A19" s="21" t="s">
        <v>3314</v>
      </c>
      <c r="B19" s="21" t="s">
        <v>2349</v>
      </c>
      <c r="C19" s="51" t="s">
        <v>11</v>
      </c>
      <c r="D19" s="52" t="s">
        <v>1619</v>
      </c>
      <c r="E19" s="52" t="s">
        <v>1620</v>
      </c>
      <c r="F19" s="53" t="s">
        <v>108</v>
      </c>
      <c r="G19" s="179"/>
      <c r="H19" s="180" t="s">
        <v>1485</v>
      </c>
      <c r="I19" s="55" t="s">
        <v>1429</v>
      </c>
      <c r="J19" s="55" t="s">
        <v>1429</v>
      </c>
      <c r="K19" s="56" t="s">
        <v>1429</v>
      </c>
      <c r="L19" s="54" t="s">
        <v>1580</v>
      </c>
      <c r="M19" s="55" t="s">
        <v>1580</v>
      </c>
      <c r="N19" s="55" t="s">
        <v>1429</v>
      </c>
      <c r="O19" s="55" t="s">
        <v>1429</v>
      </c>
      <c r="P19" s="56" t="s">
        <v>1429</v>
      </c>
      <c r="Q19" s="52" t="s">
        <v>115</v>
      </c>
      <c r="R19" s="52" t="s">
        <v>113</v>
      </c>
      <c r="S19" s="52" t="s">
        <v>99</v>
      </c>
      <c r="T19" s="52" t="s">
        <v>100</v>
      </c>
      <c r="U19" s="57" t="s">
        <v>113</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6" t="b">
        <v>1</v>
      </c>
      <c r="AK19" s="176" t="b">
        <v>1</v>
      </c>
      <c r="AL19" s="176" t="b">
        <v>1</v>
      </c>
      <c r="AM19" s="176" t="b">
        <v>1</v>
      </c>
      <c r="AN19" s="176" t="b">
        <v>1</v>
      </c>
      <c r="AO19" s="176" t="b">
        <v>1</v>
      </c>
      <c r="AP19" s="64" t="str">
        <f t="shared" si="4"/>
        <v>VALID</v>
      </c>
      <c r="AQ19" s="211" t="s">
        <v>1485</v>
      </c>
      <c r="AR19" s="182" t="s">
        <v>3495</v>
      </c>
      <c r="AS19" s="181"/>
      <c r="AT19" s="5"/>
      <c r="AU19" s="5"/>
      <c r="AV19" s="5"/>
      <c r="AW19" s="181" t="s">
        <v>125</v>
      </c>
      <c r="AX19" s="284"/>
      <c r="AY19" s="181"/>
      <c r="AZ19" s="181"/>
      <c r="BA19" s="7"/>
      <c r="BB19" s="212"/>
      <c r="BC19" s="10" t="s">
        <v>3679</v>
      </c>
      <c r="BD19" s="238"/>
      <c r="BE19" s="239"/>
      <c r="BF19" s="239"/>
      <c r="BG19" s="239"/>
      <c r="BH19" s="239"/>
      <c r="BI19" s="239"/>
      <c r="BJ19" s="239"/>
      <c r="BK19" s="239"/>
      <c r="BL19" s="239"/>
      <c r="BM19" s="239"/>
      <c r="BN19" s="239"/>
      <c r="BO19" s="239"/>
      <c r="BP19" s="239"/>
      <c r="BQ19" s="239"/>
      <c r="BR19" s="239"/>
      <c r="BS19" s="239"/>
      <c r="BT19" s="239"/>
      <c r="BU19" s="239"/>
      <c r="BV19" s="239"/>
      <c r="BW19" s="239"/>
      <c r="BX19" s="239"/>
      <c r="BY19" s="239"/>
      <c r="BZ19" s="239"/>
      <c r="CA19" s="239"/>
      <c r="CB19" s="239"/>
      <c r="CC19" s="239"/>
      <c r="CD19" s="239"/>
      <c r="CE19" s="239"/>
    </row>
    <row r="20" spans="1:83" ht="12.95" customHeight="1">
      <c r="A20" s="21" t="s">
        <v>3316</v>
      </c>
      <c r="B20" s="21" t="s">
        <v>2367</v>
      </c>
      <c r="C20" s="51" t="s">
        <v>10</v>
      </c>
      <c r="D20" s="52" t="s">
        <v>1622</v>
      </c>
      <c r="E20" s="52" t="s">
        <v>1623</v>
      </c>
      <c r="F20" s="53" t="s">
        <v>107</v>
      </c>
      <c r="G20" s="179"/>
      <c r="H20" s="180" t="s">
        <v>1486</v>
      </c>
      <c r="I20" s="55" t="s">
        <v>1429</v>
      </c>
      <c r="J20" s="55" t="s">
        <v>1429</v>
      </c>
      <c r="K20" s="56" t="s">
        <v>1429</v>
      </c>
      <c r="L20" s="54" t="s">
        <v>1580</v>
      </c>
      <c r="M20" s="55" t="s">
        <v>1590</v>
      </c>
      <c r="N20" s="55" t="s">
        <v>1429</v>
      </c>
      <c r="O20" s="55" t="s">
        <v>1429</v>
      </c>
      <c r="P20" s="56" t="s">
        <v>1429</v>
      </c>
      <c r="Q20" s="52" t="s">
        <v>115</v>
      </c>
      <c r="R20" s="52" t="s">
        <v>113</v>
      </c>
      <c r="S20" s="52" t="s">
        <v>99</v>
      </c>
      <c r="T20" s="52" t="s">
        <v>100</v>
      </c>
      <c r="U20" s="57" t="s">
        <v>113</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6" t="b">
        <v>1</v>
      </c>
      <c r="AK20" s="176" t="b">
        <v>1</v>
      </c>
      <c r="AL20" s="176" t="b">
        <v>1</v>
      </c>
      <c r="AM20" s="176" t="b">
        <v>1</v>
      </c>
      <c r="AN20" s="176" t="b">
        <v>1</v>
      </c>
      <c r="AO20" s="176" t="b">
        <v>1</v>
      </c>
      <c r="AP20" s="64" t="str">
        <f t="shared" si="4"/>
        <v>VALID</v>
      </c>
      <c r="AQ20" s="211" t="s">
        <v>1486</v>
      </c>
      <c r="AR20" s="182" t="s">
        <v>3496</v>
      </c>
      <c r="AS20" s="181" t="s">
        <v>3497</v>
      </c>
      <c r="AT20" s="5"/>
      <c r="AU20" s="5"/>
      <c r="AV20" s="5"/>
      <c r="AW20" s="181" t="s">
        <v>125</v>
      </c>
      <c r="AX20" s="284"/>
      <c r="AY20" s="181"/>
      <c r="AZ20" s="181"/>
      <c r="BA20" s="7"/>
      <c r="BB20" s="212"/>
      <c r="BC20" s="10" t="s">
        <v>3680</v>
      </c>
      <c r="BD20" s="238"/>
      <c r="BE20" s="239"/>
      <c r="BF20" s="239"/>
      <c r="BG20" s="239"/>
      <c r="BH20" s="239"/>
      <c r="BI20" s="239"/>
      <c r="BJ20" s="239"/>
      <c r="BK20" s="239"/>
      <c r="BL20" s="239"/>
      <c r="BM20" s="239"/>
      <c r="BN20" s="239"/>
      <c r="BO20" s="239"/>
      <c r="BP20" s="239"/>
      <c r="BQ20" s="239"/>
      <c r="BR20" s="239"/>
      <c r="BS20" s="239"/>
      <c r="BT20" s="239"/>
      <c r="BU20" s="239"/>
      <c r="BV20" s="239"/>
      <c r="BW20" s="239"/>
      <c r="BX20" s="239"/>
      <c r="BY20" s="239"/>
      <c r="BZ20" s="239"/>
      <c r="CA20" s="239"/>
      <c r="CB20" s="239"/>
      <c r="CC20" s="239"/>
      <c r="CD20" s="239"/>
      <c r="CE20" s="239"/>
    </row>
    <row r="21" spans="1:83" ht="12.95" customHeight="1">
      <c r="A21" s="21" t="s">
        <v>3315</v>
      </c>
      <c r="B21" s="21" t="s">
        <v>2422</v>
      </c>
      <c r="C21" s="51" t="s">
        <v>12</v>
      </c>
      <c r="D21" s="52" t="s">
        <v>1625</v>
      </c>
      <c r="E21" s="52" t="s">
        <v>1626</v>
      </c>
      <c r="F21" s="53" t="s">
        <v>109</v>
      </c>
      <c r="G21" s="179"/>
      <c r="H21" s="180" t="s">
        <v>1487</v>
      </c>
      <c r="I21" s="55" t="s">
        <v>1429</v>
      </c>
      <c r="J21" s="55" t="s">
        <v>1429</v>
      </c>
      <c r="K21" s="56" t="s">
        <v>1429</v>
      </c>
      <c r="L21" s="54" t="s">
        <v>1580</v>
      </c>
      <c r="M21" s="55" t="s">
        <v>1580</v>
      </c>
      <c r="N21" s="55" t="s">
        <v>1429</v>
      </c>
      <c r="O21" s="55" t="s">
        <v>1429</v>
      </c>
      <c r="P21" s="56" t="s">
        <v>1429</v>
      </c>
      <c r="Q21" s="52" t="s">
        <v>115</v>
      </c>
      <c r="R21" s="52" t="s">
        <v>113</v>
      </c>
      <c r="S21" s="52" t="s">
        <v>99</v>
      </c>
      <c r="T21" s="52" t="s">
        <v>100</v>
      </c>
      <c r="U21" s="57" t="s">
        <v>113</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DISABLE</v>
      </c>
      <c r="AI21" s="67" t="str">
        <f t="shared" si="3"/>
        <v>N/A</v>
      </c>
      <c r="AJ21" s="176" t="b">
        <v>1</v>
      </c>
      <c r="AK21" s="176" t="b">
        <v>1</v>
      </c>
      <c r="AL21" s="176" t="b">
        <v>1</v>
      </c>
      <c r="AM21" s="176" t="b">
        <v>1</v>
      </c>
      <c r="AN21" s="176" t="b">
        <v>1</v>
      </c>
      <c r="AO21" s="176" t="b">
        <v>1</v>
      </c>
      <c r="AP21" s="64" t="str">
        <f t="shared" si="4"/>
        <v>VALID</v>
      </c>
      <c r="AQ21" s="211" t="s">
        <v>1487</v>
      </c>
      <c r="AR21" s="182" t="s">
        <v>3495</v>
      </c>
      <c r="AS21" s="181"/>
      <c r="AT21" s="5"/>
      <c r="AU21" s="5"/>
      <c r="AV21" s="5"/>
      <c r="AW21" s="181" t="s">
        <v>125</v>
      </c>
      <c r="AX21" s="284"/>
      <c r="AY21" s="181"/>
      <c r="AZ21" s="181"/>
      <c r="BA21" s="7"/>
      <c r="BB21" s="212"/>
      <c r="BC21" s="10" t="s">
        <v>3681</v>
      </c>
      <c r="BD21" s="238"/>
      <c r="BE21" s="239"/>
      <c r="BF21" s="239"/>
      <c r="BG21" s="239"/>
      <c r="BH21" s="239"/>
      <c r="BI21" s="239"/>
      <c r="BJ21" s="239"/>
      <c r="BK21" s="239"/>
      <c r="BL21" s="239"/>
      <c r="BM21" s="239"/>
      <c r="BN21" s="239"/>
      <c r="BO21" s="239"/>
      <c r="BP21" s="239"/>
      <c r="BQ21" s="239"/>
      <c r="BR21" s="239"/>
      <c r="BS21" s="239"/>
      <c r="BT21" s="239"/>
      <c r="BU21" s="239"/>
      <c r="BV21" s="239"/>
      <c r="BW21" s="239"/>
      <c r="BX21" s="239"/>
      <c r="BY21" s="239"/>
      <c r="BZ21" s="239"/>
      <c r="CA21" s="239"/>
      <c r="CB21" s="239"/>
      <c r="CC21" s="239"/>
      <c r="CD21" s="239"/>
      <c r="CE21" s="239"/>
    </row>
    <row r="22" spans="1:83" ht="12.95" customHeight="1">
      <c r="A22" s="21" t="s">
        <v>3317</v>
      </c>
      <c r="B22" s="21" t="s">
        <v>1883</v>
      </c>
      <c r="C22" s="51" t="s">
        <v>40</v>
      </c>
      <c r="D22" s="52" t="s">
        <v>1628</v>
      </c>
      <c r="E22" s="52" t="s">
        <v>1629</v>
      </c>
      <c r="F22" s="53" t="s">
        <v>163</v>
      </c>
      <c r="G22" s="179"/>
      <c r="H22" s="180" t="s">
        <v>1488</v>
      </c>
      <c r="I22" s="55" t="s">
        <v>1429</v>
      </c>
      <c r="J22" s="55" t="s">
        <v>1429</v>
      </c>
      <c r="K22" s="56" t="s">
        <v>1429</v>
      </c>
      <c r="L22" s="54" t="s">
        <v>1580</v>
      </c>
      <c r="M22" s="55" t="s">
        <v>1580</v>
      </c>
      <c r="N22" s="55" t="s">
        <v>1429</v>
      </c>
      <c r="O22" s="55" t="s">
        <v>1429</v>
      </c>
      <c r="P22" s="56" t="s">
        <v>1429</v>
      </c>
      <c r="Q22" s="52" t="s">
        <v>114</v>
      </c>
      <c r="R22" s="52" t="s">
        <v>113</v>
      </c>
      <c r="S22" s="52" t="s">
        <v>99</v>
      </c>
      <c r="T22" s="52" t="s">
        <v>100</v>
      </c>
      <c r="U22" s="57" t="s">
        <v>113</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6" t="b">
        <v>1</v>
      </c>
      <c r="AK22" s="176" t="b">
        <v>1</v>
      </c>
      <c r="AL22" s="176" t="b">
        <v>1</v>
      </c>
      <c r="AM22" s="176" t="b">
        <v>1</v>
      </c>
      <c r="AN22" s="176" t="b">
        <v>1</v>
      </c>
      <c r="AO22" s="176" t="b">
        <v>1</v>
      </c>
      <c r="AP22" s="64" t="str">
        <f t="shared" si="4"/>
        <v>VALID</v>
      </c>
      <c r="AQ22" s="211" t="s">
        <v>1488</v>
      </c>
      <c r="AR22" s="182" t="s">
        <v>3501</v>
      </c>
      <c r="AS22" s="181"/>
      <c r="AT22" s="5"/>
      <c r="AU22" s="5"/>
      <c r="AV22" s="200" t="s">
        <v>3502</v>
      </c>
      <c r="AW22" s="181" t="s">
        <v>125</v>
      </c>
      <c r="AX22" s="284"/>
      <c r="AY22" s="181" t="s">
        <v>67</v>
      </c>
      <c r="AZ22" s="181"/>
      <c r="BA22" s="7"/>
      <c r="BB22" s="212"/>
      <c r="BC22" s="10" t="s">
        <v>3682</v>
      </c>
      <c r="BD22" s="238"/>
      <c r="BE22" s="239"/>
      <c r="BF22" s="239"/>
      <c r="BG22" s="239"/>
      <c r="BH22" s="239"/>
      <c r="BI22" s="239"/>
      <c r="BJ22" s="239"/>
      <c r="BK22" s="239"/>
      <c r="BL22" s="239"/>
      <c r="BM22" s="239"/>
      <c r="BN22" s="239"/>
      <c r="BO22" s="239"/>
      <c r="BP22" s="239"/>
      <c r="BQ22" s="239"/>
      <c r="BR22" s="239"/>
      <c r="BS22" s="239"/>
      <c r="BT22" s="239"/>
      <c r="BU22" s="239"/>
      <c r="BV22" s="239"/>
      <c r="BW22" s="239"/>
      <c r="BX22" s="239"/>
      <c r="BY22" s="239"/>
      <c r="BZ22" s="239"/>
      <c r="CA22" s="239"/>
      <c r="CB22" s="239"/>
      <c r="CC22" s="239"/>
      <c r="CD22" s="239"/>
      <c r="CE22" s="239"/>
    </row>
    <row r="23" spans="1:83" ht="12.95" customHeight="1">
      <c r="A23" s="21" t="s">
        <v>3318</v>
      </c>
      <c r="B23" s="21" t="s">
        <v>1877</v>
      </c>
      <c r="C23" s="51" t="s">
        <v>41</v>
      </c>
      <c r="D23" s="52" t="s">
        <v>1589</v>
      </c>
      <c r="E23" s="52" t="s">
        <v>1634</v>
      </c>
      <c r="F23" s="53" t="s">
        <v>164</v>
      </c>
      <c r="G23" s="179"/>
      <c r="H23" s="180" t="s">
        <v>1489</v>
      </c>
      <c r="I23" s="55" t="s">
        <v>1429</v>
      </c>
      <c r="J23" s="55" t="s">
        <v>1429</v>
      </c>
      <c r="K23" s="56" t="s">
        <v>1429</v>
      </c>
      <c r="L23" s="54" t="s">
        <v>1580</v>
      </c>
      <c r="M23" s="55" t="s">
        <v>1580</v>
      </c>
      <c r="N23" s="55" t="s">
        <v>1429</v>
      </c>
      <c r="O23" s="55" t="s">
        <v>1429</v>
      </c>
      <c r="P23" s="56" t="s">
        <v>1429</v>
      </c>
      <c r="Q23" s="52" t="s">
        <v>114</v>
      </c>
      <c r="R23" s="52" t="s">
        <v>113</v>
      </c>
      <c r="S23" s="52" t="s">
        <v>99</v>
      </c>
      <c r="T23" s="52" t="s">
        <v>100</v>
      </c>
      <c r="U23" s="57" t="s">
        <v>113</v>
      </c>
      <c r="V23" s="189"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6" t="b">
        <v>1</v>
      </c>
      <c r="AK23" s="176" t="b">
        <v>1</v>
      </c>
      <c r="AL23" s="176" t="b">
        <v>1</v>
      </c>
      <c r="AM23" s="176" t="b">
        <v>1</v>
      </c>
      <c r="AN23" s="176" t="b">
        <v>1</v>
      </c>
      <c r="AO23" s="176" t="b">
        <v>1</v>
      </c>
      <c r="AP23" s="64" t="str">
        <f t="shared" si="4"/>
        <v>VALID</v>
      </c>
      <c r="AQ23" s="211" t="s">
        <v>1489</v>
      </c>
      <c r="AR23" s="182" t="s">
        <v>3501</v>
      </c>
      <c r="AS23" s="181"/>
      <c r="AT23" s="181" t="s">
        <v>104</v>
      </c>
      <c r="AU23" s="5"/>
      <c r="AV23" s="181" t="s">
        <v>3502</v>
      </c>
      <c r="AW23" s="181" t="s">
        <v>125</v>
      </c>
      <c r="AX23" s="284"/>
      <c r="AY23" s="181" t="s">
        <v>67</v>
      </c>
      <c r="AZ23" s="181"/>
      <c r="BA23" s="7"/>
      <c r="BB23" s="212"/>
      <c r="BC23" s="10" t="s">
        <v>3683</v>
      </c>
      <c r="BD23" s="238"/>
      <c r="BE23" s="239"/>
      <c r="BF23" s="239"/>
      <c r="BG23" s="239"/>
      <c r="BH23" s="239"/>
      <c r="BI23" s="239"/>
      <c r="BJ23" s="239"/>
      <c r="BK23" s="239"/>
      <c r="BL23" s="239"/>
      <c r="BM23" s="239"/>
      <c r="BN23" s="239"/>
      <c r="BO23" s="239"/>
      <c r="BP23" s="239"/>
      <c r="BQ23" s="239"/>
      <c r="BR23" s="239"/>
      <c r="BS23" s="239"/>
      <c r="BT23" s="239"/>
      <c r="BU23" s="239"/>
      <c r="BV23" s="239"/>
      <c r="BW23" s="239"/>
      <c r="BX23" s="239"/>
      <c r="BY23" s="239"/>
      <c r="BZ23" s="239"/>
      <c r="CA23" s="239"/>
      <c r="CB23" s="239"/>
      <c r="CC23" s="239"/>
      <c r="CD23" s="239"/>
      <c r="CE23" s="239"/>
    </row>
    <row r="24" spans="1:83" s="50" customFormat="1" ht="18" customHeight="1">
      <c r="A24" s="44" t="s">
        <v>51</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1"/>
      <c r="AT24" s="241"/>
      <c r="AU24" s="241"/>
      <c r="AV24" s="241"/>
      <c r="AW24" s="241"/>
      <c r="AX24" s="285"/>
      <c r="AY24" s="241"/>
      <c r="AZ24" s="241"/>
      <c r="BA24" s="241"/>
      <c r="BB24" s="168" t="s">
        <v>49</v>
      </c>
      <c r="BC24" s="241"/>
      <c r="BD24" s="242"/>
      <c r="BE24" s="308"/>
      <c r="BF24" s="243"/>
      <c r="BG24" s="243"/>
      <c r="BH24" s="243"/>
      <c r="BI24" s="243"/>
      <c r="BJ24" s="243"/>
      <c r="BK24" s="243"/>
      <c r="BL24" s="243"/>
      <c r="BM24" s="243"/>
      <c r="BN24" s="243"/>
      <c r="BO24" s="243"/>
      <c r="BP24" s="243"/>
      <c r="BQ24" s="243"/>
      <c r="BR24" s="243"/>
      <c r="BS24" s="243"/>
      <c r="BT24" s="243"/>
      <c r="BU24" s="243"/>
      <c r="BV24" s="243"/>
      <c r="BW24" s="243"/>
      <c r="BX24" s="243"/>
      <c r="BY24" s="243"/>
      <c r="BZ24" s="243"/>
      <c r="CA24" s="243"/>
      <c r="CB24" s="243"/>
      <c r="CC24" s="243"/>
      <c r="CD24" s="243"/>
      <c r="CE24" s="243"/>
    </row>
    <row r="25" spans="1:83" ht="12.95" customHeight="1">
      <c r="A25" s="21" t="s">
        <v>3319</v>
      </c>
      <c r="B25" s="21" t="s">
        <v>3602</v>
      </c>
      <c r="C25" s="51" t="s">
        <v>9</v>
      </c>
      <c r="D25" s="52" t="s">
        <v>1637</v>
      </c>
      <c r="E25" s="52" t="s">
        <v>1638</v>
      </c>
      <c r="F25" s="53" t="s">
        <v>740</v>
      </c>
      <c r="G25" s="179" t="s">
        <v>1639</v>
      </c>
      <c r="H25" s="180" t="s">
        <v>1490</v>
      </c>
      <c r="I25" s="55" t="s">
        <v>1429</v>
      </c>
      <c r="J25" s="55" t="s">
        <v>1429</v>
      </c>
      <c r="K25" s="56" t="s">
        <v>1429</v>
      </c>
      <c r="L25" s="54" t="s">
        <v>1580</v>
      </c>
      <c r="M25" s="55" t="s">
        <v>1580</v>
      </c>
      <c r="N25" s="55" t="s">
        <v>1429</v>
      </c>
      <c r="O25" s="55" t="s">
        <v>1429</v>
      </c>
      <c r="P25" s="56" t="s">
        <v>1429</v>
      </c>
      <c r="Q25" s="52" t="s">
        <v>106</v>
      </c>
      <c r="R25" s="52" t="s">
        <v>113</v>
      </c>
      <c r="S25" s="52" t="s">
        <v>99</v>
      </c>
      <c r="T25" s="52" t="s">
        <v>100</v>
      </c>
      <c r="U25" s="105" t="s">
        <v>113</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I2S1</v>
      </c>
      <c r="AE25" s="60"/>
      <c r="AF25" s="61" t="str">
        <f t="shared" ref="AF25:AF80" si="7">IF(AND(OR($AS25="Int PU",$AS25="Int PD"),OR(AND($AY25&lt;&gt;"",$AY25&lt;&gt;"0"),AND($AZ25&lt;&gt;"",$AZ25&lt;&gt;"0"))),"INVALID",IF(OR($AQ25=$F25,$AS25="Int PD"),"PULL_DOWN",IF(OR($AS25="Int PU",AND($AE25="YES",OR($AY25="",$AY25="0"),OR($AZ25="",$AZ25="0"),OR($AR25="Input",$AR25="Bidirectional"))),"PULL_UP","NORMAL")))</f>
        <v>NORMAL</v>
      </c>
      <c r="AG25" s="61" t="str">
        <f t="shared" si="5"/>
        <v>NORMAL</v>
      </c>
      <c r="AH25" s="62" t="str">
        <f t="shared" ref="AH25:AH80" si="8">IF(OR($AQ25=$F25,$AR25="Output"),"DISABLE","ENABLE")</f>
        <v>DISABLE</v>
      </c>
      <c r="AI25" s="63" t="str">
        <f>IF($AQ25&lt;&gt;$G25,"N/A",IF($AS25="Drive 1", "1", IF($AS25="Drive 0", "0", "")))</f>
        <v>N/A</v>
      </c>
      <c r="AJ25" s="176" t="b">
        <v>1</v>
      </c>
      <c r="AK25" s="176" t="b">
        <v>1</v>
      </c>
      <c r="AL25" s="176" t="b">
        <v>1</v>
      </c>
      <c r="AM25" s="176" t="b">
        <v>1</v>
      </c>
      <c r="AN25" s="176" t="b">
        <v>1</v>
      </c>
      <c r="AO25" s="176" t="b">
        <v>1</v>
      </c>
      <c r="AP25" s="64" t="str">
        <f t="shared" ref="AP25:AP33" si="9">IF(AND($AJ25:$AO25), "VALID", "INVALID")</f>
        <v>VALID</v>
      </c>
      <c r="AQ25" s="213" t="s">
        <v>1490</v>
      </c>
      <c r="AR25" s="3" t="s">
        <v>3495</v>
      </c>
      <c r="AS25" s="181"/>
      <c r="AT25" s="214"/>
      <c r="AU25" s="214"/>
      <c r="AV25" s="214"/>
      <c r="AW25" s="181" t="s">
        <v>125</v>
      </c>
      <c r="AX25" s="286"/>
      <c r="AY25" s="4"/>
      <c r="AZ25" s="4"/>
      <c r="BA25" s="12"/>
      <c r="BB25" s="216"/>
      <c r="BC25" s="15" t="s">
        <v>3684</v>
      </c>
      <c r="BD25" s="238"/>
      <c r="BE25" s="239"/>
      <c r="BF25" s="239"/>
      <c r="BG25" s="239"/>
      <c r="BH25" s="239"/>
      <c r="BI25" s="239"/>
      <c r="BJ25" s="239"/>
      <c r="BK25" s="239"/>
      <c r="BL25" s="239"/>
      <c r="BM25" s="239"/>
      <c r="BN25" s="239"/>
      <c r="BO25" s="239"/>
      <c r="BP25" s="239"/>
      <c r="BQ25" s="239"/>
      <c r="BR25" s="239"/>
      <c r="BS25" s="239"/>
      <c r="BT25" s="239"/>
      <c r="BU25" s="239"/>
      <c r="BV25" s="239"/>
      <c r="BW25" s="239"/>
      <c r="BX25" s="239"/>
      <c r="BY25" s="239"/>
      <c r="BZ25" s="239"/>
      <c r="CA25" s="239"/>
      <c r="CB25" s="239"/>
      <c r="CC25" s="239"/>
      <c r="CD25" s="239"/>
      <c r="CE25" s="239"/>
    </row>
    <row r="26" spans="1:83" ht="12.95" customHeight="1">
      <c r="A26" s="21" t="s">
        <v>3322</v>
      </c>
      <c r="B26" s="21" t="s">
        <v>2255</v>
      </c>
      <c r="C26" s="51" t="s">
        <v>7</v>
      </c>
      <c r="D26" s="52" t="s">
        <v>1642</v>
      </c>
      <c r="E26" s="52" t="s">
        <v>1643</v>
      </c>
      <c r="F26" s="53" t="s">
        <v>103</v>
      </c>
      <c r="G26" s="179" t="s">
        <v>1644</v>
      </c>
      <c r="H26" s="180" t="s">
        <v>1491</v>
      </c>
      <c r="I26" s="55" t="s">
        <v>1429</v>
      </c>
      <c r="J26" s="55" t="s">
        <v>1429</v>
      </c>
      <c r="K26" s="56" t="s">
        <v>1429</v>
      </c>
      <c r="L26" s="54" t="s">
        <v>1580</v>
      </c>
      <c r="M26" s="55" t="s">
        <v>1580</v>
      </c>
      <c r="N26" s="55" t="s">
        <v>1429</v>
      </c>
      <c r="O26" s="55" t="s">
        <v>1429</v>
      </c>
      <c r="P26" s="56" t="s">
        <v>1429</v>
      </c>
      <c r="Q26" s="52" t="s">
        <v>106</v>
      </c>
      <c r="R26" s="52" t="s">
        <v>113</v>
      </c>
      <c r="S26" s="52" t="s">
        <v>99</v>
      </c>
      <c r="T26" s="52" t="s">
        <v>100</v>
      </c>
      <c r="U26" s="57" t="s">
        <v>113</v>
      </c>
      <c r="V26" s="146" t="s">
        <v>1645</v>
      </c>
      <c r="W26" s="51" t="s">
        <v>1641</v>
      </c>
      <c r="X26" s="130" t="s">
        <v>1429</v>
      </c>
      <c r="Y26" s="130" t="s">
        <v>1429</v>
      </c>
      <c r="Z26" s="51" t="s">
        <v>1585</v>
      </c>
      <c r="AA26" s="51" t="s">
        <v>1586</v>
      </c>
      <c r="AB26" s="51" t="s">
        <v>1435</v>
      </c>
      <c r="AC26" s="51" t="s">
        <v>1587</v>
      </c>
      <c r="AD26" s="59" t="str">
        <f t="shared" si="6"/>
        <v>I2S1</v>
      </c>
      <c r="AE26" s="66"/>
      <c r="AF26" s="61" t="str">
        <f t="shared" si="7"/>
        <v>NORMAL</v>
      </c>
      <c r="AG26" s="61" t="str">
        <f t="shared" si="5"/>
        <v>NORMAL</v>
      </c>
      <c r="AH26" s="61" t="str">
        <f t="shared" si="8"/>
        <v>DISABLE</v>
      </c>
      <c r="AI26" s="67" t="str">
        <f t="shared" ref="AI26:AI87" si="10">IF($AQ26&lt;&gt;$G26,"N/A",IF($AS26="Drive 1", "1", IF($AS26="Drive 0", "0", "")))</f>
        <v>N/A</v>
      </c>
      <c r="AJ26" s="176" t="b">
        <v>1</v>
      </c>
      <c r="AK26" s="176" t="b">
        <v>1</v>
      </c>
      <c r="AL26" s="176" t="b">
        <v>1</v>
      </c>
      <c r="AM26" s="176" t="b">
        <v>1</v>
      </c>
      <c r="AN26" s="176" t="b">
        <v>1</v>
      </c>
      <c r="AO26" s="176" t="b">
        <v>1</v>
      </c>
      <c r="AP26" s="64" t="str">
        <f t="shared" si="9"/>
        <v>VALID</v>
      </c>
      <c r="AQ26" s="211" t="s">
        <v>1491</v>
      </c>
      <c r="AR26" s="182" t="s">
        <v>3495</v>
      </c>
      <c r="AS26" s="181"/>
      <c r="AT26" s="5"/>
      <c r="AU26" s="5"/>
      <c r="AV26" s="5"/>
      <c r="AW26" s="181" t="s">
        <v>125</v>
      </c>
      <c r="AX26" s="284"/>
      <c r="AY26" s="181"/>
      <c r="AZ26" s="181"/>
      <c r="BA26" s="7"/>
      <c r="BB26" s="212"/>
      <c r="BC26" s="10" t="s">
        <v>3685</v>
      </c>
      <c r="BD26" s="238"/>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row>
    <row r="27" spans="1:83" ht="12.95" customHeight="1">
      <c r="A27" s="21" t="s">
        <v>3321</v>
      </c>
      <c r="B27" s="21" t="s">
        <v>3601</v>
      </c>
      <c r="C27" s="51" t="s">
        <v>6</v>
      </c>
      <c r="D27" s="52" t="s">
        <v>1646</v>
      </c>
      <c r="E27" s="52" t="s">
        <v>1647</v>
      </c>
      <c r="F27" s="53" t="s">
        <v>102</v>
      </c>
      <c r="G27" s="179" t="s">
        <v>1648</v>
      </c>
      <c r="H27" s="180" t="s">
        <v>1492</v>
      </c>
      <c r="I27" s="55" t="s">
        <v>1429</v>
      </c>
      <c r="J27" s="55" t="s">
        <v>1429</v>
      </c>
      <c r="K27" s="56" t="s">
        <v>1429</v>
      </c>
      <c r="L27" s="54" t="s">
        <v>1580</v>
      </c>
      <c r="M27" s="55" t="s">
        <v>1590</v>
      </c>
      <c r="N27" s="55" t="s">
        <v>1429</v>
      </c>
      <c r="O27" s="55" t="s">
        <v>1429</v>
      </c>
      <c r="P27" s="56" t="s">
        <v>1429</v>
      </c>
      <c r="Q27" s="52" t="s">
        <v>106</v>
      </c>
      <c r="R27" s="52" t="s">
        <v>113</v>
      </c>
      <c r="S27" s="52" t="s">
        <v>99</v>
      </c>
      <c r="T27" s="52" t="s">
        <v>100</v>
      </c>
      <c r="U27" s="57" t="s">
        <v>113</v>
      </c>
      <c r="V27" s="146" t="s">
        <v>1649</v>
      </c>
      <c r="W27" s="51" t="s">
        <v>1641</v>
      </c>
      <c r="X27" s="130" t="s">
        <v>1429</v>
      </c>
      <c r="Y27" s="130" t="s">
        <v>1429</v>
      </c>
      <c r="Z27" s="51" t="s">
        <v>1585</v>
      </c>
      <c r="AA27" s="51" t="s">
        <v>1586</v>
      </c>
      <c r="AB27" s="51" t="s">
        <v>1435</v>
      </c>
      <c r="AC27" s="51" t="s">
        <v>1587</v>
      </c>
      <c r="AD27" s="59" t="str">
        <f t="shared" si="6"/>
        <v>I2S1</v>
      </c>
      <c r="AE27" s="66"/>
      <c r="AF27" s="61" t="str">
        <f t="shared" si="7"/>
        <v>PULL_UP</v>
      </c>
      <c r="AG27" s="61" t="str">
        <f t="shared" si="5"/>
        <v>TRISTATE</v>
      </c>
      <c r="AH27" s="61" t="str">
        <f t="shared" si="8"/>
        <v>ENABLE</v>
      </c>
      <c r="AI27" s="67" t="str">
        <f t="shared" si="10"/>
        <v>N/A</v>
      </c>
      <c r="AJ27" s="176" t="b">
        <v>1</v>
      </c>
      <c r="AK27" s="176" t="b">
        <v>1</v>
      </c>
      <c r="AL27" s="176" t="b">
        <v>1</v>
      </c>
      <c r="AM27" s="176" t="b">
        <v>1</v>
      </c>
      <c r="AN27" s="176" t="b">
        <v>1</v>
      </c>
      <c r="AO27" s="176" t="b">
        <v>1</v>
      </c>
      <c r="AP27" s="64" t="str">
        <f t="shared" si="9"/>
        <v>VALID</v>
      </c>
      <c r="AQ27" s="211" t="s">
        <v>1492</v>
      </c>
      <c r="AR27" s="182" t="s">
        <v>3496</v>
      </c>
      <c r="AS27" s="181" t="s">
        <v>3497</v>
      </c>
      <c r="AT27" s="5"/>
      <c r="AU27" s="5"/>
      <c r="AV27" s="5"/>
      <c r="AW27" s="181" t="s">
        <v>125</v>
      </c>
      <c r="AX27" s="284"/>
      <c r="AY27" s="181"/>
      <c r="AZ27" s="181"/>
      <c r="BA27" s="7"/>
      <c r="BB27" s="212"/>
      <c r="BC27" s="10" t="s">
        <v>3686</v>
      </c>
      <c r="BD27" s="238"/>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row>
    <row r="28" spans="1:83" ht="12.95" customHeight="1">
      <c r="A28" s="21" t="s">
        <v>3320</v>
      </c>
      <c r="B28" s="21" t="s">
        <v>2252</v>
      </c>
      <c r="C28" s="51" t="s">
        <v>8</v>
      </c>
      <c r="D28" s="52" t="s">
        <v>1650</v>
      </c>
      <c r="E28" s="52" t="s">
        <v>1651</v>
      </c>
      <c r="F28" s="53" t="s">
        <v>105</v>
      </c>
      <c r="G28" s="179" t="s">
        <v>1652</v>
      </c>
      <c r="H28" s="180" t="s">
        <v>1493</v>
      </c>
      <c r="I28" s="55" t="s">
        <v>1429</v>
      </c>
      <c r="J28" s="55" t="s">
        <v>1429</v>
      </c>
      <c r="K28" s="56" t="s">
        <v>1429</v>
      </c>
      <c r="L28" s="54" t="s">
        <v>1580</v>
      </c>
      <c r="M28" s="55" t="s">
        <v>1580</v>
      </c>
      <c r="N28" s="55" t="s">
        <v>1429</v>
      </c>
      <c r="O28" s="55" t="s">
        <v>1429</v>
      </c>
      <c r="P28" s="56" t="s">
        <v>1429</v>
      </c>
      <c r="Q28" s="52" t="s">
        <v>106</v>
      </c>
      <c r="R28" s="52" t="s">
        <v>113</v>
      </c>
      <c r="S28" s="52" t="s">
        <v>99</v>
      </c>
      <c r="T28" s="52" t="s">
        <v>100</v>
      </c>
      <c r="U28" s="57" t="s">
        <v>113</v>
      </c>
      <c r="V28" s="146" t="s">
        <v>1653</v>
      </c>
      <c r="W28" s="51" t="s">
        <v>1641</v>
      </c>
      <c r="X28" s="130" t="s">
        <v>1429</v>
      </c>
      <c r="Y28" s="130" t="s">
        <v>1429</v>
      </c>
      <c r="Z28" s="51" t="s">
        <v>1585</v>
      </c>
      <c r="AA28" s="51" t="s">
        <v>1586</v>
      </c>
      <c r="AB28" s="51" t="s">
        <v>1435</v>
      </c>
      <c r="AC28" s="51" t="s">
        <v>1587</v>
      </c>
      <c r="AD28" s="59" t="str">
        <f t="shared" si="6"/>
        <v>I2S1</v>
      </c>
      <c r="AE28" s="66"/>
      <c r="AF28" s="61" t="str">
        <f t="shared" si="7"/>
        <v>NORMAL</v>
      </c>
      <c r="AG28" s="61" t="str">
        <f t="shared" si="5"/>
        <v>NORMAL</v>
      </c>
      <c r="AH28" s="61" t="str">
        <f t="shared" si="8"/>
        <v>DISABLE</v>
      </c>
      <c r="AI28" s="67" t="str">
        <f t="shared" si="10"/>
        <v>N/A</v>
      </c>
      <c r="AJ28" s="176" t="b">
        <v>1</v>
      </c>
      <c r="AK28" s="176" t="b">
        <v>1</v>
      </c>
      <c r="AL28" s="176" t="b">
        <v>1</v>
      </c>
      <c r="AM28" s="176" t="b">
        <v>1</v>
      </c>
      <c r="AN28" s="176" t="b">
        <v>1</v>
      </c>
      <c r="AO28" s="176" t="b">
        <v>1</v>
      </c>
      <c r="AP28" s="64" t="str">
        <f t="shared" si="9"/>
        <v>VALID</v>
      </c>
      <c r="AQ28" s="211" t="s">
        <v>1493</v>
      </c>
      <c r="AR28" s="182" t="s">
        <v>3495</v>
      </c>
      <c r="AS28" s="181"/>
      <c r="AT28" s="5"/>
      <c r="AU28" s="5"/>
      <c r="AV28" s="5"/>
      <c r="AW28" s="181" t="s">
        <v>125</v>
      </c>
      <c r="AX28" s="284"/>
      <c r="AY28" s="181"/>
      <c r="AZ28" s="181"/>
      <c r="BA28" s="7"/>
      <c r="BB28" s="212"/>
      <c r="BC28" s="10" t="s">
        <v>3687</v>
      </c>
      <c r="BD28" s="238"/>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row>
    <row r="29" spans="1:83" ht="12.95" customHeight="1">
      <c r="A29" s="21" t="s">
        <v>1386</v>
      </c>
      <c r="B29" s="21" t="s">
        <v>82</v>
      </c>
      <c r="C29" s="51" t="s">
        <v>276</v>
      </c>
      <c r="D29" s="52" t="s">
        <v>1654</v>
      </c>
      <c r="E29" s="52" t="s">
        <v>1655</v>
      </c>
      <c r="F29" s="53" t="s">
        <v>762</v>
      </c>
      <c r="G29" s="179" t="s">
        <v>1656</v>
      </c>
      <c r="H29" s="180" t="s">
        <v>276</v>
      </c>
      <c r="I29" s="55" t="s">
        <v>1429</v>
      </c>
      <c r="J29" s="55" t="s">
        <v>1429</v>
      </c>
      <c r="K29" s="56" t="s">
        <v>1429</v>
      </c>
      <c r="L29" s="54" t="s">
        <v>1580</v>
      </c>
      <c r="M29" s="55" t="s">
        <v>1581</v>
      </c>
      <c r="N29" s="55" t="s">
        <v>1429</v>
      </c>
      <c r="O29" s="55" t="s">
        <v>1429</v>
      </c>
      <c r="P29" s="56" t="s">
        <v>1429</v>
      </c>
      <c r="Q29" s="52" t="s">
        <v>741</v>
      </c>
      <c r="R29" s="52" t="s">
        <v>113</v>
      </c>
      <c r="S29" s="52" t="s">
        <v>99</v>
      </c>
      <c r="T29" s="52" t="s">
        <v>100</v>
      </c>
      <c r="U29" s="57" t="s">
        <v>113</v>
      </c>
      <c r="V29" s="146" t="s">
        <v>1657</v>
      </c>
      <c r="W29" s="51" t="s">
        <v>1641</v>
      </c>
      <c r="X29" s="130" t="s">
        <v>1429</v>
      </c>
      <c r="Y29" s="130" t="s">
        <v>1429</v>
      </c>
      <c r="Z29" s="51" t="s">
        <v>1585</v>
      </c>
      <c r="AA29" s="51" t="s">
        <v>1586</v>
      </c>
      <c r="AB29" s="51" t="s">
        <v>1435</v>
      </c>
      <c r="AC29" s="51" t="s">
        <v>1587</v>
      </c>
      <c r="AD29" s="59" t="str">
        <f t="shared" si="6"/>
        <v>AUD</v>
      </c>
      <c r="AE29" s="66"/>
      <c r="AF29" s="61" t="str">
        <f t="shared" si="7"/>
        <v>NORMAL</v>
      </c>
      <c r="AG29" s="61" t="str">
        <f t="shared" si="5"/>
        <v>NORMAL</v>
      </c>
      <c r="AH29" s="61" t="str">
        <f t="shared" si="8"/>
        <v>DISABLE</v>
      </c>
      <c r="AI29" s="67" t="str">
        <f t="shared" si="10"/>
        <v>N/A</v>
      </c>
      <c r="AJ29" s="176" t="b">
        <v>1</v>
      </c>
      <c r="AK29" s="176" t="b">
        <v>1</v>
      </c>
      <c r="AL29" s="176" t="b">
        <v>1</v>
      </c>
      <c r="AM29" s="176" t="b">
        <v>1</v>
      </c>
      <c r="AN29" s="176" t="b">
        <v>1</v>
      </c>
      <c r="AO29" s="176" t="b">
        <v>1</v>
      </c>
      <c r="AP29" s="64" t="str">
        <f t="shared" si="9"/>
        <v>VALID</v>
      </c>
      <c r="AQ29" s="211" t="s">
        <v>276</v>
      </c>
      <c r="AR29" s="182" t="s">
        <v>3495</v>
      </c>
      <c r="AS29" s="181"/>
      <c r="AT29" s="5"/>
      <c r="AU29" s="5"/>
      <c r="AV29" s="5"/>
      <c r="AW29" s="181" t="s">
        <v>125</v>
      </c>
      <c r="AX29" s="284"/>
      <c r="AY29" s="181"/>
      <c r="AZ29" s="181"/>
      <c r="BA29" s="7"/>
      <c r="BB29" s="212"/>
      <c r="BC29" s="10" t="s">
        <v>3688</v>
      </c>
      <c r="BD29" s="238"/>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row>
    <row r="30" spans="1:83" ht="12.95" customHeight="1">
      <c r="A30" s="21" t="s">
        <v>3797</v>
      </c>
      <c r="B30" s="21" t="s">
        <v>2265</v>
      </c>
      <c r="C30" s="51" t="s">
        <v>916</v>
      </c>
      <c r="D30" s="52" t="s">
        <v>1658</v>
      </c>
      <c r="E30" s="52" t="s">
        <v>1659</v>
      </c>
      <c r="F30" s="53" t="s">
        <v>1209</v>
      </c>
      <c r="G30" s="179" t="s">
        <v>1494</v>
      </c>
      <c r="H30" s="180" t="s">
        <v>1429</v>
      </c>
      <c r="I30" s="55" t="s">
        <v>1429</v>
      </c>
      <c r="J30" s="55" t="s">
        <v>1429</v>
      </c>
      <c r="K30" s="56" t="s">
        <v>1429</v>
      </c>
      <c r="L30" s="54" t="s">
        <v>1580</v>
      </c>
      <c r="M30" s="55" t="s">
        <v>1429</v>
      </c>
      <c r="N30" s="55" t="s">
        <v>1429</v>
      </c>
      <c r="O30" s="55" t="s">
        <v>1429</v>
      </c>
      <c r="P30" s="56" t="s">
        <v>1429</v>
      </c>
      <c r="Q30" s="52" t="s">
        <v>755</v>
      </c>
      <c r="R30" s="52" t="s">
        <v>113</v>
      </c>
      <c r="S30" s="52" t="s">
        <v>99</v>
      </c>
      <c r="T30" s="52" t="s">
        <v>100</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PULL_UP</v>
      </c>
      <c r="AG30" s="61" t="str">
        <f t="shared" si="5"/>
        <v>TRISTATE</v>
      </c>
      <c r="AH30" s="61" t="str">
        <f t="shared" si="8"/>
        <v>ENABLE</v>
      </c>
      <c r="AI30" s="67" t="str">
        <f t="shared" si="10"/>
        <v/>
      </c>
      <c r="AJ30" s="176" t="b">
        <v>1</v>
      </c>
      <c r="AK30" s="176" t="b">
        <v>1</v>
      </c>
      <c r="AL30" s="176" t="b">
        <v>1</v>
      </c>
      <c r="AM30" s="176" t="b">
        <v>1</v>
      </c>
      <c r="AN30" s="176" t="b">
        <v>1</v>
      </c>
      <c r="AO30" s="176" t="b">
        <v>1</v>
      </c>
      <c r="AP30" s="64" t="str">
        <f t="shared" si="9"/>
        <v>VALID</v>
      </c>
      <c r="AQ30" s="211" t="s">
        <v>1494</v>
      </c>
      <c r="AR30" s="182" t="s">
        <v>3496</v>
      </c>
      <c r="AS30" s="181" t="s">
        <v>3497</v>
      </c>
      <c r="AT30" s="181" t="s">
        <v>3499</v>
      </c>
      <c r="AU30" s="5"/>
      <c r="AV30" s="5"/>
      <c r="AW30" s="181" t="s">
        <v>125</v>
      </c>
      <c r="AX30" s="284"/>
      <c r="AY30" s="181"/>
      <c r="AZ30" s="181"/>
      <c r="BA30" s="7"/>
      <c r="BB30" s="212"/>
      <c r="BC30" s="10" t="s">
        <v>3689</v>
      </c>
      <c r="BD30" s="240"/>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row>
    <row r="31" spans="1:83" ht="12.95" customHeight="1">
      <c r="A31" s="21" t="s">
        <v>3798</v>
      </c>
      <c r="B31" s="21" t="s">
        <v>83</v>
      </c>
      <c r="C31" s="51" t="s">
        <v>917</v>
      </c>
      <c r="D31" s="52" t="s">
        <v>1643</v>
      </c>
      <c r="E31" s="52" t="s">
        <v>1662</v>
      </c>
      <c r="F31" s="53" t="s">
        <v>1210</v>
      </c>
      <c r="G31" s="179" t="s">
        <v>1495</v>
      </c>
      <c r="H31" s="180" t="s">
        <v>1429</v>
      </c>
      <c r="I31" s="55" t="s">
        <v>1429</v>
      </c>
      <c r="J31" s="55" t="s">
        <v>1429</v>
      </c>
      <c r="K31" s="56" t="s">
        <v>1429</v>
      </c>
      <c r="L31" s="54" t="s">
        <v>1580</v>
      </c>
      <c r="M31" s="55" t="s">
        <v>1429</v>
      </c>
      <c r="N31" s="55" t="s">
        <v>1429</v>
      </c>
      <c r="O31" s="55" t="s">
        <v>1429</v>
      </c>
      <c r="P31" s="56" t="s">
        <v>1429</v>
      </c>
      <c r="Q31" s="52" t="s">
        <v>755</v>
      </c>
      <c r="R31" s="52" t="s">
        <v>113</v>
      </c>
      <c r="S31" s="52" t="s">
        <v>99</v>
      </c>
      <c r="T31" s="52" t="s">
        <v>100</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NORMAL</v>
      </c>
      <c r="AG31" s="61" t="str">
        <f t="shared" si="5"/>
        <v>NORMAL</v>
      </c>
      <c r="AH31" s="61" t="str">
        <f t="shared" si="8"/>
        <v>DISABLE</v>
      </c>
      <c r="AI31" s="67" t="str">
        <f t="shared" si="10"/>
        <v>0</v>
      </c>
      <c r="AJ31" s="176" t="b">
        <v>1</v>
      </c>
      <c r="AK31" s="176" t="b">
        <v>1</v>
      </c>
      <c r="AL31" s="176" t="b">
        <v>1</v>
      </c>
      <c r="AM31" s="176" t="b">
        <v>1</v>
      </c>
      <c r="AN31" s="176" t="b">
        <v>1</v>
      </c>
      <c r="AO31" s="176" t="b">
        <v>1</v>
      </c>
      <c r="AP31" s="64" t="str">
        <f t="shared" si="9"/>
        <v>VALID</v>
      </c>
      <c r="AQ31" s="211" t="s">
        <v>1495</v>
      </c>
      <c r="AR31" s="182" t="s">
        <v>3495</v>
      </c>
      <c r="AS31" s="181" t="s">
        <v>3500</v>
      </c>
      <c r="AT31" s="181" t="s">
        <v>104</v>
      </c>
      <c r="AU31" s="5"/>
      <c r="AV31" s="5"/>
      <c r="AW31" s="181" t="s">
        <v>125</v>
      </c>
      <c r="AX31" s="284"/>
      <c r="AY31" s="181"/>
      <c r="AZ31" s="181"/>
      <c r="BA31" s="7"/>
      <c r="BB31" s="212"/>
      <c r="BC31" s="10" t="s">
        <v>3510</v>
      </c>
      <c r="BD31" s="240"/>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row>
    <row r="32" spans="1:83" ht="12.95" customHeight="1">
      <c r="A32" s="21" t="s">
        <v>3324</v>
      </c>
      <c r="B32" s="21" t="s">
        <v>2236</v>
      </c>
      <c r="C32" s="51" t="s">
        <v>918</v>
      </c>
      <c r="D32" s="52" t="s">
        <v>1665</v>
      </c>
      <c r="E32" s="52" t="s">
        <v>1665</v>
      </c>
      <c r="F32" s="53" t="s">
        <v>1211</v>
      </c>
      <c r="G32" s="179" t="s">
        <v>1496</v>
      </c>
      <c r="H32" s="180" t="s">
        <v>1429</v>
      </c>
      <c r="I32" s="55" t="s">
        <v>1387</v>
      </c>
      <c r="J32" s="55" t="s">
        <v>1666</v>
      </c>
      <c r="K32" s="56" t="s">
        <v>1429</v>
      </c>
      <c r="L32" s="54" t="s">
        <v>1580</v>
      </c>
      <c r="M32" s="55" t="s">
        <v>1429</v>
      </c>
      <c r="N32" s="55" t="s">
        <v>1581</v>
      </c>
      <c r="O32" s="55" t="s">
        <v>1590</v>
      </c>
      <c r="P32" s="56" t="s">
        <v>1429</v>
      </c>
      <c r="Q32" s="52" t="s">
        <v>755</v>
      </c>
      <c r="R32" s="52" t="s">
        <v>1353</v>
      </c>
      <c r="S32" s="52" t="s">
        <v>136</v>
      </c>
      <c r="T32" s="52" t="s">
        <v>100</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6" t="b">
        <v>1</v>
      </c>
      <c r="AK32" s="176" t="b">
        <v>1</v>
      </c>
      <c r="AL32" s="176" t="b">
        <v>1</v>
      </c>
      <c r="AM32" s="176" t="b">
        <v>1</v>
      </c>
      <c r="AN32" s="176" t="b">
        <v>1</v>
      </c>
      <c r="AO32" s="176" t="b">
        <v>1</v>
      </c>
      <c r="AP32" s="64" t="str">
        <f t="shared" si="9"/>
        <v>VALID</v>
      </c>
      <c r="AQ32" s="211" t="s">
        <v>1387</v>
      </c>
      <c r="AR32" s="182" t="s">
        <v>3495</v>
      </c>
      <c r="AS32" s="181"/>
      <c r="AT32" s="181" t="s">
        <v>104</v>
      </c>
      <c r="AU32" s="5"/>
      <c r="AV32" s="5"/>
      <c r="AW32" s="181" t="s">
        <v>125</v>
      </c>
      <c r="AX32" s="284"/>
      <c r="AY32" s="181"/>
      <c r="AZ32" s="181"/>
      <c r="BA32" s="7"/>
      <c r="BB32" s="212"/>
      <c r="BC32" s="10" t="s">
        <v>3690</v>
      </c>
      <c r="BD32" s="238"/>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row>
    <row r="33" spans="1:83" ht="12.95" customHeight="1">
      <c r="A33" s="21" t="s">
        <v>3323</v>
      </c>
      <c r="B33" s="21" t="s">
        <v>2245</v>
      </c>
      <c r="C33" s="51" t="s">
        <v>919</v>
      </c>
      <c r="D33" s="52" t="s">
        <v>1669</v>
      </c>
      <c r="E33" s="52" t="s">
        <v>1670</v>
      </c>
      <c r="F33" s="53" t="s">
        <v>1212</v>
      </c>
      <c r="G33" s="179" t="s">
        <v>1497</v>
      </c>
      <c r="H33" s="180" t="s">
        <v>1429</v>
      </c>
      <c r="I33" s="55" t="s">
        <v>1388</v>
      </c>
      <c r="J33" s="55" t="s">
        <v>1671</v>
      </c>
      <c r="K33" s="56" t="s">
        <v>1429</v>
      </c>
      <c r="L33" s="54" t="s">
        <v>1580</v>
      </c>
      <c r="M33" s="55" t="s">
        <v>1429</v>
      </c>
      <c r="N33" s="55" t="s">
        <v>1581</v>
      </c>
      <c r="O33" s="55" t="s">
        <v>1581</v>
      </c>
      <c r="P33" s="56" t="s">
        <v>1429</v>
      </c>
      <c r="Q33" s="52" t="s">
        <v>755</v>
      </c>
      <c r="R33" s="52" t="s">
        <v>1353</v>
      </c>
      <c r="S33" s="52" t="s">
        <v>136</v>
      </c>
      <c r="T33" s="52" t="s">
        <v>100</v>
      </c>
      <c r="U33" s="57" t="s">
        <v>755</v>
      </c>
      <c r="V33" s="189"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6" t="b">
        <v>1</v>
      </c>
      <c r="AK33" s="176" t="b">
        <v>1</v>
      </c>
      <c r="AL33" s="176" t="b">
        <v>1</v>
      </c>
      <c r="AM33" s="176" t="b">
        <v>1</v>
      </c>
      <c r="AN33" s="176" t="b">
        <v>1</v>
      </c>
      <c r="AO33" s="176" t="b">
        <v>1</v>
      </c>
      <c r="AP33" s="64" t="str">
        <f t="shared" si="9"/>
        <v>VALID</v>
      </c>
      <c r="AQ33" s="211" t="s">
        <v>1388</v>
      </c>
      <c r="AR33" s="182" t="s">
        <v>3495</v>
      </c>
      <c r="AS33" s="181"/>
      <c r="AT33" s="181" t="s">
        <v>104</v>
      </c>
      <c r="AU33" s="5"/>
      <c r="AV33" s="5"/>
      <c r="AW33" s="181" t="s">
        <v>125</v>
      </c>
      <c r="AX33" s="284"/>
      <c r="AY33" s="181"/>
      <c r="AZ33" s="181"/>
      <c r="BA33" s="7"/>
      <c r="BB33" s="212"/>
      <c r="BC33" s="10" t="s">
        <v>3691</v>
      </c>
      <c r="BD33" s="238"/>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row>
    <row r="34" spans="1:83" s="50" customFormat="1" ht="18" customHeight="1">
      <c r="A34" s="170" t="s">
        <v>318</v>
      </c>
      <c r="B34" s="170"/>
      <c r="C34" s="170"/>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1"/>
      <c r="AT34" s="241"/>
      <c r="AU34" s="241"/>
      <c r="AV34" s="241"/>
      <c r="AW34" s="241"/>
      <c r="AX34" s="285"/>
      <c r="AY34" s="241"/>
      <c r="AZ34" s="241"/>
      <c r="BA34" s="241"/>
      <c r="BB34" s="168" t="s">
        <v>49</v>
      </c>
      <c r="BC34" s="244"/>
      <c r="BD34" s="245"/>
      <c r="BE34" s="308"/>
      <c r="BF34" s="243"/>
      <c r="BG34" s="243"/>
      <c r="BH34" s="243"/>
      <c r="BI34" s="243"/>
      <c r="BJ34" s="243"/>
      <c r="BK34" s="243"/>
      <c r="BL34" s="243"/>
      <c r="BM34" s="243"/>
      <c r="BN34" s="243"/>
      <c r="BO34" s="243"/>
      <c r="BP34" s="243"/>
      <c r="BQ34" s="243"/>
      <c r="BR34" s="243"/>
      <c r="BS34" s="243"/>
      <c r="BT34" s="243"/>
      <c r="BU34" s="243"/>
      <c r="BV34" s="243"/>
      <c r="BW34" s="243"/>
      <c r="BX34" s="243"/>
      <c r="BY34" s="243"/>
      <c r="BZ34" s="243"/>
      <c r="CA34" s="243"/>
      <c r="CB34" s="243"/>
      <c r="CC34" s="243"/>
      <c r="CD34" s="243"/>
      <c r="CE34" s="243"/>
    </row>
    <row r="35" spans="1:83" ht="12.95" customHeight="1">
      <c r="A35" s="21" t="s">
        <v>3327</v>
      </c>
      <c r="B35" s="21" t="s">
        <v>2242</v>
      </c>
      <c r="C35" s="51" t="s">
        <v>296</v>
      </c>
      <c r="D35" s="52" t="s">
        <v>1675</v>
      </c>
      <c r="E35" s="52" t="s">
        <v>1642</v>
      </c>
      <c r="F35" s="53" t="s">
        <v>518</v>
      </c>
      <c r="G35" s="179"/>
      <c r="H35" s="180"/>
      <c r="I35" s="55" t="s">
        <v>1390</v>
      </c>
      <c r="J35" s="55" t="s">
        <v>1429</v>
      </c>
      <c r="K35" s="56" t="s">
        <v>1429</v>
      </c>
      <c r="L35" s="54" t="s">
        <v>1580</v>
      </c>
      <c r="M35" s="55" t="s">
        <v>1581</v>
      </c>
      <c r="N35" s="55" t="s">
        <v>1580</v>
      </c>
      <c r="O35" s="55" t="s">
        <v>1429</v>
      </c>
      <c r="P35" s="56" t="s">
        <v>1429</v>
      </c>
      <c r="Q35" s="52" t="s">
        <v>742</v>
      </c>
      <c r="R35" s="52" t="s">
        <v>158</v>
      </c>
      <c r="S35" s="52" t="s">
        <v>99</v>
      </c>
      <c r="T35" s="52" t="s">
        <v>100</v>
      </c>
      <c r="U35" s="57" t="s">
        <v>99</v>
      </c>
      <c r="V35" s="145" t="s">
        <v>1676</v>
      </c>
      <c r="W35" s="51" t="s">
        <v>1677</v>
      </c>
      <c r="X35" s="130" t="s">
        <v>1429</v>
      </c>
      <c r="Y35" s="130" t="s">
        <v>1429</v>
      </c>
      <c r="Z35" s="51" t="s">
        <v>1678</v>
      </c>
      <c r="AA35" s="51" t="s">
        <v>1679</v>
      </c>
      <c r="AB35" s="51" t="s">
        <v>3665</v>
      </c>
      <c r="AC35" s="51" t="s">
        <v>1587</v>
      </c>
      <c r="AD35" s="59" t="str">
        <f t="shared" si="6"/>
        <v>I2S3</v>
      </c>
      <c r="AE35" s="66"/>
      <c r="AF35" s="61" t="str">
        <f t="shared" si="7"/>
        <v>NORMAL</v>
      </c>
      <c r="AG35" s="61" t="str">
        <f t="shared" si="5"/>
        <v>NORMAL</v>
      </c>
      <c r="AH35" s="61" t="str">
        <f t="shared" si="8"/>
        <v>DISABLE</v>
      </c>
      <c r="AI35" s="67" t="str">
        <f t="shared" si="10"/>
        <v>N/A</v>
      </c>
      <c r="AJ35" s="176" t="b">
        <v>1</v>
      </c>
      <c r="AK35" s="176" t="b">
        <v>1</v>
      </c>
      <c r="AL35" s="176" t="b">
        <v>1</v>
      </c>
      <c r="AM35" s="176" t="b">
        <v>1</v>
      </c>
      <c r="AN35" s="176" t="b">
        <v>1</v>
      </c>
      <c r="AO35" s="176" t="b">
        <v>1</v>
      </c>
      <c r="AP35" s="64" t="str">
        <f t="shared" ref="AP35:AP44" si="11">IF(AND($AJ35:$AO35), "VALID", "INVALID")</f>
        <v>VALID</v>
      </c>
      <c r="AQ35" s="211" t="s">
        <v>1390</v>
      </c>
      <c r="AR35" s="182" t="s">
        <v>3495</v>
      </c>
      <c r="AS35" s="181"/>
      <c r="AT35" s="5"/>
      <c r="AU35" s="5"/>
      <c r="AV35" s="5"/>
      <c r="AW35" s="5"/>
      <c r="AX35" s="284"/>
      <c r="AY35" s="181"/>
      <c r="AZ35" s="181"/>
      <c r="BA35" s="7"/>
      <c r="BB35" s="212"/>
      <c r="BC35" s="10" t="s">
        <v>3692</v>
      </c>
      <c r="BD35" s="238"/>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row>
    <row r="36" spans="1:83" ht="12.95" customHeight="1">
      <c r="A36" s="21" t="s">
        <v>3328</v>
      </c>
      <c r="B36" s="21" t="s">
        <v>2440</v>
      </c>
      <c r="C36" s="51" t="s">
        <v>298</v>
      </c>
      <c r="D36" s="52" t="s">
        <v>1680</v>
      </c>
      <c r="E36" s="52" t="s">
        <v>1669</v>
      </c>
      <c r="F36" s="53" t="s">
        <v>519</v>
      </c>
      <c r="G36" s="179"/>
      <c r="H36" s="180"/>
      <c r="I36" s="55" t="s">
        <v>1389</v>
      </c>
      <c r="J36" s="55" t="s">
        <v>1429</v>
      </c>
      <c r="K36" s="56" t="s">
        <v>1429</v>
      </c>
      <c r="L36" s="54" t="s">
        <v>1580</v>
      </c>
      <c r="M36" s="55" t="s">
        <v>1590</v>
      </c>
      <c r="N36" s="55" t="s">
        <v>1590</v>
      </c>
      <c r="O36" s="55" t="s">
        <v>1429</v>
      </c>
      <c r="P36" s="56" t="s">
        <v>1429</v>
      </c>
      <c r="Q36" s="52" t="s">
        <v>742</v>
      </c>
      <c r="R36" s="52" t="s">
        <v>158</v>
      </c>
      <c r="S36" s="52" t="s">
        <v>99</v>
      </c>
      <c r="T36" s="52" t="s">
        <v>100</v>
      </c>
      <c r="U36" s="57" t="s">
        <v>99</v>
      </c>
      <c r="V36" s="146" t="s">
        <v>1681</v>
      </c>
      <c r="W36" s="51" t="s">
        <v>1677</v>
      </c>
      <c r="X36" s="130" t="s">
        <v>1429</v>
      </c>
      <c r="Y36" s="130" t="s">
        <v>1429</v>
      </c>
      <c r="Z36" s="51" t="s">
        <v>1678</v>
      </c>
      <c r="AA36" s="51" t="s">
        <v>1679</v>
      </c>
      <c r="AB36" s="51" t="s">
        <v>3665</v>
      </c>
      <c r="AC36" s="51" t="s">
        <v>1587</v>
      </c>
      <c r="AD36" s="59" t="str">
        <f t="shared" si="6"/>
        <v>I2S3</v>
      </c>
      <c r="AE36" s="66"/>
      <c r="AF36" s="61" t="str">
        <f t="shared" si="7"/>
        <v>PULL_UP</v>
      </c>
      <c r="AG36" s="61" t="str">
        <f t="shared" si="5"/>
        <v>TRISTATE</v>
      </c>
      <c r="AH36" s="61" t="str">
        <f t="shared" si="8"/>
        <v>ENABLE</v>
      </c>
      <c r="AI36" s="67" t="str">
        <f t="shared" si="10"/>
        <v>N/A</v>
      </c>
      <c r="AJ36" s="176" t="b">
        <v>1</v>
      </c>
      <c r="AK36" s="176" t="b">
        <v>1</v>
      </c>
      <c r="AL36" s="176" t="b">
        <v>1</v>
      </c>
      <c r="AM36" s="176" t="b">
        <v>1</v>
      </c>
      <c r="AN36" s="176" t="b">
        <v>1</v>
      </c>
      <c r="AO36" s="176" t="b">
        <v>1</v>
      </c>
      <c r="AP36" s="64" t="str">
        <f t="shared" si="11"/>
        <v>VALID</v>
      </c>
      <c r="AQ36" s="211" t="s">
        <v>1389</v>
      </c>
      <c r="AR36" s="182" t="s">
        <v>3496</v>
      </c>
      <c r="AS36" s="181" t="s">
        <v>3497</v>
      </c>
      <c r="AT36" s="5"/>
      <c r="AU36" s="5"/>
      <c r="AV36" s="5"/>
      <c r="AW36" s="5"/>
      <c r="AX36" s="284"/>
      <c r="AY36" s="181"/>
      <c r="AZ36" s="181"/>
      <c r="BA36" s="7"/>
      <c r="BB36" s="212"/>
      <c r="BC36" s="10" t="s">
        <v>3693</v>
      </c>
      <c r="BD36" s="238"/>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row>
    <row r="37" spans="1:83" ht="12.95" customHeight="1">
      <c r="A37" s="21" t="s">
        <v>3326</v>
      </c>
      <c r="B37" s="21" t="s">
        <v>2260</v>
      </c>
      <c r="C37" s="51" t="s">
        <v>297</v>
      </c>
      <c r="D37" s="52" t="s">
        <v>1682</v>
      </c>
      <c r="E37" s="52" t="s">
        <v>1683</v>
      </c>
      <c r="F37" s="53" t="s">
        <v>520</v>
      </c>
      <c r="G37" s="179"/>
      <c r="H37" s="180"/>
      <c r="I37" s="55" t="s">
        <v>1392</v>
      </c>
      <c r="J37" s="55" t="s">
        <v>1429</v>
      </c>
      <c r="K37" s="56" t="s">
        <v>1429</v>
      </c>
      <c r="L37" s="54" t="s">
        <v>1580</v>
      </c>
      <c r="M37" s="55" t="s">
        <v>1581</v>
      </c>
      <c r="N37" s="55" t="s">
        <v>1580</v>
      </c>
      <c r="O37" s="55" t="s">
        <v>1429</v>
      </c>
      <c r="P37" s="56" t="s">
        <v>1429</v>
      </c>
      <c r="Q37" s="52" t="s">
        <v>743</v>
      </c>
      <c r="R37" s="52" t="s">
        <v>158</v>
      </c>
      <c r="S37" s="52" t="s">
        <v>99</v>
      </c>
      <c r="T37" s="52" t="s">
        <v>100</v>
      </c>
      <c r="U37" s="57" t="s">
        <v>99</v>
      </c>
      <c r="V37" s="146" t="s">
        <v>1684</v>
      </c>
      <c r="W37" s="51" t="s">
        <v>1677</v>
      </c>
      <c r="X37" s="130" t="s">
        <v>1429</v>
      </c>
      <c r="Y37" s="130" t="s">
        <v>1429</v>
      </c>
      <c r="Z37" s="51" t="s">
        <v>1678</v>
      </c>
      <c r="AA37" s="51" t="s">
        <v>1679</v>
      </c>
      <c r="AB37" s="51" t="s">
        <v>3665</v>
      </c>
      <c r="AC37" s="51" t="s">
        <v>1587</v>
      </c>
      <c r="AD37" s="59" t="str">
        <f t="shared" si="6"/>
        <v>I2S3</v>
      </c>
      <c r="AE37" s="66"/>
      <c r="AF37" s="61" t="str">
        <f t="shared" si="7"/>
        <v>NORMAL</v>
      </c>
      <c r="AG37" s="61" t="str">
        <f t="shared" si="5"/>
        <v>NORMAL</v>
      </c>
      <c r="AH37" s="61" t="str">
        <f t="shared" si="8"/>
        <v>DISABLE</v>
      </c>
      <c r="AI37" s="67" t="str">
        <f t="shared" si="10"/>
        <v>N/A</v>
      </c>
      <c r="AJ37" s="176" t="b">
        <v>1</v>
      </c>
      <c r="AK37" s="176" t="b">
        <v>1</v>
      </c>
      <c r="AL37" s="176" t="b">
        <v>1</v>
      </c>
      <c r="AM37" s="176" t="b">
        <v>1</v>
      </c>
      <c r="AN37" s="176" t="b">
        <v>1</v>
      </c>
      <c r="AO37" s="176" t="b">
        <v>1</v>
      </c>
      <c r="AP37" s="64" t="str">
        <f t="shared" si="11"/>
        <v>VALID</v>
      </c>
      <c r="AQ37" s="211" t="s">
        <v>1392</v>
      </c>
      <c r="AR37" s="182" t="s">
        <v>3495</v>
      </c>
      <c r="AS37" s="181"/>
      <c r="AT37" s="5"/>
      <c r="AU37" s="5"/>
      <c r="AV37" s="5"/>
      <c r="AW37" s="5"/>
      <c r="AX37" s="284"/>
      <c r="AY37" s="181"/>
      <c r="AZ37" s="181"/>
      <c r="BA37" s="7"/>
      <c r="BB37" s="212"/>
      <c r="BC37" s="10" t="s">
        <v>3694</v>
      </c>
      <c r="BD37" s="238"/>
      <c r="BE37" s="239"/>
      <c r="BF37" s="239"/>
      <c r="BG37" s="239"/>
      <c r="BH37" s="239"/>
      <c r="BI37" s="239"/>
      <c r="BJ37" s="239"/>
      <c r="BK37" s="239"/>
      <c r="BL37" s="239"/>
      <c r="BM37" s="239"/>
      <c r="BN37" s="239"/>
      <c r="BO37" s="239"/>
      <c r="BP37" s="239"/>
      <c r="BQ37" s="239"/>
      <c r="BR37" s="239"/>
      <c r="BS37" s="239"/>
      <c r="BT37" s="239"/>
      <c r="BU37" s="239"/>
      <c r="BV37" s="239"/>
      <c r="BW37" s="239"/>
      <c r="BX37" s="239"/>
      <c r="BY37" s="239"/>
      <c r="BZ37" s="239"/>
      <c r="CA37" s="239"/>
      <c r="CB37" s="239"/>
      <c r="CC37" s="239"/>
      <c r="CD37" s="239"/>
      <c r="CE37" s="239"/>
    </row>
    <row r="38" spans="1:83" ht="12.95" customHeight="1">
      <c r="A38" s="21" t="s">
        <v>3325</v>
      </c>
      <c r="B38" s="21" t="s">
        <v>2443</v>
      </c>
      <c r="C38" s="51" t="s">
        <v>299</v>
      </c>
      <c r="D38" s="52" t="s">
        <v>1685</v>
      </c>
      <c r="E38" s="52" t="s">
        <v>1675</v>
      </c>
      <c r="F38" s="53" t="s">
        <v>521</v>
      </c>
      <c r="G38" s="179"/>
      <c r="H38" s="180"/>
      <c r="I38" s="55" t="s">
        <v>1391</v>
      </c>
      <c r="J38" s="55" t="s">
        <v>1429</v>
      </c>
      <c r="K38" s="56" t="s">
        <v>1429</v>
      </c>
      <c r="L38" s="54" t="s">
        <v>1580</v>
      </c>
      <c r="M38" s="55" t="s">
        <v>1590</v>
      </c>
      <c r="N38" s="55" t="s">
        <v>1580</v>
      </c>
      <c r="O38" s="55" t="s">
        <v>1429</v>
      </c>
      <c r="P38" s="56" t="s">
        <v>1429</v>
      </c>
      <c r="Q38" s="52" t="s">
        <v>743</v>
      </c>
      <c r="R38" s="52" t="s">
        <v>158</v>
      </c>
      <c r="S38" s="52" t="s">
        <v>99</v>
      </c>
      <c r="T38" s="52" t="s">
        <v>100</v>
      </c>
      <c r="U38" s="57" t="s">
        <v>99</v>
      </c>
      <c r="V38" s="146" t="s">
        <v>1686</v>
      </c>
      <c r="W38" s="51" t="s">
        <v>1677</v>
      </c>
      <c r="X38" s="130" t="s">
        <v>1429</v>
      </c>
      <c r="Y38" s="130" t="s">
        <v>1429</v>
      </c>
      <c r="Z38" s="51" t="s">
        <v>1678</v>
      </c>
      <c r="AA38" s="51" t="s">
        <v>1679</v>
      </c>
      <c r="AB38" s="51" t="s">
        <v>3665</v>
      </c>
      <c r="AC38" s="51" t="s">
        <v>1587</v>
      </c>
      <c r="AD38" s="59" t="str">
        <f t="shared" si="6"/>
        <v>I2S3</v>
      </c>
      <c r="AE38" s="66"/>
      <c r="AF38" s="61" t="str">
        <f t="shared" si="7"/>
        <v>NORMAL</v>
      </c>
      <c r="AG38" s="61" t="str">
        <f t="shared" si="5"/>
        <v>NORMAL</v>
      </c>
      <c r="AH38" s="61" t="str">
        <f t="shared" si="8"/>
        <v>DISABLE</v>
      </c>
      <c r="AI38" s="67" t="str">
        <f t="shared" si="10"/>
        <v>N/A</v>
      </c>
      <c r="AJ38" s="176" t="b">
        <v>1</v>
      </c>
      <c r="AK38" s="176" t="b">
        <v>1</v>
      </c>
      <c r="AL38" s="176" t="b">
        <v>1</v>
      </c>
      <c r="AM38" s="176" t="b">
        <v>1</v>
      </c>
      <c r="AN38" s="176" t="b">
        <v>1</v>
      </c>
      <c r="AO38" s="176" t="b">
        <v>1</v>
      </c>
      <c r="AP38" s="64" t="str">
        <f t="shared" si="11"/>
        <v>VALID</v>
      </c>
      <c r="AQ38" s="211" t="s">
        <v>1391</v>
      </c>
      <c r="AR38" s="182" t="s">
        <v>3495</v>
      </c>
      <c r="AS38" s="181"/>
      <c r="AT38" s="5"/>
      <c r="AU38" s="5"/>
      <c r="AV38" s="5"/>
      <c r="AW38" s="5"/>
      <c r="AX38" s="284"/>
      <c r="AY38" s="181"/>
      <c r="AZ38" s="181"/>
      <c r="BA38" s="7"/>
      <c r="BB38" s="212"/>
      <c r="BC38" s="10" t="s">
        <v>3695</v>
      </c>
      <c r="BD38" s="238"/>
      <c r="BE38" s="239"/>
      <c r="BF38" s="239"/>
      <c r="BG38" s="239"/>
      <c r="BH38" s="239"/>
      <c r="BI38" s="239"/>
      <c r="BJ38" s="239"/>
      <c r="BK38" s="239"/>
      <c r="BL38" s="239"/>
      <c r="BM38" s="239"/>
      <c r="BN38" s="239"/>
      <c r="BO38" s="239"/>
      <c r="BP38" s="239"/>
      <c r="BQ38" s="239"/>
      <c r="BR38" s="239"/>
      <c r="BS38" s="239"/>
      <c r="BT38" s="239"/>
      <c r="BU38" s="239"/>
      <c r="BV38" s="239"/>
      <c r="BW38" s="239"/>
      <c r="BX38" s="239"/>
      <c r="BY38" s="239"/>
      <c r="BZ38" s="239"/>
      <c r="CA38" s="239"/>
      <c r="CB38" s="239"/>
      <c r="CC38" s="239"/>
      <c r="CD38" s="239"/>
      <c r="CE38" s="239"/>
    </row>
    <row r="39" spans="1:83" ht="12.95" customHeight="1">
      <c r="A39" s="1"/>
      <c r="B39" s="1"/>
      <c r="C39" s="51" t="s">
        <v>920</v>
      </c>
      <c r="D39" s="52" t="s">
        <v>1687</v>
      </c>
      <c r="E39" s="52" t="s">
        <v>1688</v>
      </c>
      <c r="F39" s="53" t="s">
        <v>1213</v>
      </c>
      <c r="G39" s="179" t="s">
        <v>1498</v>
      </c>
      <c r="H39" s="180"/>
      <c r="I39" s="55"/>
      <c r="J39" s="55" t="s">
        <v>1429</v>
      </c>
      <c r="K39" s="56" t="s">
        <v>1429</v>
      </c>
      <c r="L39" s="54" t="s">
        <v>1580</v>
      </c>
      <c r="M39" s="55" t="s">
        <v>1581</v>
      </c>
      <c r="N39" s="55" t="s">
        <v>1581</v>
      </c>
      <c r="O39" s="55" t="s">
        <v>1429</v>
      </c>
      <c r="P39" s="56" t="s">
        <v>1429</v>
      </c>
      <c r="Q39" s="52" t="s">
        <v>1354</v>
      </c>
      <c r="R39" s="52" t="s">
        <v>1355</v>
      </c>
      <c r="S39" s="52" t="s">
        <v>99</v>
      </c>
      <c r="T39" s="52" t="s">
        <v>100</v>
      </c>
      <c r="U39" s="57" t="s">
        <v>99</v>
      </c>
      <c r="V39" s="146" t="s">
        <v>1689</v>
      </c>
      <c r="W39" s="51" t="s">
        <v>1677</v>
      </c>
      <c r="X39" s="130" t="s">
        <v>1690</v>
      </c>
      <c r="Y39" s="130" t="s">
        <v>1429</v>
      </c>
      <c r="Z39" s="51" t="s">
        <v>1678</v>
      </c>
      <c r="AA39" s="51" t="s">
        <v>1679</v>
      </c>
      <c r="AB39" s="51" t="s">
        <v>3665</v>
      </c>
      <c r="AC39" s="51" t="s">
        <v>1587</v>
      </c>
      <c r="AD39" s="59" t="str">
        <f t="shared" si="6"/>
        <v>GPIO_PM5</v>
      </c>
      <c r="AE39" s="66"/>
      <c r="AF39" s="61" t="str">
        <f t="shared" si="7"/>
        <v>PULL_UP</v>
      </c>
      <c r="AG39" s="61" t="str">
        <f t="shared" si="5"/>
        <v>TRISTATE</v>
      </c>
      <c r="AH39" s="61" t="str">
        <f t="shared" si="8"/>
        <v>ENABLE</v>
      </c>
      <c r="AI39" s="67" t="str">
        <f t="shared" si="10"/>
        <v/>
      </c>
      <c r="AJ39" s="176" t="b">
        <v>1</v>
      </c>
      <c r="AK39" s="176" t="b">
        <v>1</v>
      </c>
      <c r="AL39" s="176" t="b">
        <v>1</v>
      </c>
      <c r="AM39" s="176" t="b">
        <v>1</v>
      </c>
      <c r="AN39" s="176" t="b">
        <v>1</v>
      </c>
      <c r="AO39" s="176" t="b">
        <v>1</v>
      </c>
      <c r="AP39" s="64" t="str">
        <f t="shared" si="11"/>
        <v>VALID</v>
      </c>
      <c r="AQ39" s="341" t="s">
        <v>1498</v>
      </c>
      <c r="AR39" s="336" t="s">
        <v>3496</v>
      </c>
      <c r="AS39" s="337" t="s">
        <v>3497</v>
      </c>
      <c r="AT39" s="337" t="s">
        <v>3499</v>
      </c>
      <c r="AU39" s="342"/>
      <c r="AV39" s="342"/>
      <c r="AW39" s="342"/>
      <c r="AX39" s="342"/>
      <c r="AY39" s="337"/>
      <c r="AZ39" s="337"/>
      <c r="BA39" s="343"/>
      <c r="BB39" s="338"/>
      <c r="BC39" s="344" t="s">
        <v>3511</v>
      </c>
      <c r="BD39" s="238"/>
      <c r="BE39" s="239"/>
      <c r="BF39" s="239"/>
      <c r="BG39" s="239"/>
      <c r="BH39" s="239"/>
      <c r="BI39" s="239"/>
      <c r="BJ39" s="239"/>
      <c r="BK39" s="239"/>
      <c r="BL39" s="239"/>
      <c r="BM39" s="239"/>
      <c r="BN39" s="239"/>
      <c r="BO39" s="239"/>
      <c r="BP39" s="239"/>
      <c r="BQ39" s="239"/>
      <c r="BR39" s="239"/>
      <c r="BS39" s="239"/>
      <c r="BT39" s="239"/>
      <c r="BU39" s="239"/>
      <c r="BV39" s="239"/>
      <c r="BW39" s="239"/>
      <c r="BX39" s="239"/>
      <c r="BY39" s="239"/>
      <c r="BZ39" s="239"/>
      <c r="CA39" s="239"/>
      <c r="CB39" s="239"/>
      <c r="CC39" s="239"/>
      <c r="CD39" s="239"/>
      <c r="CE39" s="239"/>
    </row>
    <row r="40" spans="1:83" ht="12.95" customHeight="1">
      <c r="A40" s="1"/>
      <c r="B40" s="1"/>
      <c r="C40" s="51" t="s">
        <v>921</v>
      </c>
      <c r="D40" s="52" t="s">
        <v>1691</v>
      </c>
      <c r="E40" s="52" t="s">
        <v>1692</v>
      </c>
      <c r="F40" s="53" t="s">
        <v>1214</v>
      </c>
      <c r="G40" s="179" t="s">
        <v>1499</v>
      </c>
      <c r="H40" s="180"/>
      <c r="I40" s="55"/>
      <c r="J40" s="55" t="s">
        <v>1429</v>
      </c>
      <c r="K40" s="56" t="s">
        <v>1429</v>
      </c>
      <c r="L40" s="54" t="s">
        <v>1580</v>
      </c>
      <c r="M40" s="55" t="s">
        <v>1590</v>
      </c>
      <c r="N40" s="55" t="s">
        <v>1581</v>
      </c>
      <c r="O40" s="55" t="s">
        <v>1429</v>
      </c>
      <c r="P40" s="56" t="s">
        <v>1429</v>
      </c>
      <c r="Q40" s="52" t="s">
        <v>1354</v>
      </c>
      <c r="R40" s="52" t="s">
        <v>1355</v>
      </c>
      <c r="S40" s="52" t="s">
        <v>99</v>
      </c>
      <c r="T40" s="52" t="s">
        <v>100</v>
      </c>
      <c r="U40" s="57" t="s">
        <v>99</v>
      </c>
      <c r="V40" s="146" t="s">
        <v>1693</v>
      </c>
      <c r="W40" s="51" t="s">
        <v>1677</v>
      </c>
      <c r="X40" s="130" t="s">
        <v>1429</v>
      </c>
      <c r="Y40" s="130" t="s">
        <v>1429</v>
      </c>
      <c r="Z40" s="51" t="s">
        <v>1678</v>
      </c>
      <c r="AA40" s="51" t="s">
        <v>1679</v>
      </c>
      <c r="AB40" s="51" t="s">
        <v>3665</v>
      </c>
      <c r="AC40" s="51" t="s">
        <v>1587</v>
      </c>
      <c r="AD40" s="59" t="str">
        <f t="shared" si="6"/>
        <v>GPIO_PM4</v>
      </c>
      <c r="AE40" s="66"/>
      <c r="AF40" s="61" t="str">
        <f t="shared" si="7"/>
        <v>NORMAL</v>
      </c>
      <c r="AG40" s="61" t="str">
        <f t="shared" si="5"/>
        <v>NORMAL</v>
      </c>
      <c r="AH40" s="61" t="str">
        <f t="shared" si="8"/>
        <v>DISABLE</v>
      </c>
      <c r="AI40" s="67" t="str">
        <f t="shared" si="10"/>
        <v>0</v>
      </c>
      <c r="AJ40" s="176" t="b">
        <v>1</v>
      </c>
      <c r="AK40" s="176" t="b">
        <v>1</v>
      </c>
      <c r="AL40" s="176" t="b">
        <v>1</v>
      </c>
      <c r="AM40" s="176" t="b">
        <v>1</v>
      </c>
      <c r="AN40" s="176" t="b">
        <v>1</v>
      </c>
      <c r="AO40" s="176" t="b">
        <v>1</v>
      </c>
      <c r="AP40" s="64" t="str">
        <f t="shared" si="11"/>
        <v>VALID</v>
      </c>
      <c r="AQ40" s="341" t="s">
        <v>1499</v>
      </c>
      <c r="AR40" s="336" t="s">
        <v>3495</v>
      </c>
      <c r="AS40" s="337" t="s">
        <v>3500</v>
      </c>
      <c r="AT40" s="342"/>
      <c r="AU40" s="342"/>
      <c r="AV40" s="342"/>
      <c r="AW40" s="342"/>
      <c r="AX40" s="342"/>
      <c r="AY40" s="337"/>
      <c r="AZ40" s="337"/>
      <c r="BA40" s="343"/>
      <c r="BB40" s="338"/>
      <c r="BC40" s="344" t="s">
        <v>3512</v>
      </c>
      <c r="BD40" s="238"/>
      <c r="BE40" s="239"/>
      <c r="BF40" s="239"/>
      <c r="BG40" s="239"/>
      <c r="BH40" s="239"/>
      <c r="BI40" s="239"/>
      <c r="BJ40" s="239"/>
      <c r="BK40" s="239"/>
      <c r="BL40" s="239"/>
      <c r="BM40" s="239"/>
      <c r="BN40" s="239"/>
      <c r="BO40" s="239"/>
      <c r="BP40" s="239"/>
      <c r="BQ40" s="239"/>
      <c r="BR40" s="239"/>
      <c r="BS40" s="239"/>
      <c r="BT40" s="239"/>
      <c r="BU40" s="239"/>
      <c r="BV40" s="239"/>
      <c r="BW40" s="239"/>
      <c r="BX40" s="239"/>
      <c r="BY40" s="239"/>
      <c r="BZ40" s="239"/>
      <c r="CA40" s="239"/>
      <c r="CB40" s="239"/>
      <c r="CC40" s="239"/>
      <c r="CD40" s="239"/>
      <c r="CE40" s="239"/>
    </row>
    <row r="41" spans="1:83" ht="12.95" customHeight="1">
      <c r="A41" s="21" t="s">
        <v>3329</v>
      </c>
      <c r="B41" s="21" t="s">
        <v>2296</v>
      </c>
      <c r="C41" s="51" t="s">
        <v>39</v>
      </c>
      <c r="D41" s="52" t="s">
        <v>1694</v>
      </c>
      <c r="E41" s="52" t="s">
        <v>1695</v>
      </c>
      <c r="F41" s="53" t="s">
        <v>162</v>
      </c>
      <c r="G41" s="179"/>
      <c r="H41" s="180" t="s">
        <v>1500</v>
      </c>
      <c r="I41" s="55" t="s">
        <v>1429</v>
      </c>
      <c r="J41" s="55" t="s">
        <v>1429</v>
      </c>
      <c r="K41" s="56" t="s">
        <v>1429</v>
      </c>
      <c r="L41" s="54" t="s">
        <v>1580</v>
      </c>
      <c r="M41" s="55" t="s">
        <v>1580</v>
      </c>
      <c r="N41" s="55" t="s">
        <v>1429</v>
      </c>
      <c r="O41" s="55" t="s">
        <v>1429</v>
      </c>
      <c r="P41" s="56" t="s">
        <v>1429</v>
      </c>
      <c r="Q41" s="52" t="s">
        <v>1356</v>
      </c>
      <c r="R41" s="52" t="s">
        <v>113</v>
      </c>
      <c r="S41" s="52" t="s">
        <v>99</v>
      </c>
      <c r="T41" s="52" t="s">
        <v>100</v>
      </c>
      <c r="U41" s="57" t="s">
        <v>113</v>
      </c>
      <c r="V41" s="146" t="s">
        <v>1696</v>
      </c>
      <c r="W41" s="51" t="s">
        <v>1677</v>
      </c>
      <c r="X41" s="130" t="s">
        <v>1429</v>
      </c>
      <c r="Y41" s="130" t="s">
        <v>1429</v>
      </c>
      <c r="Z41" s="51" t="s">
        <v>1678</v>
      </c>
      <c r="AA41" s="51" t="s">
        <v>1679</v>
      </c>
      <c r="AB41" s="51" t="s">
        <v>3665</v>
      </c>
      <c r="AC41" s="51" t="s">
        <v>1587</v>
      </c>
      <c r="AD41" s="59" t="str">
        <f t="shared" si="6"/>
        <v>I2S4</v>
      </c>
      <c r="AE41" s="66"/>
      <c r="AF41" s="61" t="str">
        <f t="shared" si="7"/>
        <v>NORMAL</v>
      </c>
      <c r="AG41" s="61" t="str">
        <f t="shared" si="5"/>
        <v>NORMAL</v>
      </c>
      <c r="AH41" s="61" t="str">
        <f t="shared" si="8"/>
        <v>DISABLE</v>
      </c>
      <c r="AI41" s="67" t="str">
        <f t="shared" si="10"/>
        <v>N/A</v>
      </c>
      <c r="AJ41" s="176" t="b">
        <v>1</v>
      </c>
      <c r="AK41" s="176" t="b">
        <v>1</v>
      </c>
      <c r="AL41" s="176" t="b">
        <v>1</v>
      </c>
      <c r="AM41" s="176" t="b">
        <v>1</v>
      </c>
      <c r="AN41" s="176" t="b">
        <v>1</v>
      </c>
      <c r="AO41" s="176" t="b">
        <v>1</v>
      </c>
      <c r="AP41" s="64" t="str">
        <f t="shared" si="11"/>
        <v>VALID</v>
      </c>
      <c r="AQ41" s="211" t="s">
        <v>1500</v>
      </c>
      <c r="AR41" s="182" t="s">
        <v>3495</v>
      </c>
      <c r="AS41" s="181"/>
      <c r="AT41" s="5"/>
      <c r="AU41" s="5"/>
      <c r="AV41" s="5"/>
      <c r="AW41" s="5"/>
      <c r="AX41" s="284"/>
      <c r="AY41" s="181"/>
      <c r="AZ41" s="181"/>
      <c r="BA41" s="7"/>
      <c r="BB41" s="212"/>
      <c r="BC41" s="10" t="s">
        <v>3696</v>
      </c>
      <c r="BD41" s="238"/>
      <c r="BE41" s="239"/>
      <c r="BF41" s="239"/>
      <c r="BG41" s="239"/>
      <c r="BH41" s="239"/>
      <c r="BI41" s="239"/>
      <c r="BJ41" s="239"/>
      <c r="BK41" s="239"/>
      <c r="BL41" s="239"/>
      <c r="BM41" s="239"/>
      <c r="BN41" s="239"/>
      <c r="BO41" s="239"/>
      <c r="BP41" s="239"/>
      <c r="BQ41" s="239"/>
      <c r="BR41" s="239"/>
      <c r="BS41" s="239"/>
      <c r="BT41" s="239"/>
      <c r="BU41" s="239"/>
      <c r="BV41" s="239"/>
      <c r="BW41" s="239"/>
      <c r="BX41" s="239"/>
      <c r="BY41" s="239"/>
      <c r="BZ41" s="239"/>
      <c r="CA41" s="239"/>
      <c r="CB41" s="239"/>
      <c r="CC41" s="239"/>
      <c r="CD41" s="239"/>
      <c r="CE41" s="239"/>
    </row>
    <row r="42" spans="1:83" ht="12.95" customHeight="1">
      <c r="A42" s="21" t="s">
        <v>3332</v>
      </c>
      <c r="B42" s="21" t="s">
        <v>2299</v>
      </c>
      <c r="C42" s="51" t="s">
        <v>37</v>
      </c>
      <c r="D42" s="52" t="s">
        <v>1697</v>
      </c>
      <c r="E42" s="52" t="s">
        <v>1698</v>
      </c>
      <c r="F42" s="53" t="s">
        <v>160</v>
      </c>
      <c r="G42" s="179"/>
      <c r="H42" s="180" t="s">
        <v>1501</v>
      </c>
      <c r="I42" s="55" t="s">
        <v>1429</v>
      </c>
      <c r="J42" s="55" t="s">
        <v>1429</v>
      </c>
      <c r="K42" s="56" t="s">
        <v>1429</v>
      </c>
      <c r="L42" s="54" t="s">
        <v>1580</v>
      </c>
      <c r="M42" s="55" t="s">
        <v>1580</v>
      </c>
      <c r="N42" s="55" t="s">
        <v>1429</v>
      </c>
      <c r="O42" s="55" t="s">
        <v>1429</v>
      </c>
      <c r="P42" s="56" t="s">
        <v>1429</v>
      </c>
      <c r="Q42" s="52" t="s">
        <v>1356</v>
      </c>
      <c r="R42" s="52" t="s">
        <v>113</v>
      </c>
      <c r="S42" s="52" t="s">
        <v>99</v>
      </c>
      <c r="T42" s="52" t="s">
        <v>100</v>
      </c>
      <c r="U42" s="57" t="s">
        <v>113</v>
      </c>
      <c r="V42" s="146" t="s">
        <v>1699</v>
      </c>
      <c r="W42" s="51" t="s">
        <v>1677</v>
      </c>
      <c r="X42" s="130" t="s">
        <v>1429</v>
      </c>
      <c r="Y42" s="130" t="s">
        <v>1429</v>
      </c>
      <c r="Z42" s="51" t="s">
        <v>1678</v>
      </c>
      <c r="AA42" s="51" t="s">
        <v>1679</v>
      </c>
      <c r="AB42" s="51" t="s">
        <v>3665</v>
      </c>
      <c r="AC42" s="51" t="s">
        <v>1587</v>
      </c>
      <c r="AD42" s="59" t="str">
        <f t="shared" si="6"/>
        <v>I2S4</v>
      </c>
      <c r="AE42" s="66"/>
      <c r="AF42" s="61" t="str">
        <f t="shared" si="7"/>
        <v>NORMAL</v>
      </c>
      <c r="AG42" s="61" t="str">
        <f t="shared" si="5"/>
        <v>NORMAL</v>
      </c>
      <c r="AH42" s="61" t="str">
        <f t="shared" si="8"/>
        <v>DISABLE</v>
      </c>
      <c r="AI42" s="67" t="str">
        <f t="shared" si="10"/>
        <v>N/A</v>
      </c>
      <c r="AJ42" s="176" t="b">
        <v>1</v>
      </c>
      <c r="AK42" s="176" t="b">
        <v>1</v>
      </c>
      <c r="AL42" s="176" t="b">
        <v>1</v>
      </c>
      <c r="AM42" s="176" t="b">
        <v>1</v>
      </c>
      <c r="AN42" s="176" t="b">
        <v>1</v>
      </c>
      <c r="AO42" s="176" t="b">
        <v>1</v>
      </c>
      <c r="AP42" s="64" t="str">
        <f t="shared" si="11"/>
        <v>VALID</v>
      </c>
      <c r="AQ42" s="211" t="s">
        <v>1501</v>
      </c>
      <c r="AR42" s="182" t="s">
        <v>3495</v>
      </c>
      <c r="AS42" s="181"/>
      <c r="AT42" s="5"/>
      <c r="AU42" s="5"/>
      <c r="AV42" s="5"/>
      <c r="AW42" s="5"/>
      <c r="AX42" s="284"/>
      <c r="AY42" s="181"/>
      <c r="AZ42" s="181"/>
      <c r="BA42" s="7"/>
      <c r="BB42" s="212"/>
      <c r="BC42" s="10" t="s">
        <v>3697</v>
      </c>
      <c r="BD42" s="238"/>
      <c r="BE42" s="239"/>
      <c r="BF42" s="239"/>
      <c r="BG42" s="239"/>
      <c r="BH42" s="239"/>
      <c r="BI42" s="239"/>
      <c r="BJ42" s="239"/>
      <c r="BK42" s="239"/>
      <c r="BL42" s="239"/>
      <c r="BM42" s="239"/>
      <c r="BN42" s="239"/>
      <c r="BO42" s="239"/>
      <c r="BP42" s="239"/>
      <c r="BQ42" s="239"/>
      <c r="BR42" s="239"/>
      <c r="BS42" s="239"/>
      <c r="BT42" s="239"/>
      <c r="BU42" s="239"/>
      <c r="BV42" s="239"/>
      <c r="BW42" s="239"/>
      <c r="BX42" s="239"/>
      <c r="BY42" s="239"/>
      <c r="BZ42" s="239"/>
      <c r="CA42" s="239"/>
      <c r="CB42" s="239"/>
      <c r="CC42" s="239"/>
      <c r="CD42" s="239"/>
      <c r="CE42" s="239"/>
    </row>
    <row r="43" spans="1:83" ht="12.95" customHeight="1">
      <c r="A43" s="21" t="s">
        <v>3331</v>
      </c>
      <c r="B43" s="21" t="s">
        <v>2442</v>
      </c>
      <c r="C43" s="51" t="s">
        <v>36</v>
      </c>
      <c r="D43" s="52" t="s">
        <v>1700</v>
      </c>
      <c r="E43" s="52" t="s">
        <v>1701</v>
      </c>
      <c r="F43" s="53" t="s">
        <v>159</v>
      </c>
      <c r="G43" s="179"/>
      <c r="H43" s="180" t="s">
        <v>1502</v>
      </c>
      <c r="I43" s="55" t="s">
        <v>1429</v>
      </c>
      <c r="J43" s="55" t="s">
        <v>1429</v>
      </c>
      <c r="K43" s="56" t="s">
        <v>1429</v>
      </c>
      <c r="L43" s="54" t="s">
        <v>1580</v>
      </c>
      <c r="M43" s="55" t="s">
        <v>1590</v>
      </c>
      <c r="N43" s="55" t="s">
        <v>1429</v>
      </c>
      <c r="O43" s="55" t="s">
        <v>1429</v>
      </c>
      <c r="P43" s="56" t="s">
        <v>1429</v>
      </c>
      <c r="Q43" s="52" t="s">
        <v>1356</v>
      </c>
      <c r="R43" s="52" t="s">
        <v>113</v>
      </c>
      <c r="S43" s="52" t="s">
        <v>99</v>
      </c>
      <c r="T43" s="52" t="s">
        <v>100</v>
      </c>
      <c r="U43" s="57" t="s">
        <v>113</v>
      </c>
      <c r="V43" s="146" t="s">
        <v>1702</v>
      </c>
      <c r="W43" s="51" t="s">
        <v>1677</v>
      </c>
      <c r="X43" s="130" t="s">
        <v>1429</v>
      </c>
      <c r="Y43" s="130" t="s">
        <v>1429</v>
      </c>
      <c r="Z43" s="51" t="s">
        <v>1678</v>
      </c>
      <c r="AA43" s="51" t="s">
        <v>1679</v>
      </c>
      <c r="AB43" s="51" t="s">
        <v>3665</v>
      </c>
      <c r="AC43" s="51" t="s">
        <v>1587</v>
      </c>
      <c r="AD43" s="59" t="str">
        <f t="shared" si="6"/>
        <v>I2S4</v>
      </c>
      <c r="AE43" s="66"/>
      <c r="AF43" s="61" t="str">
        <f t="shared" si="7"/>
        <v>PULL_UP</v>
      </c>
      <c r="AG43" s="61" t="str">
        <f t="shared" si="5"/>
        <v>TRISTATE</v>
      </c>
      <c r="AH43" s="61" t="str">
        <f t="shared" si="8"/>
        <v>ENABLE</v>
      </c>
      <c r="AI43" s="67" t="str">
        <f t="shared" si="10"/>
        <v>N/A</v>
      </c>
      <c r="AJ43" s="176" t="b">
        <v>1</v>
      </c>
      <c r="AK43" s="176" t="b">
        <v>1</v>
      </c>
      <c r="AL43" s="176" t="b">
        <v>1</v>
      </c>
      <c r="AM43" s="176" t="b">
        <v>1</v>
      </c>
      <c r="AN43" s="176" t="b">
        <v>1</v>
      </c>
      <c r="AO43" s="176" t="b">
        <v>1</v>
      </c>
      <c r="AP43" s="64" t="str">
        <f t="shared" si="11"/>
        <v>VALID</v>
      </c>
      <c r="AQ43" s="211" t="s">
        <v>1502</v>
      </c>
      <c r="AR43" s="182" t="s">
        <v>3496</v>
      </c>
      <c r="AS43" s="181" t="s">
        <v>3497</v>
      </c>
      <c r="AT43" s="5"/>
      <c r="AU43" s="5"/>
      <c r="AV43" s="5"/>
      <c r="AW43" s="5"/>
      <c r="AX43" s="284"/>
      <c r="AY43" s="181"/>
      <c r="AZ43" s="181"/>
      <c r="BA43" s="7"/>
      <c r="BB43" s="212"/>
      <c r="BC43" s="10" t="s">
        <v>3698</v>
      </c>
      <c r="BD43" s="238"/>
      <c r="BE43" s="239"/>
      <c r="BF43" s="239"/>
      <c r="BG43" s="239"/>
      <c r="BH43" s="239"/>
      <c r="BI43" s="239"/>
      <c r="BJ43" s="239"/>
      <c r="BK43" s="239"/>
      <c r="BL43" s="239"/>
      <c r="BM43" s="239"/>
      <c r="BN43" s="239"/>
      <c r="BO43" s="239"/>
      <c r="BP43" s="239"/>
      <c r="BQ43" s="239"/>
      <c r="BR43" s="239"/>
      <c r="BS43" s="239"/>
      <c r="BT43" s="239"/>
      <c r="BU43" s="239"/>
      <c r="BV43" s="239"/>
      <c r="BW43" s="239"/>
      <c r="BX43" s="239"/>
      <c r="BY43" s="239"/>
      <c r="BZ43" s="239"/>
      <c r="CA43" s="239"/>
      <c r="CB43" s="239"/>
      <c r="CC43" s="239"/>
      <c r="CD43" s="239"/>
      <c r="CE43" s="239"/>
    </row>
    <row r="44" spans="1:83" ht="12.95" customHeight="1">
      <c r="A44" s="21" t="s">
        <v>3330</v>
      </c>
      <c r="B44" s="21" t="s">
        <v>2257</v>
      </c>
      <c r="C44" s="51" t="s">
        <v>38</v>
      </c>
      <c r="D44" s="52" t="s">
        <v>1703</v>
      </c>
      <c r="E44" s="52" t="s">
        <v>1704</v>
      </c>
      <c r="F44" s="53" t="s">
        <v>161</v>
      </c>
      <c r="G44" s="179"/>
      <c r="H44" s="180" t="s">
        <v>1503</v>
      </c>
      <c r="I44" s="55" t="s">
        <v>1429</v>
      </c>
      <c r="J44" s="55" t="s">
        <v>1429</v>
      </c>
      <c r="K44" s="56" t="s">
        <v>1429</v>
      </c>
      <c r="L44" s="54" t="s">
        <v>1580</v>
      </c>
      <c r="M44" s="55" t="s">
        <v>1580</v>
      </c>
      <c r="N44" s="55" t="s">
        <v>1429</v>
      </c>
      <c r="O44" s="55" t="s">
        <v>1429</v>
      </c>
      <c r="P44" s="56" t="s">
        <v>1429</v>
      </c>
      <c r="Q44" s="52" t="s">
        <v>1356</v>
      </c>
      <c r="R44" s="52" t="s">
        <v>113</v>
      </c>
      <c r="S44" s="52" t="s">
        <v>99</v>
      </c>
      <c r="T44" s="52" t="s">
        <v>100</v>
      </c>
      <c r="U44" s="57" t="s">
        <v>113</v>
      </c>
      <c r="V44" s="189" t="s">
        <v>1705</v>
      </c>
      <c r="W44" s="51" t="s">
        <v>1677</v>
      </c>
      <c r="X44" s="130" t="s">
        <v>1429</v>
      </c>
      <c r="Y44" s="130" t="s">
        <v>1429</v>
      </c>
      <c r="Z44" s="51" t="s">
        <v>1678</v>
      </c>
      <c r="AA44" s="51" t="s">
        <v>1679</v>
      </c>
      <c r="AB44" s="51" t="s">
        <v>3665</v>
      </c>
      <c r="AC44" s="51" t="s">
        <v>1587</v>
      </c>
      <c r="AD44" s="59" t="str">
        <f t="shared" si="6"/>
        <v>I2S4</v>
      </c>
      <c r="AE44" s="66"/>
      <c r="AF44" s="61" t="str">
        <f t="shared" si="7"/>
        <v>NORMAL</v>
      </c>
      <c r="AG44" s="61" t="str">
        <f t="shared" si="5"/>
        <v>NORMAL</v>
      </c>
      <c r="AH44" s="61" t="str">
        <f t="shared" si="8"/>
        <v>DISABLE</v>
      </c>
      <c r="AI44" s="67" t="str">
        <f t="shared" si="10"/>
        <v>N/A</v>
      </c>
      <c r="AJ44" s="176" t="b">
        <v>1</v>
      </c>
      <c r="AK44" s="176" t="b">
        <v>1</v>
      </c>
      <c r="AL44" s="176" t="b">
        <v>1</v>
      </c>
      <c r="AM44" s="176" t="b">
        <v>1</v>
      </c>
      <c r="AN44" s="176" t="b">
        <v>1</v>
      </c>
      <c r="AO44" s="176" t="b">
        <v>1</v>
      </c>
      <c r="AP44" s="64" t="str">
        <f t="shared" si="11"/>
        <v>VALID</v>
      </c>
      <c r="AQ44" s="211" t="s">
        <v>1503</v>
      </c>
      <c r="AR44" s="182" t="s">
        <v>3495</v>
      </c>
      <c r="AS44" s="181"/>
      <c r="AT44" s="5"/>
      <c r="AU44" s="5"/>
      <c r="AV44" s="5"/>
      <c r="AW44" s="5"/>
      <c r="AX44" s="284"/>
      <c r="AY44" s="181"/>
      <c r="AZ44" s="181"/>
      <c r="BA44" s="7"/>
      <c r="BB44" s="212"/>
      <c r="BC44" s="10" t="s">
        <v>3699</v>
      </c>
      <c r="BD44" s="238"/>
      <c r="BE44" s="239"/>
      <c r="BF44" s="239"/>
      <c r="BG44" s="239"/>
      <c r="BH44" s="239"/>
      <c r="BI44" s="239"/>
      <c r="BJ44" s="239"/>
      <c r="BK44" s="239"/>
      <c r="BL44" s="239"/>
      <c r="BM44" s="239"/>
      <c r="BN44" s="239"/>
      <c r="BO44" s="239"/>
      <c r="BP44" s="239"/>
      <c r="BQ44" s="239"/>
      <c r="BR44" s="239"/>
      <c r="BS44" s="239"/>
      <c r="BT44" s="239"/>
      <c r="BU44" s="239"/>
      <c r="BV44" s="239"/>
      <c r="BW44" s="239"/>
      <c r="BX44" s="239"/>
      <c r="BY44" s="239"/>
      <c r="BZ44" s="239"/>
      <c r="CA44" s="239"/>
      <c r="CB44" s="239"/>
      <c r="CC44" s="239"/>
      <c r="CD44" s="239"/>
      <c r="CE44" s="239"/>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1"/>
      <c r="AT45" s="241"/>
      <c r="AU45" s="241"/>
      <c r="AV45" s="241"/>
      <c r="AW45" s="241"/>
      <c r="AX45" s="285"/>
      <c r="AY45" s="241"/>
      <c r="AZ45" s="241"/>
      <c r="BA45" s="241"/>
      <c r="BB45" s="168" t="s">
        <v>49</v>
      </c>
      <c r="BC45" s="242"/>
      <c r="BD45" s="245"/>
      <c r="BE45" s="243"/>
      <c r="BF45" s="243"/>
      <c r="BG45" s="243"/>
      <c r="BH45" s="243"/>
      <c r="BI45" s="243"/>
      <c r="BJ45" s="243"/>
      <c r="BK45" s="243"/>
      <c r="BL45" s="243"/>
      <c r="BM45" s="243"/>
      <c r="BN45" s="243"/>
      <c r="BO45" s="243"/>
      <c r="BP45" s="243"/>
      <c r="BQ45" s="243"/>
      <c r="BR45" s="243"/>
      <c r="BS45" s="243"/>
      <c r="BT45" s="243"/>
      <c r="BU45" s="243"/>
      <c r="BV45" s="243"/>
      <c r="BW45" s="243"/>
      <c r="BX45" s="243"/>
      <c r="BY45" s="243"/>
      <c r="BZ45" s="243"/>
      <c r="CA45" s="243"/>
      <c r="CB45" s="243"/>
      <c r="CC45" s="243"/>
      <c r="CD45" s="243"/>
      <c r="CE45" s="243"/>
    </row>
    <row r="46" spans="1:83" ht="12.95" customHeight="1">
      <c r="A46" s="208"/>
      <c r="B46" s="208"/>
      <c r="C46" s="2" t="s">
        <v>923</v>
      </c>
      <c r="D46" s="52" t="s">
        <v>1706</v>
      </c>
      <c r="E46" s="52" t="s">
        <v>1707</v>
      </c>
      <c r="F46" s="53" t="s">
        <v>1215</v>
      </c>
      <c r="G46" s="179"/>
      <c r="H46" s="180" t="s">
        <v>1429</v>
      </c>
      <c r="I46" s="55"/>
      <c r="J46" s="55" t="s">
        <v>1393</v>
      </c>
      <c r="K46" s="56" t="s">
        <v>1429</v>
      </c>
      <c r="L46" s="54" t="s">
        <v>1580</v>
      </c>
      <c r="M46" s="55" t="s">
        <v>1429</v>
      </c>
      <c r="N46" s="55" t="s">
        <v>1590</v>
      </c>
      <c r="O46" s="55" t="s">
        <v>1580</v>
      </c>
      <c r="P46" s="56" t="s">
        <v>1429</v>
      </c>
      <c r="Q46" s="52" t="s">
        <v>755</v>
      </c>
      <c r="R46" s="52" t="s">
        <v>751</v>
      </c>
      <c r="S46" s="52" t="s">
        <v>1357</v>
      </c>
      <c r="T46" s="52" t="s">
        <v>100</v>
      </c>
      <c r="U46" s="57" t="s">
        <v>755</v>
      </c>
      <c r="V46" s="145" t="s">
        <v>1708</v>
      </c>
      <c r="W46" s="51" t="s">
        <v>1709</v>
      </c>
      <c r="X46" s="130" t="s">
        <v>1429</v>
      </c>
      <c r="Y46" s="130" t="s">
        <v>1429</v>
      </c>
      <c r="Z46" s="51" t="s">
        <v>1678</v>
      </c>
      <c r="AA46" s="51" t="s">
        <v>1710</v>
      </c>
      <c r="AB46" s="51" t="s">
        <v>3665</v>
      </c>
      <c r="AC46" s="51" t="s">
        <v>1587</v>
      </c>
      <c r="AD46" s="59" t="str">
        <f t="shared" si="6"/>
        <v>I2S6</v>
      </c>
      <c r="AE46" s="66"/>
      <c r="AF46" s="61" t="str">
        <f t="shared" si="7"/>
        <v>PULL_DOWN</v>
      </c>
      <c r="AG46" s="61" t="str">
        <f t="shared" si="5"/>
        <v>NORMAL</v>
      </c>
      <c r="AH46" s="61" t="str">
        <f t="shared" si="8"/>
        <v>DISABLE</v>
      </c>
      <c r="AI46" s="67" t="str">
        <f t="shared" si="10"/>
        <v>N/A</v>
      </c>
      <c r="AJ46" s="176" t="b">
        <v>1</v>
      </c>
      <c r="AK46" s="176" t="b">
        <v>1</v>
      </c>
      <c r="AL46" s="176" t="b">
        <v>1</v>
      </c>
      <c r="AM46" s="176" t="b">
        <v>1</v>
      </c>
      <c r="AN46" s="176" t="b">
        <v>1</v>
      </c>
      <c r="AO46" s="176" t="b">
        <v>1</v>
      </c>
      <c r="AP46" s="64" t="str">
        <f t="shared" ref="AP46:AP53" si="12">IF(AND($AJ46:$AO46), "VALID", "INVALID")</f>
        <v>VALID</v>
      </c>
      <c r="AQ46" s="341" t="s">
        <v>1393</v>
      </c>
      <c r="AR46" s="336" t="s">
        <v>3495</v>
      </c>
      <c r="AS46" s="337" t="s">
        <v>3503</v>
      </c>
      <c r="AT46" s="342"/>
      <c r="AU46" s="342"/>
      <c r="AV46" s="342"/>
      <c r="AW46" s="342"/>
      <c r="AX46" s="342"/>
      <c r="AY46" s="337"/>
      <c r="AZ46" s="337"/>
      <c r="BA46" s="343"/>
      <c r="BB46" s="338"/>
      <c r="BC46" s="344" t="s">
        <v>1393</v>
      </c>
      <c r="BD46" s="238"/>
      <c r="BE46" s="239"/>
      <c r="BF46" s="239"/>
      <c r="BG46" s="239"/>
      <c r="BH46" s="239"/>
      <c r="BI46" s="239"/>
      <c r="BJ46" s="239"/>
      <c r="BK46" s="239"/>
      <c r="BL46" s="239"/>
      <c r="BM46" s="239"/>
      <c r="BN46" s="239"/>
      <c r="BO46" s="239"/>
      <c r="BP46" s="239"/>
      <c r="BQ46" s="239"/>
      <c r="BR46" s="239"/>
      <c r="BS46" s="239"/>
      <c r="BT46" s="239"/>
      <c r="BU46" s="239"/>
      <c r="BV46" s="239"/>
      <c r="BW46" s="239"/>
      <c r="BX46" s="239"/>
      <c r="BY46" s="239"/>
      <c r="BZ46" s="239"/>
      <c r="CA46" s="239"/>
      <c r="CB46" s="239"/>
      <c r="CC46" s="239"/>
      <c r="CD46" s="239"/>
      <c r="CE46" s="239"/>
    </row>
    <row r="47" spans="1:83" ht="12.95" customHeight="1">
      <c r="A47" s="208"/>
      <c r="B47" s="208"/>
      <c r="C47" s="2" t="s">
        <v>924</v>
      </c>
      <c r="D47" s="52" t="s">
        <v>1711</v>
      </c>
      <c r="E47" s="52" t="s">
        <v>1712</v>
      </c>
      <c r="F47" s="53" t="s">
        <v>1216</v>
      </c>
      <c r="G47" s="179"/>
      <c r="H47" s="180" t="s">
        <v>1429</v>
      </c>
      <c r="I47" s="55"/>
      <c r="J47" s="55" t="s">
        <v>1394</v>
      </c>
      <c r="K47" s="56" t="s">
        <v>1429</v>
      </c>
      <c r="L47" s="54" t="s">
        <v>1580</v>
      </c>
      <c r="M47" s="55" t="s">
        <v>1429</v>
      </c>
      <c r="N47" s="55" t="s">
        <v>1590</v>
      </c>
      <c r="O47" s="55" t="s">
        <v>1580</v>
      </c>
      <c r="P47" s="56" t="s">
        <v>1429</v>
      </c>
      <c r="Q47" s="52" t="s">
        <v>755</v>
      </c>
      <c r="R47" s="52" t="s">
        <v>751</v>
      </c>
      <c r="S47" s="52" t="s">
        <v>1357</v>
      </c>
      <c r="T47" s="52" t="s">
        <v>100</v>
      </c>
      <c r="U47" s="57" t="s">
        <v>755</v>
      </c>
      <c r="V47" s="146" t="s">
        <v>1713</v>
      </c>
      <c r="W47" s="51" t="s">
        <v>1709</v>
      </c>
      <c r="X47" s="130" t="s">
        <v>1429</v>
      </c>
      <c r="Y47" s="130" t="s">
        <v>1429</v>
      </c>
      <c r="Z47" s="51" t="s">
        <v>1678</v>
      </c>
      <c r="AA47" s="51" t="s">
        <v>1710</v>
      </c>
      <c r="AB47" s="51" t="s">
        <v>3665</v>
      </c>
      <c r="AC47" s="51" t="s">
        <v>1587</v>
      </c>
      <c r="AD47" s="59" t="str">
        <f t="shared" si="6"/>
        <v>I2S6</v>
      </c>
      <c r="AE47" s="66"/>
      <c r="AF47" s="61" t="str">
        <f t="shared" si="7"/>
        <v>PULL_DOWN</v>
      </c>
      <c r="AG47" s="61" t="str">
        <f t="shared" si="5"/>
        <v>NORMAL</v>
      </c>
      <c r="AH47" s="61" t="str">
        <f t="shared" si="8"/>
        <v>DISABLE</v>
      </c>
      <c r="AI47" s="67" t="str">
        <f t="shared" si="10"/>
        <v>N/A</v>
      </c>
      <c r="AJ47" s="176" t="b">
        <v>1</v>
      </c>
      <c r="AK47" s="176" t="b">
        <v>1</v>
      </c>
      <c r="AL47" s="176" t="b">
        <v>1</v>
      </c>
      <c r="AM47" s="176" t="b">
        <v>1</v>
      </c>
      <c r="AN47" s="176" t="b">
        <v>1</v>
      </c>
      <c r="AO47" s="176" t="b">
        <v>1</v>
      </c>
      <c r="AP47" s="64" t="str">
        <f t="shared" si="12"/>
        <v>VALID</v>
      </c>
      <c r="AQ47" s="341" t="s">
        <v>1394</v>
      </c>
      <c r="AR47" s="336" t="s">
        <v>3495</v>
      </c>
      <c r="AS47" s="337" t="s">
        <v>3503</v>
      </c>
      <c r="AT47" s="342"/>
      <c r="AU47" s="342"/>
      <c r="AV47" s="342"/>
      <c r="AW47" s="342"/>
      <c r="AX47" s="342"/>
      <c r="AY47" s="337"/>
      <c r="AZ47" s="337"/>
      <c r="BA47" s="343"/>
      <c r="BB47" s="338"/>
      <c r="BC47" s="344" t="s">
        <v>1394</v>
      </c>
      <c r="BD47" s="238"/>
      <c r="BE47" s="239"/>
      <c r="BF47" s="239"/>
      <c r="BG47" s="239"/>
      <c r="BH47" s="239"/>
      <c r="BI47" s="239"/>
      <c r="BJ47" s="239"/>
      <c r="BK47" s="239"/>
      <c r="BL47" s="239"/>
      <c r="BM47" s="239"/>
      <c r="BN47" s="239"/>
      <c r="BO47" s="239"/>
      <c r="BP47" s="239"/>
      <c r="BQ47" s="239"/>
      <c r="BR47" s="239"/>
      <c r="BS47" s="239"/>
      <c r="BT47" s="239"/>
      <c r="BU47" s="239"/>
      <c r="BV47" s="239"/>
      <c r="BW47" s="239"/>
      <c r="BX47" s="239"/>
      <c r="BY47" s="239"/>
      <c r="BZ47" s="239"/>
      <c r="CA47" s="239"/>
      <c r="CB47" s="239"/>
      <c r="CC47" s="239"/>
      <c r="CD47" s="239"/>
      <c r="CE47" s="239"/>
    </row>
    <row r="48" spans="1:83" ht="12.95" customHeight="1">
      <c r="A48" s="208"/>
      <c r="B48" s="208"/>
      <c r="C48" s="2" t="s">
        <v>925</v>
      </c>
      <c r="D48" s="52" t="s">
        <v>1714</v>
      </c>
      <c r="E48" s="52" t="s">
        <v>1715</v>
      </c>
      <c r="F48" s="53" t="s">
        <v>1217</v>
      </c>
      <c r="G48" s="179"/>
      <c r="H48" s="180" t="s">
        <v>1429</v>
      </c>
      <c r="I48" s="55"/>
      <c r="J48" s="55" t="s">
        <v>1395</v>
      </c>
      <c r="K48" s="56" t="s">
        <v>1429</v>
      </c>
      <c r="L48" s="54" t="s">
        <v>1580</v>
      </c>
      <c r="M48" s="55" t="s">
        <v>1429</v>
      </c>
      <c r="N48" s="55" t="s">
        <v>1590</v>
      </c>
      <c r="O48" s="55" t="s">
        <v>1590</v>
      </c>
      <c r="P48" s="56" t="s">
        <v>1429</v>
      </c>
      <c r="Q48" s="52" t="s">
        <v>755</v>
      </c>
      <c r="R48" s="52" t="s">
        <v>751</v>
      </c>
      <c r="S48" s="52" t="s">
        <v>1357</v>
      </c>
      <c r="T48" s="52" t="s">
        <v>100</v>
      </c>
      <c r="U48" s="57" t="s">
        <v>755</v>
      </c>
      <c r="V48" s="146" t="s">
        <v>1716</v>
      </c>
      <c r="W48" s="51" t="s">
        <v>1709</v>
      </c>
      <c r="X48" s="130" t="s">
        <v>1429</v>
      </c>
      <c r="Y48" s="130" t="s">
        <v>1429</v>
      </c>
      <c r="Z48" s="51" t="s">
        <v>1678</v>
      </c>
      <c r="AA48" s="51" t="s">
        <v>1710</v>
      </c>
      <c r="AB48" s="51" t="s">
        <v>3665</v>
      </c>
      <c r="AC48" s="51" t="s">
        <v>1587</v>
      </c>
      <c r="AD48" s="59" t="str">
        <f t="shared" si="6"/>
        <v>I2S6</v>
      </c>
      <c r="AE48" s="66"/>
      <c r="AF48" s="61" t="str">
        <f t="shared" si="7"/>
        <v>PULL_DOWN</v>
      </c>
      <c r="AG48" s="61" t="str">
        <f t="shared" si="5"/>
        <v>TRISTATE</v>
      </c>
      <c r="AH48" s="61" t="str">
        <f t="shared" si="8"/>
        <v>ENABLE</v>
      </c>
      <c r="AI48" s="67" t="str">
        <f t="shared" si="10"/>
        <v>N/A</v>
      </c>
      <c r="AJ48" s="176" t="b">
        <v>1</v>
      </c>
      <c r="AK48" s="176" t="b">
        <v>1</v>
      </c>
      <c r="AL48" s="176" t="b">
        <v>1</v>
      </c>
      <c r="AM48" s="176" t="b">
        <v>1</v>
      </c>
      <c r="AN48" s="176" t="b">
        <v>1</v>
      </c>
      <c r="AO48" s="176" t="b">
        <v>1</v>
      </c>
      <c r="AP48" s="64" t="str">
        <f t="shared" si="12"/>
        <v>VALID</v>
      </c>
      <c r="AQ48" s="341" t="s">
        <v>1395</v>
      </c>
      <c r="AR48" s="336" t="s">
        <v>3496</v>
      </c>
      <c r="AS48" s="337" t="s">
        <v>3503</v>
      </c>
      <c r="AT48" s="342"/>
      <c r="AU48" s="342"/>
      <c r="AV48" s="342"/>
      <c r="AW48" s="342"/>
      <c r="AX48" s="342"/>
      <c r="AY48" s="337"/>
      <c r="AZ48" s="337"/>
      <c r="BA48" s="343"/>
      <c r="BB48" s="338"/>
      <c r="BC48" s="344" t="s">
        <v>1395</v>
      </c>
      <c r="BD48" s="238"/>
      <c r="BE48" s="239"/>
      <c r="BF48" s="239"/>
      <c r="BG48" s="239"/>
      <c r="BH48" s="239"/>
      <c r="BI48" s="239"/>
      <c r="BJ48" s="239"/>
      <c r="BK48" s="239"/>
      <c r="BL48" s="239"/>
      <c r="BM48" s="239"/>
      <c r="BN48" s="239"/>
      <c r="BO48" s="239"/>
      <c r="BP48" s="239"/>
      <c r="BQ48" s="239"/>
      <c r="BR48" s="239"/>
      <c r="BS48" s="239"/>
      <c r="BT48" s="239"/>
      <c r="BU48" s="239"/>
      <c r="BV48" s="239"/>
      <c r="BW48" s="239"/>
      <c r="BX48" s="239"/>
      <c r="BY48" s="239"/>
      <c r="BZ48" s="239"/>
      <c r="CA48" s="239"/>
      <c r="CB48" s="239"/>
      <c r="CC48" s="239"/>
      <c r="CD48" s="239"/>
      <c r="CE48" s="239"/>
    </row>
    <row r="49" spans="1:83" ht="14.25" customHeight="1">
      <c r="A49" s="208"/>
      <c r="B49" s="208"/>
      <c r="C49" s="2" t="s">
        <v>926</v>
      </c>
      <c r="D49" s="52" t="s">
        <v>1717</v>
      </c>
      <c r="E49" s="52" t="s">
        <v>1718</v>
      </c>
      <c r="F49" s="53" t="s">
        <v>1218</v>
      </c>
      <c r="G49" s="179"/>
      <c r="H49" s="180" t="s">
        <v>1429</v>
      </c>
      <c r="I49" s="55"/>
      <c r="J49" s="55" t="s">
        <v>1396</v>
      </c>
      <c r="K49" s="56" t="s">
        <v>1429</v>
      </c>
      <c r="L49" s="54" t="s">
        <v>1580</v>
      </c>
      <c r="M49" s="55" t="s">
        <v>1429</v>
      </c>
      <c r="N49" s="55" t="s">
        <v>1590</v>
      </c>
      <c r="O49" s="55" t="s">
        <v>1580</v>
      </c>
      <c r="P49" s="56" t="s">
        <v>1429</v>
      </c>
      <c r="Q49" s="52" t="s">
        <v>755</v>
      </c>
      <c r="R49" s="52" t="s">
        <v>751</v>
      </c>
      <c r="S49" s="52" t="s">
        <v>1357</v>
      </c>
      <c r="T49" s="52" t="s">
        <v>100</v>
      </c>
      <c r="U49" s="57" t="s">
        <v>755</v>
      </c>
      <c r="V49" s="146" t="s">
        <v>1719</v>
      </c>
      <c r="W49" s="51" t="s">
        <v>1709</v>
      </c>
      <c r="X49" s="130" t="s">
        <v>1429</v>
      </c>
      <c r="Y49" s="130" t="s">
        <v>1429</v>
      </c>
      <c r="Z49" s="51" t="s">
        <v>1678</v>
      </c>
      <c r="AA49" s="51" t="s">
        <v>1710</v>
      </c>
      <c r="AB49" s="51" t="s">
        <v>3665</v>
      </c>
      <c r="AC49" s="51" t="s">
        <v>1587</v>
      </c>
      <c r="AD49" s="59" t="str">
        <f t="shared" si="6"/>
        <v>I2S6</v>
      </c>
      <c r="AE49" s="66"/>
      <c r="AF49" s="61" t="str">
        <f t="shared" si="7"/>
        <v>PULL_DOWN</v>
      </c>
      <c r="AG49" s="61" t="str">
        <f t="shared" si="5"/>
        <v>NORMAL</v>
      </c>
      <c r="AH49" s="61" t="str">
        <f t="shared" si="8"/>
        <v>DISABLE</v>
      </c>
      <c r="AI49" s="67" t="str">
        <f t="shared" si="10"/>
        <v>N/A</v>
      </c>
      <c r="AJ49" s="176" t="b">
        <v>1</v>
      </c>
      <c r="AK49" s="176" t="b">
        <v>1</v>
      </c>
      <c r="AL49" s="176" t="b">
        <v>1</v>
      </c>
      <c r="AM49" s="176" t="b">
        <v>1</v>
      </c>
      <c r="AN49" s="176" t="b">
        <v>1</v>
      </c>
      <c r="AO49" s="176" t="b">
        <v>1</v>
      </c>
      <c r="AP49" s="64" t="str">
        <f t="shared" si="12"/>
        <v>VALID</v>
      </c>
      <c r="AQ49" s="341" t="s">
        <v>1396</v>
      </c>
      <c r="AR49" s="336" t="s">
        <v>3495</v>
      </c>
      <c r="AS49" s="337" t="s">
        <v>3503</v>
      </c>
      <c r="AT49" s="342"/>
      <c r="AU49" s="342"/>
      <c r="AV49" s="342"/>
      <c r="AW49" s="342"/>
      <c r="AX49" s="342"/>
      <c r="AY49" s="337"/>
      <c r="AZ49" s="337"/>
      <c r="BA49" s="343"/>
      <c r="BB49" s="338"/>
      <c r="BC49" s="344" t="s">
        <v>1396</v>
      </c>
      <c r="BD49" s="238"/>
      <c r="BE49" s="239"/>
      <c r="BF49" s="239"/>
      <c r="BG49" s="239"/>
      <c r="BH49" s="239"/>
      <c r="BI49" s="239"/>
      <c r="BJ49" s="239"/>
      <c r="BK49" s="239"/>
      <c r="BL49" s="239"/>
      <c r="BM49" s="239"/>
      <c r="BN49" s="239"/>
      <c r="BO49" s="239"/>
      <c r="BP49" s="239"/>
      <c r="BQ49" s="239"/>
      <c r="BR49" s="239"/>
      <c r="BS49" s="239"/>
      <c r="BT49" s="239"/>
      <c r="BU49" s="239"/>
      <c r="BV49" s="239"/>
      <c r="BW49" s="239"/>
      <c r="BX49" s="239"/>
      <c r="BY49" s="239"/>
      <c r="BZ49" s="239"/>
      <c r="CA49" s="239"/>
      <c r="CB49" s="239"/>
      <c r="CC49" s="239"/>
      <c r="CD49" s="239"/>
      <c r="CE49" s="239"/>
    </row>
    <row r="50" spans="1:83" ht="12.95" customHeight="1">
      <c r="A50" s="21" t="s">
        <v>3799</v>
      </c>
      <c r="B50" s="21" t="s">
        <v>3620</v>
      </c>
      <c r="C50" s="2" t="s">
        <v>927</v>
      </c>
      <c r="D50" s="52" t="s">
        <v>1720</v>
      </c>
      <c r="E50" s="52" t="s">
        <v>1721</v>
      </c>
      <c r="F50" s="53" t="s">
        <v>1219</v>
      </c>
      <c r="G50" s="179" t="s">
        <v>1504</v>
      </c>
      <c r="H50" s="180" t="s">
        <v>1429</v>
      </c>
      <c r="I50" s="55"/>
      <c r="J50" s="55"/>
      <c r="K50" s="56" t="s">
        <v>1429</v>
      </c>
      <c r="L50" s="54" t="s">
        <v>1580</v>
      </c>
      <c r="M50" s="55" t="s">
        <v>1429</v>
      </c>
      <c r="N50" s="55" t="s">
        <v>1590</v>
      </c>
      <c r="O50" s="55" t="s">
        <v>1590</v>
      </c>
      <c r="P50" s="56" t="s">
        <v>1429</v>
      </c>
      <c r="Q50" s="52" t="s">
        <v>755</v>
      </c>
      <c r="R50" s="52" t="s">
        <v>752</v>
      </c>
      <c r="S50" s="52" t="s">
        <v>133</v>
      </c>
      <c r="T50" s="52" t="s">
        <v>100</v>
      </c>
      <c r="U50" s="57" t="s">
        <v>755</v>
      </c>
      <c r="V50" s="146" t="s">
        <v>1722</v>
      </c>
      <c r="W50" s="51" t="s">
        <v>1709</v>
      </c>
      <c r="X50" s="130" t="s">
        <v>1723</v>
      </c>
      <c r="Y50" s="130" t="s">
        <v>1429</v>
      </c>
      <c r="Z50" s="51" t="s">
        <v>1678</v>
      </c>
      <c r="AA50" s="51" t="s">
        <v>1710</v>
      </c>
      <c r="AB50" s="51" t="s">
        <v>3665</v>
      </c>
      <c r="AC50" s="51" t="s">
        <v>1587</v>
      </c>
      <c r="AD50" s="59" t="str">
        <f t="shared" si="6"/>
        <v>GPIO_PI4</v>
      </c>
      <c r="AE50" s="66"/>
      <c r="AF50" s="61" t="str">
        <f t="shared" si="7"/>
        <v>PULL_UP</v>
      </c>
      <c r="AG50" s="61" t="str">
        <f t="shared" si="5"/>
        <v>TRISTATE</v>
      </c>
      <c r="AH50" s="61" t="str">
        <f t="shared" si="8"/>
        <v>ENABLE</v>
      </c>
      <c r="AI50" s="67" t="str">
        <f t="shared" si="10"/>
        <v/>
      </c>
      <c r="AJ50" s="176" t="b">
        <v>1</v>
      </c>
      <c r="AK50" s="176" t="b">
        <v>1</v>
      </c>
      <c r="AL50" s="176" t="b">
        <v>1</v>
      </c>
      <c r="AM50" s="176" t="b">
        <v>1</v>
      </c>
      <c r="AN50" s="176" t="b">
        <v>1</v>
      </c>
      <c r="AO50" s="176" t="b">
        <v>1</v>
      </c>
      <c r="AP50" s="64" t="str">
        <f t="shared" si="12"/>
        <v>VALID</v>
      </c>
      <c r="AQ50" s="211" t="s">
        <v>1504</v>
      </c>
      <c r="AR50" s="182" t="s">
        <v>3496</v>
      </c>
      <c r="AS50" s="181" t="s">
        <v>3497</v>
      </c>
      <c r="AT50" s="181" t="s">
        <v>3499</v>
      </c>
      <c r="AU50" s="5"/>
      <c r="AV50" s="5"/>
      <c r="AW50" s="5"/>
      <c r="AX50" s="284"/>
      <c r="AY50" s="181"/>
      <c r="AZ50" s="181"/>
      <c r="BA50" s="7"/>
      <c r="BB50" s="212"/>
      <c r="BC50" s="10" t="s">
        <v>3700</v>
      </c>
      <c r="BD50" s="240"/>
      <c r="BE50" s="239"/>
      <c r="BF50" s="239"/>
      <c r="BG50" s="239"/>
      <c r="BH50" s="239"/>
      <c r="BI50" s="239"/>
      <c r="BJ50" s="239"/>
      <c r="BK50" s="239"/>
      <c r="BL50" s="239"/>
      <c r="BM50" s="239"/>
      <c r="BN50" s="239"/>
      <c r="BO50" s="239"/>
      <c r="BP50" s="239"/>
      <c r="BQ50" s="239"/>
      <c r="BR50" s="239"/>
      <c r="BS50" s="239"/>
      <c r="BT50" s="239"/>
      <c r="BU50" s="239"/>
      <c r="BV50" s="239"/>
      <c r="BW50" s="239"/>
      <c r="BX50" s="239"/>
      <c r="BY50" s="239"/>
      <c r="BZ50" s="239"/>
      <c r="CA50" s="239"/>
      <c r="CB50" s="239"/>
      <c r="CC50" s="239"/>
      <c r="CD50" s="239"/>
      <c r="CE50" s="239"/>
    </row>
    <row r="51" spans="1:83" ht="12.95" customHeight="1">
      <c r="A51" s="21" t="s">
        <v>3800</v>
      </c>
      <c r="B51" s="21" t="s">
        <v>3566</v>
      </c>
      <c r="C51" s="2" t="s">
        <v>928</v>
      </c>
      <c r="D51" s="52" t="s">
        <v>1724</v>
      </c>
      <c r="E51" s="52" t="s">
        <v>1725</v>
      </c>
      <c r="F51" s="53" t="s">
        <v>1220</v>
      </c>
      <c r="G51" s="179" t="s">
        <v>1505</v>
      </c>
      <c r="H51" s="180" t="s">
        <v>1429</v>
      </c>
      <c r="I51" s="55"/>
      <c r="J51" s="55"/>
      <c r="K51" s="56" t="s">
        <v>1429</v>
      </c>
      <c r="L51" s="54" t="s">
        <v>1580</v>
      </c>
      <c r="M51" s="55" t="s">
        <v>1429</v>
      </c>
      <c r="N51" s="55" t="s">
        <v>1590</v>
      </c>
      <c r="O51" s="55" t="s">
        <v>1590</v>
      </c>
      <c r="P51" s="56" t="s">
        <v>1429</v>
      </c>
      <c r="Q51" s="52" t="s">
        <v>755</v>
      </c>
      <c r="R51" s="52" t="s">
        <v>752</v>
      </c>
      <c r="S51" s="52" t="s">
        <v>133</v>
      </c>
      <c r="T51" s="52" t="s">
        <v>100</v>
      </c>
      <c r="U51" s="57" t="s">
        <v>755</v>
      </c>
      <c r="V51" s="146" t="s">
        <v>1726</v>
      </c>
      <c r="W51" s="51" t="s">
        <v>1709</v>
      </c>
      <c r="X51" s="130" t="s">
        <v>1429</v>
      </c>
      <c r="Y51" s="130" t="s">
        <v>1429</v>
      </c>
      <c r="Z51" s="51" t="s">
        <v>1678</v>
      </c>
      <c r="AA51" s="51" t="s">
        <v>1710</v>
      </c>
      <c r="AB51" s="51" t="s">
        <v>3665</v>
      </c>
      <c r="AC51" s="51" t="s">
        <v>1587</v>
      </c>
      <c r="AD51" s="59" t="str">
        <f t="shared" si="6"/>
        <v>GPIO_PI5</v>
      </c>
      <c r="AE51" s="66"/>
      <c r="AF51" s="61" t="str">
        <f t="shared" si="7"/>
        <v>NORMAL</v>
      </c>
      <c r="AG51" s="61" t="str">
        <f t="shared" si="5"/>
        <v>NORMAL</v>
      </c>
      <c r="AH51" s="61" t="str">
        <f t="shared" si="8"/>
        <v>DISABLE</v>
      </c>
      <c r="AI51" s="67" t="str">
        <f t="shared" si="10"/>
        <v>0</v>
      </c>
      <c r="AJ51" s="176" t="b">
        <v>1</v>
      </c>
      <c r="AK51" s="176" t="b">
        <v>1</v>
      </c>
      <c r="AL51" s="176" t="b">
        <v>1</v>
      </c>
      <c r="AM51" s="176" t="b">
        <v>1</v>
      </c>
      <c r="AN51" s="176" t="b">
        <v>1</v>
      </c>
      <c r="AO51" s="176" t="b">
        <v>1</v>
      </c>
      <c r="AP51" s="64" t="str">
        <f t="shared" si="12"/>
        <v>VALID</v>
      </c>
      <c r="AQ51" s="246" t="s">
        <v>1505</v>
      </c>
      <c r="AR51" s="164" t="s">
        <v>3495</v>
      </c>
      <c r="AS51" s="9" t="s">
        <v>3500</v>
      </c>
      <c r="AT51" s="219"/>
      <c r="AU51" s="219"/>
      <c r="AV51" s="219"/>
      <c r="AW51" s="219"/>
      <c r="AX51" s="287"/>
      <c r="AY51" s="9"/>
      <c r="AZ51" s="9"/>
      <c r="BA51" s="13"/>
      <c r="BB51" s="220"/>
      <c r="BC51" s="11" t="s">
        <v>3701</v>
      </c>
      <c r="BD51" s="240"/>
      <c r="BE51" s="239"/>
      <c r="BF51" s="239"/>
      <c r="BG51" s="239"/>
      <c r="BH51" s="239"/>
      <c r="BI51" s="239"/>
      <c r="BJ51" s="239"/>
      <c r="BK51" s="239"/>
      <c r="BL51" s="239"/>
      <c r="BM51" s="239"/>
      <c r="BN51" s="239"/>
      <c r="BO51" s="239"/>
      <c r="BP51" s="239"/>
      <c r="BQ51" s="239"/>
      <c r="BR51" s="239"/>
      <c r="BS51" s="239"/>
      <c r="BT51" s="239"/>
      <c r="BU51" s="239"/>
      <c r="BV51" s="239"/>
      <c r="BW51" s="239"/>
      <c r="BX51" s="239"/>
      <c r="BY51" s="239"/>
      <c r="BZ51" s="239"/>
      <c r="CA51" s="239"/>
      <c r="CB51" s="239"/>
      <c r="CC51" s="239"/>
      <c r="CD51" s="239"/>
      <c r="CE51" s="239"/>
    </row>
    <row r="52" spans="1:83" ht="12.95" customHeight="1">
      <c r="A52" s="21" t="s">
        <v>3801</v>
      </c>
      <c r="B52" s="21" t="s">
        <v>3563</v>
      </c>
      <c r="C52" s="2" t="s">
        <v>929</v>
      </c>
      <c r="D52" s="52" t="s">
        <v>1727</v>
      </c>
      <c r="E52" s="52" t="s">
        <v>1728</v>
      </c>
      <c r="F52" s="53" t="s">
        <v>1221</v>
      </c>
      <c r="G52" s="179" t="s">
        <v>1506</v>
      </c>
      <c r="H52" s="180" t="s">
        <v>1429</v>
      </c>
      <c r="I52" s="55"/>
      <c r="J52" s="55"/>
      <c r="K52" s="56" t="s">
        <v>1429</v>
      </c>
      <c r="L52" s="54" t="s">
        <v>1580</v>
      </c>
      <c r="M52" s="55" t="s">
        <v>1429</v>
      </c>
      <c r="N52" s="55" t="s">
        <v>1590</v>
      </c>
      <c r="O52" s="55" t="s">
        <v>1590</v>
      </c>
      <c r="P52" s="56" t="s">
        <v>1429</v>
      </c>
      <c r="Q52" s="52" t="s">
        <v>755</v>
      </c>
      <c r="R52" s="52" t="s">
        <v>752</v>
      </c>
      <c r="S52" s="52" t="s">
        <v>133</v>
      </c>
      <c r="T52" s="52" t="s">
        <v>100</v>
      </c>
      <c r="U52" s="57" t="s">
        <v>755</v>
      </c>
      <c r="V52" s="146" t="s">
        <v>1729</v>
      </c>
      <c r="W52" s="51" t="s">
        <v>1709</v>
      </c>
      <c r="X52" s="130" t="s">
        <v>1730</v>
      </c>
      <c r="Y52" s="130" t="s">
        <v>1429</v>
      </c>
      <c r="Z52" s="51" t="s">
        <v>1678</v>
      </c>
      <c r="AA52" s="51" t="s">
        <v>1710</v>
      </c>
      <c r="AB52" s="51" t="s">
        <v>3665</v>
      </c>
      <c r="AC52" s="51" t="s">
        <v>1587</v>
      </c>
      <c r="AD52" s="59" t="str">
        <f t="shared" si="6"/>
        <v>GPIO_PI6</v>
      </c>
      <c r="AE52" s="66"/>
      <c r="AF52" s="61" t="str">
        <f t="shared" si="7"/>
        <v>PULL_UP</v>
      </c>
      <c r="AG52" s="61" t="str">
        <f t="shared" si="5"/>
        <v>TRISTATE</v>
      </c>
      <c r="AH52" s="61" t="str">
        <f t="shared" si="8"/>
        <v>ENABLE</v>
      </c>
      <c r="AI52" s="67" t="str">
        <f t="shared" si="10"/>
        <v/>
      </c>
      <c r="AJ52" s="176" t="b">
        <v>1</v>
      </c>
      <c r="AK52" s="176" t="b">
        <v>1</v>
      </c>
      <c r="AL52" s="176" t="b">
        <v>1</v>
      </c>
      <c r="AM52" s="176" t="b">
        <v>1</v>
      </c>
      <c r="AN52" s="176" t="b">
        <v>1</v>
      </c>
      <c r="AO52" s="176" t="b">
        <v>1</v>
      </c>
      <c r="AP52" s="64" t="str">
        <f t="shared" si="12"/>
        <v>VALID</v>
      </c>
      <c r="AQ52" s="221" t="s">
        <v>1506</v>
      </c>
      <c r="AR52" s="182" t="s">
        <v>3496</v>
      </c>
      <c r="AS52" s="181" t="s">
        <v>3497</v>
      </c>
      <c r="AT52" s="181" t="s">
        <v>3499</v>
      </c>
      <c r="AU52" s="5"/>
      <c r="AV52" s="5"/>
      <c r="AW52" s="5"/>
      <c r="AX52" s="284"/>
      <c r="AY52" s="181"/>
      <c r="AZ52" s="181"/>
      <c r="BA52" s="14" t="s">
        <v>101</v>
      </c>
      <c r="BB52" s="222"/>
      <c r="BC52" s="16" t="s">
        <v>3702</v>
      </c>
      <c r="BD52" s="240"/>
      <c r="BE52" s="239"/>
      <c r="BF52" s="239"/>
      <c r="BG52" s="239"/>
      <c r="BH52" s="239"/>
      <c r="BI52" s="239"/>
      <c r="BJ52" s="239"/>
      <c r="BK52" s="239"/>
      <c r="BL52" s="239"/>
      <c r="BM52" s="239"/>
      <c r="BN52" s="239"/>
      <c r="BO52" s="239"/>
      <c r="BP52" s="239"/>
      <c r="BQ52" s="239"/>
      <c r="BR52" s="239"/>
      <c r="BS52" s="239"/>
      <c r="BT52" s="239"/>
      <c r="BU52" s="239"/>
      <c r="BV52" s="239"/>
      <c r="BW52" s="239"/>
      <c r="BX52" s="239"/>
      <c r="BY52" s="239"/>
      <c r="BZ52" s="239"/>
      <c r="CA52" s="239"/>
      <c r="CB52" s="239"/>
      <c r="CC52" s="239"/>
      <c r="CD52" s="239"/>
      <c r="CE52" s="239"/>
    </row>
    <row r="53" spans="1:83" ht="12.95" customHeight="1">
      <c r="A53" s="21" t="s">
        <v>3802</v>
      </c>
      <c r="B53" s="21" t="s">
        <v>2318</v>
      </c>
      <c r="C53" s="2" t="s">
        <v>930</v>
      </c>
      <c r="D53" s="52" t="s">
        <v>1731</v>
      </c>
      <c r="E53" s="52" t="s">
        <v>1732</v>
      </c>
      <c r="F53" s="53" t="s">
        <v>1222</v>
      </c>
      <c r="G53" s="179" t="s">
        <v>1507</v>
      </c>
      <c r="H53" s="180" t="s">
        <v>1429</v>
      </c>
      <c r="I53" s="55"/>
      <c r="J53" s="55"/>
      <c r="K53" s="56" t="s">
        <v>1429</v>
      </c>
      <c r="L53" s="54" t="s">
        <v>1580</v>
      </c>
      <c r="M53" s="55" t="s">
        <v>1429</v>
      </c>
      <c r="N53" s="55" t="s">
        <v>1590</v>
      </c>
      <c r="O53" s="55" t="s">
        <v>1590</v>
      </c>
      <c r="P53" s="56" t="s">
        <v>1429</v>
      </c>
      <c r="Q53" s="52" t="s">
        <v>755</v>
      </c>
      <c r="R53" s="52" t="s">
        <v>752</v>
      </c>
      <c r="S53" s="52" t="s">
        <v>133</v>
      </c>
      <c r="T53" s="52" t="s">
        <v>100</v>
      </c>
      <c r="U53" s="57" t="s">
        <v>755</v>
      </c>
      <c r="V53" s="189" t="s">
        <v>1733</v>
      </c>
      <c r="W53" s="51" t="s">
        <v>1709</v>
      </c>
      <c r="X53" s="130" t="s">
        <v>1429</v>
      </c>
      <c r="Y53" s="130" t="s">
        <v>1429</v>
      </c>
      <c r="Z53" s="51" t="s">
        <v>1678</v>
      </c>
      <c r="AA53" s="51" t="s">
        <v>1710</v>
      </c>
      <c r="AB53" s="51" t="s">
        <v>3665</v>
      </c>
      <c r="AC53" s="51" t="s">
        <v>1587</v>
      </c>
      <c r="AD53" s="59" t="str">
        <f t="shared" si="6"/>
        <v>GPIO_PI7</v>
      </c>
      <c r="AE53" s="66"/>
      <c r="AF53" s="61" t="str">
        <f t="shared" si="7"/>
        <v>PULL_DOWN</v>
      </c>
      <c r="AG53" s="61" t="str">
        <f t="shared" si="5"/>
        <v>TRISTATE</v>
      </c>
      <c r="AH53" s="61" t="str">
        <f t="shared" si="8"/>
        <v>ENABLE</v>
      </c>
      <c r="AI53" s="67" t="str">
        <f t="shared" si="10"/>
        <v/>
      </c>
      <c r="AJ53" s="176" t="b">
        <v>1</v>
      </c>
      <c r="AK53" s="176" t="b">
        <v>1</v>
      </c>
      <c r="AL53" s="176" t="b">
        <v>1</v>
      </c>
      <c r="AM53" s="176" t="b">
        <v>1</v>
      </c>
      <c r="AN53" s="176" t="b">
        <v>1</v>
      </c>
      <c r="AO53" s="176" t="b">
        <v>1</v>
      </c>
      <c r="AP53" s="64" t="str">
        <f t="shared" si="12"/>
        <v>VALID</v>
      </c>
      <c r="AQ53" s="211" t="s">
        <v>1507</v>
      </c>
      <c r="AR53" s="182" t="s">
        <v>3496</v>
      </c>
      <c r="AS53" s="181" t="s">
        <v>3503</v>
      </c>
      <c r="AT53" s="219"/>
      <c r="AU53" s="5"/>
      <c r="AV53" s="5"/>
      <c r="AW53" s="5"/>
      <c r="AX53" s="284"/>
      <c r="AY53" s="181"/>
      <c r="AZ53" s="181"/>
      <c r="BA53" s="7"/>
      <c r="BB53" s="212"/>
      <c r="BC53" s="10" t="s">
        <v>3703</v>
      </c>
      <c r="BD53" s="240"/>
      <c r="BE53" s="239"/>
      <c r="BF53" s="239"/>
      <c r="BG53" s="239"/>
      <c r="BH53" s="239"/>
      <c r="BI53" s="239"/>
      <c r="BJ53" s="239"/>
      <c r="BK53" s="239"/>
      <c r="BL53" s="239"/>
      <c r="BM53" s="239"/>
      <c r="BN53" s="239"/>
      <c r="BO53" s="239"/>
      <c r="BP53" s="239"/>
      <c r="BQ53" s="239"/>
      <c r="BR53" s="239"/>
      <c r="BS53" s="239"/>
      <c r="BT53" s="239"/>
      <c r="BU53" s="239"/>
      <c r="BV53" s="239"/>
      <c r="BW53" s="239"/>
      <c r="BX53" s="239"/>
      <c r="BY53" s="239"/>
      <c r="BZ53" s="239"/>
      <c r="CA53" s="239"/>
      <c r="CB53" s="239"/>
      <c r="CC53" s="239"/>
      <c r="CD53" s="239"/>
      <c r="CE53" s="239"/>
    </row>
    <row r="54" spans="1:83" s="50" customFormat="1" ht="18" customHeight="1">
      <c r="A54" s="44" t="s">
        <v>52</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1"/>
      <c r="AT54" s="241"/>
      <c r="AU54" s="241"/>
      <c r="AV54" s="241"/>
      <c r="AW54" s="241"/>
      <c r="AX54" s="285"/>
      <c r="AY54" s="241"/>
      <c r="AZ54" s="241"/>
      <c r="BA54" s="241"/>
      <c r="BB54" s="168" t="s">
        <v>49</v>
      </c>
      <c r="BC54" s="244"/>
      <c r="BD54" s="245"/>
      <c r="BE54" s="308"/>
      <c r="BF54" s="243"/>
      <c r="BG54" s="243"/>
      <c r="BH54" s="243"/>
      <c r="BI54" s="243"/>
      <c r="BJ54" s="243"/>
      <c r="BK54" s="243"/>
      <c r="BL54" s="243"/>
      <c r="BM54" s="243"/>
      <c r="BN54" s="243"/>
      <c r="BO54" s="243"/>
      <c r="BP54" s="243"/>
      <c r="BQ54" s="243"/>
      <c r="BR54" s="243"/>
      <c r="BS54" s="243"/>
      <c r="BT54" s="243"/>
      <c r="BU54" s="243"/>
      <c r="BV54" s="243"/>
      <c r="BW54" s="243"/>
      <c r="BX54" s="243"/>
      <c r="BY54" s="243"/>
      <c r="BZ54" s="243"/>
      <c r="CA54" s="243"/>
      <c r="CB54" s="243"/>
      <c r="CC54" s="243"/>
      <c r="CD54" s="243"/>
      <c r="CE54" s="243"/>
    </row>
    <row r="55" spans="1:83" ht="12.95" customHeight="1">
      <c r="A55" s="21" t="s">
        <v>1397</v>
      </c>
      <c r="B55" s="21" t="s">
        <v>2304</v>
      </c>
      <c r="C55" s="51" t="s">
        <v>931</v>
      </c>
      <c r="D55" s="52" t="s">
        <v>1734</v>
      </c>
      <c r="E55" s="52" t="s">
        <v>1735</v>
      </c>
      <c r="F55" s="53" t="s">
        <v>1223</v>
      </c>
      <c r="G55" s="179" t="s">
        <v>1508</v>
      </c>
      <c r="H55" s="180" t="s">
        <v>931</v>
      </c>
      <c r="I55" s="55" t="s">
        <v>1429</v>
      </c>
      <c r="J55" s="55" t="s">
        <v>1429</v>
      </c>
      <c r="K55" s="56" t="s">
        <v>1429</v>
      </c>
      <c r="L55" s="54" t="s">
        <v>1580</v>
      </c>
      <c r="M55" s="55" t="s">
        <v>1581</v>
      </c>
      <c r="N55" s="55" t="s">
        <v>1429</v>
      </c>
      <c r="O55" s="55" t="s">
        <v>1429</v>
      </c>
      <c r="P55" s="56" t="s">
        <v>1429</v>
      </c>
      <c r="Q55" s="52" t="s">
        <v>1358</v>
      </c>
      <c r="R55" s="52" t="s">
        <v>113</v>
      </c>
      <c r="S55" s="52" t="s">
        <v>99</v>
      </c>
      <c r="T55" s="52" t="s">
        <v>100</v>
      </c>
      <c r="U55" s="57" t="s">
        <v>113</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6" t="b">
        <v>1</v>
      </c>
      <c r="AK55" s="176" t="b">
        <v>1</v>
      </c>
      <c r="AL55" s="176" t="b">
        <v>1</v>
      </c>
      <c r="AM55" s="176" t="b">
        <v>1</v>
      </c>
      <c r="AN55" s="176" t="b">
        <v>1</v>
      </c>
      <c r="AO55" s="176" t="b">
        <v>1</v>
      </c>
      <c r="AP55" s="64" t="str">
        <f t="shared" ref="AP55:AP65" si="13">IF(AND($AJ55:$AO55), "VALID", "INVALID")</f>
        <v>VALID</v>
      </c>
      <c r="AQ55" s="217" t="s">
        <v>931</v>
      </c>
      <c r="AR55" s="182" t="s">
        <v>3495</v>
      </c>
      <c r="AS55" s="181"/>
      <c r="AT55" s="5"/>
      <c r="AU55" s="5"/>
      <c r="AV55" s="5"/>
      <c r="AW55" s="181" t="s">
        <v>125</v>
      </c>
      <c r="AX55" s="284"/>
      <c r="AY55" s="181"/>
      <c r="AZ55" s="181"/>
      <c r="BA55" s="7"/>
      <c r="BB55" s="212"/>
      <c r="BC55" s="10" t="s">
        <v>3704</v>
      </c>
      <c r="BD55" s="238"/>
      <c r="BE55" s="239"/>
      <c r="BF55" s="239"/>
      <c r="BG55" s="239"/>
      <c r="BH55" s="239"/>
      <c r="BI55" s="239"/>
      <c r="BJ55" s="239"/>
      <c r="BK55" s="239"/>
      <c r="BL55" s="239"/>
      <c r="BM55" s="239"/>
      <c r="BN55" s="239"/>
      <c r="BO55" s="239"/>
      <c r="BP55" s="239"/>
      <c r="BQ55" s="239"/>
      <c r="BR55" s="239"/>
      <c r="BS55" s="239"/>
      <c r="BT55" s="239"/>
      <c r="BU55" s="239"/>
      <c r="BV55" s="239"/>
      <c r="BW55" s="239"/>
      <c r="BX55" s="239"/>
      <c r="BY55" s="239"/>
      <c r="BZ55" s="239"/>
      <c r="CA55" s="239"/>
      <c r="CB55" s="239"/>
      <c r="CC55" s="239"/>
      <c r="CD55" s="239"/>
      <c r="CE55" s="239"/>
    </row>
    <row r="56" spans="1:83" ht="12.95" customHeight="1">
      <c r="A56" s="21" t="s">
        <v>1398</v>
      </c>
      <c r="B56" s="21" t="s">
        <v>2298</v>
      </c>
      <c r="C56" s="51" t="s">
        <v>932</v>
      </c>
      <c r="D56" s="52" t="s">
        <v>1738</v>
      </c>
      <c r="E56" s="52" t="s">
        <v>1739</v>
      </c>
      <c r="F56" s="53" t="s">
        <v>1224</v>
      </c>
      <c r="G56" s="179" t="s">
        <v>1509</v>
      </c>
      <c r="H56" s="180" t="s">
        <v>932</v>
      </c>
      <c r="I56" s="55" t="s">
        <v>1429</v>
      </c>
      <c r="J56" s="55" t="s">
        <v>1429</v>
      </c>
      <c r="K56" s="56" t="s">
        <v>1429</v>
      </c>
      <c r="L56" s="54" t="s">
        <v>1580</v>
      </c>
      <c r="M56" s="55" t="s">
        <v>1581</v>
      </c>
      <c r="N56" s="55" t="s">
        <v>1429</v>
      </c>
      <c r="O56" s="55" t="s">
        <v>1429</v>
      </c>
      <c r="P56" s="56" t="s">
        <v>1429</v>
      </c>
      <c r="Q56" s="52" t="s">
        <v>1359</v>
      </c>
      <c r="R56" s="52" t="s">
        <v>113</v>
      </c>
      <c r="S56" s="52" t="s">
        <v>99</v>
      </c>
      <c r="T56" s="52" t="s">
        <v>100</v>
      </c>
      <c r="U56" s="57" t="s">
        <v>113</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6" t="b">
        <v>1</v>
      </c>
      <c r="AK56" s="176" t="b">
        <v>1</v>
      </c>
      <c r="AL56" s="176" t="b">
        <v>1</v>
      </c>
      <c r="AM56" s="176" t="b">
        <v>1</v>
      </c>
      <c r="AN56" s="176" t="b">
        <v>1</v>
      </c>
      <c r="AO56" s="176" t="b">
        <v>1</v>
      </c>
      <c r="AP56" s="64" t="str">
        <f t="shared" si="13"/>
        <v>VALID</v>
      </c>
      <c r="AQ56" s="217" t="s">
        <v>932</v>
      </c>
      <c r="AR56" s="182" t="s">
        <v>3495</v>
      </c>
      <c r="AS56" s="181"/>
      <c r="AT56" s="5"/>
      <c r="AU56" s="5"/>
      <c r="AV56" s="5"/>
      <c r="AW56" s="181" t="s">
        <v>125</v>
      </c>
      <c r="AX56" s="284"/>
      <c r="AY56" s="181"/>
      <c r="AZ56" s="181"/>
      <c r="BA56" s="7"/>
      <c r="BB56" s="212"/>
      <c r="BC56" s="10" t="s">
        <v>3705</v>
      </c>
      <c r="BD56" s="238"/>
      <c r="BE56" s="239"/>
      <c r="BF56" s="239"/>
      <c r="BG56" s="239"/>
      <c r="BH56" s="239"/>
      <c r="BI56" s="239"/>
      <c r="BJ56" s="239"/>
      <c r="BK56" s="239"/>
      <c r="BL56" s="239"/>
      <c r="BM56" s="239"/>
      <c r="BN56" s="239"/>
      <c r="BO56" s="239"/>
      <c r="BP56" s="239"/>
      <c r="BQ56" s="239"/>
      <c r="BR56" s="239"/>
      <c r="BS56" s="239"/>
      <c r="BT56" s="239"/>
      <c r="BU56" s="239"/>
      <c r="BV56" s="239"/>
      <c r="BW56" s="239"/>
      <c r="BX56" s="239"/>
      <c r="BY56" s="239"/>
      <c r="BZ56" s="239"/>
      <c r="CA56" s="239"/>
      <c r="CB56" s="239"/>
      <c r="CC56" s="239"/>
      <c r="CD56" s="239"/>
      <c r="CE56" s="239"/>
    </row>
    <row r="57" spans="1:83" ht="12.95" customHeight="1">
      <c r="A57" s="1"/>
      <c r="B57" s="1"/>
      <c r="C57" s="51" t="s">
        <v>933</v>
      </c>
      <c r="D57" s="52" t="s">
        <v>1741</v>
      </c>
      <c r="E57" s="52" t="s">
        <v>1742</v>
      </c>
      <c r="F57" s="53" t="s">
        <v>1225</v>
      </c>
      <c r="G57" s="179" t="s">
        <v>1510</v>
      </c>
      <c r="H57" s="180"/>
      <c r="I57" s="55" t="s">
        <v>1429</v>
      </c>
      <c r="J57" s="55" t="s">
        <v>1429</v>
      </c>
      <c r="K57" s="56" t="s">
        <v>1429</v>
      </c>
      <c r="L57" s="54" t="s">
        <v>1580</v>
      </c>
      <c r="M57" s="55" t="s">
        <v>1580</v>
      </c>
      <c r="N57" s="55" t="s">
        <v>1429</v>
      </c>
      <c r="O57" s="55" t="s">
        <v>1429</v>
      </c>
      <c r="P57" s="56" t="s">
        <v>1429</v>
      </c>
      <c r="Q57" s="52" t="s">
        <v>122</v>
      </c>
      <c r="R57" s="52" t="s">
        <v>113</v>
      </c>
      <c r="S57" s="52" t="s">
        <v>99</v>
      </c>
      <c r="T57" s="52" t="s">
        <v>100</v>
      </c>
      <c r="U57" s="57" t="s">
        <v>113</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6" t="b">
        <v>1</v>
      </c>
      <c r="AK57" s="176" t="b">
        <v>1</v>
      </c>
      <c r="AL57" s="176" t="b">
        <v>1</v>
      </c>
      <c r="AM57" s="176" t="b">
        <v>1</v>
      </c>
      <c r="AN57" s="176" t="b">
        <v>1</v>
      </c>
      <c r="AO57" s="176" t="b">
        <v>1</v>
      </c>
      <c r="AP57" s="64" t="str">
        <f t="shared" si="13"/>
        <v>VALID</v>
      </c>
      <c r="AQ57" s="345" t="s">
        <v>1510</v>
      </c>
      <c r="AR57" s="336" t="s">
        <v>3495</v>
      </c>
      <c r="AS57" s="337" t="s">
        <v>3500</v>
      </c>
      <c r="AT57" s="342"/>
      <c r="AU57" s="342"/>
      <c r="AV57" s="342"/>
      <c r="AW57" s="337" t="s">
        <v>125</v>
      </c>
      <c r="AX57" s="342"/>
      <c r="AY57" s="337"/>
      <c r="AZ57" s="337"/>
      <c r="BA57" s="343"/>
      <c r="BB57" s="338"/>
      <c r="BC57" s="344" t="s">
        <v>3706</v>
      </c>
      <c r="BD57" s="238"/>
      <c r="BE57" s="239"/>
      <c r="BF57" s="239"/>
      <c r="BG57" s="239"/>
      <c r="BH57" s="239"/>
      <c r="BI57" s="239"/>
      <c r="BJ57" s="239"/>
      <c r="BK57" s="239"/>
      <c r="BL57" s="239"/>
      <c r="BM57" s="239"/>
      <c r="BN57" s="239"/>
      <c r="BO57" s="239"/>
      <c r="BP57" s="239"/>
      <c r="BQ57" s="239"/>
      <c r="BR57" s="239"/>
      <c r="BS57" s="239"/>
      <c r="BT57" s="239"/>
      <c r="BU57" s="239"/>
      <c r="BV57" s="239"/>
      <c r="BW57" s="239"/>
      <c r="BX57" s="239"/>
      <c r="BY57" s="239"/>
      <c r="BZ57" s="239"/>
      <c r="CA57" s="239"/>
      <c r="CB57" s="239"/>
      <c r="CC57" s="239"/>
      <c r="CD57" s="239"/>
      <c r="CE57" s="239"/>
    </row>
    <row r="58" spans="1:83" ht="12.95" customHeight="1">
      <c r="A58" s="21" t="s">
        <v>3333</v>
      </c>
      <c r="B58" s="21" t="s">
        <v>3639</v>
      </c>
      <c r="C58" s="51" t="s">
        <v>934</v>
      </c>
      <c r="D58" s="52" t="s">
        <v>1744</v>
      </c>
      <c r="E58" s="52" t="s">
        <v>1745</v>
      </c>
      <c r="F58" s="53" t="s">
        <v>1226</v>
      </c>
      <c r="G58" s="179" t="s">
        <v>1746</v>
      </c>
      <c r="H58" s="180" t="s">
        <v>126</v>
      </c>
      <c r="I58" s="55" t="s">
        <v>1399</v>
      </c>
      <c r="J58" s="55" t="s">
        <v>1429</v>
      </c>
      <c r="K58" s="56" t="s">
        <v>1429</v>
      </c>
      <c r="L58" s="54" t="s">
        <v>1580</v>
      </c>
      <c r="M58" s="55" t="s">
        <v>1580</v>
      </c>
      <c r="N58" s="55" t="s">
        <v>1581</v>
      </c>
      <c r="O58" s="55" t="s">
        <v>1429</v>
      </c>
      <c r="P58" s="56" t="s">
        <v>1429</v>
      </c>
      <c r="Q58" s="52" t="s">
        <v>126</v>
      </c>
      <c r="R58" s="52" t="s">
        <v>157</v>
      </c>
      <c r="S58" s="52" t="s">
        <v>99</v>
      </c>
      <c r="T58" s="52" t="s">
        <v>100</v>
      </c>
      <c r="U58" s="57" t="s">
        <v>99</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6" t="b">
        <v>1</v>
      </c>
      <c r="AK58" s="176" t="b">
        <v>1</v>
      </c>
      <c r="AL58" s="176" t="b">
        <v>1</v>
      </c>
      <c r="AM58" s="176" t="b">
        <v>1</v>
      </c>
      <c r="AN58" s="176" t="b">
        <v>1</v>
      </c>
      <c r="AO58" s="176" t="b">
        <v>1</v>
      </c>
      <c r="AP58" s="64" t="str">
        <f t="shared" si="13"/>
        <v>VALID</v>
      </c>
      <c r="AQ58" s="217" t="s">
        <v>1399</v>
      </c>
      <c r="AR58" s="182" t="s">
        <v>3495</v>
      </c>
      <c r="AS58" s="181"/>
      <c r="AT58" s="5"/>
      <c r="AU58" s="5"/>
      <c r="AV58" s="5"/>
      <c r="AW58" s="181" t="s">
        <v>125</v>
      </c>
      <c r="AX58" s="284"/>
      <c r="AY58" s="181"/>
      <c r="AZ58" s="181"/>
      <c r="BA58" s="7"/>
      <c r="BB58" s="212"/>
      <c r="BC58" s="10" t="s">
        <v>3707</v>
      </c>
      <c r="BD58" s="238"/>
      <c r="BE58" s="239"/>
      <c r="BF58" s="239"/>
      <c r="BG58" s="239"/>
      <c r="BH58" s="239"/>
      <c r="BI58" s="239"/>
      <c r="BJ58" s="239"/>
      <c r="BK58" s="239"/>
      <c r="BL58" s="239"/>
      <c r="BM58" s="239"/>
      <c r="BN58" s="239"/>
      <c r="BO58" s="239"/>
      <c r="BP58" s="239"/>
      <c r="BQ58" s="239"/>
      <c r="BR58" s="239"/>
      <c r="BS58" s="239"/>
      <c r="BT58" s="239"/>
      <c r="BU58" s="239"/>
      <c r="BV58" s="239"/>
      <c r="BW58" s="239"/>
      <c r="BX58" s="239"/>
      <c r="BY58" s="239"/>
      <c r="BZ58" s="239"/>
      <c r="CA58" s="239"/>
      <c r="CB58" s="239"/>
      <c r="CC58" s="239"/>
      <c r="CD58" s="239"/>
      <c r="CE58" s="239"/>
    </row>
    <row r="59" spans="1:83" ht="12.95" customHeight="1">
      <c r="A59" s="210" t="s">
        <v>3803</v>
      </c>
      <c r="B59" s="210" t="s">
        <v>3596</v>
      </c>
      <c r="C59" s="51" t="s">
        <v>935</v>
      </c>
      <c r="D59" s="52" t="s">
        <v>1748</v>
      </c>
      <c r="E59" s="52" t="s">
        <v>1749</v>
      </c>
      <c r="F59" s="53" t="s">
        <v>1227</v>
      </c>
      <c r="G59" s="179" t="s">
        <v>1511</v>
      </c>
      <c r="H59" s="180" t="s">
        <v>128</v>
      </c>
      <c r="I59" s="55" t="s">
        <v>1750</v>
      </c>
      <c r="J59" s="55" t="s">
        <v>1429</v>
      </c>
      <c r="K59" s="56" t="s">
        <v>1429</v>
      </c>
      <c r="L59" s="54" t="s">
        <v>1580</v>
      </c>
      <c r="M59" s="55" t="s">
        <v>1580</v>
      </c>
      <c r="N59" s="55" t="s">
        <v>1581</v>
      </c>
      <c r="O59" s="55" t="s">
        <v>1429</v>
      </c>
      <c r="P59" s="56" t="s">
        <v>1429</v>
      </c>
      <c r="Q59" s="52" t="s">
        <v>128</v>
      </c>
      <c r="R59" s="52" t="s">
        <v>1360</v>
      </c>
      <c r="S59" s="52" t="s">
        <v>99</v>
      </c>
      <c r="T59" s="52" t="s">
        <v>100</v>
      </c>
      <c r="U59" s="57" t="s">
        <v>99</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6" t="b">
        <v>1</v>
      </c>
      <c r="AK59" s="176" t="b">
        <v>1</v>
      </c>
      <c r="AL59" s="176" t="b">
        <v>1</v>
      </c>
      <c r="AM59" s="176" t="b">
        <v>1</v>
      </c>
      <c r="AN59" s="176" t="b">
        <v>1</v>
      </c>
      <c r="AO59" s="176" t="b">
        <v>1</v>
      </c>
      <c r="AP59" s="64" t="str">
        <f t="shared" si="13"/>
        <v>VALID</v>
      </c>
      <c r="AQ59" s="217" t="s">
        <v>1511</v>
      </c>
      <c r="AR59" s="182" t="s">
        <v>3495</v>
      </c>
      <c r="AS59" s="181" t="s">
        <v>3500</v>
      </c>
      <c r="AT59" s="5"/>
      <c r="AU59" s="5"/>
      <c r="AV59" s="5"/>
      <c r="AW59" s="181" t="s">
        <v>125</v>
      </c>
      <c r="AX59" s="284"/>
      <c r="AY59" s="181"/>
      <c r="AZ59" s="181"/>
      <c r="BA59" s="7"/>
      <c r="BB59" s="212"/>
      <c r="BC59" s="10" t="s">
        <v>3668</v>
      </c>
      <c r="BD59" s="238"/>
      <c r="BE59" s="239"/>
      <c r="BF59" s="239"/>
      <c r="BG59" s="239"/>
      <c r="BH59" s="239"/>
      <c r="BI59" s="239"/>
      <c r="BJ59" s="239"/>
      <c r="BK59" s="239"/>
      <c r="BL59" s="239"/>
      <c r="BM59" s="239"/>
      <c r="BN59" s="239"/>
      <c r="BO59" s="239"/>
      <c r="BP59" s="239"/>
      <c r="BQ59" s="239"/>
      <c r="BR59" s="239"/>
      <c r="BS59" s="239"/>
      <c r="BT59" s="239"/>
      <c r="BU59" s="239"/>
      <c r="BV59" s="239"/>
      <c r="BW59" s="239"/>
      <c r="BX59" s="239"/>
      <c r="BY59" s="239"/>
      <c r="BZ59" s="239"/>
      <c r="CA59" s="239"/>
      <c r="CB59" s="239"/>
      <c r="CC59" s="239"/>
      <c r="CD59" s="239"/>
      <c r="CE59" s="239"/>
    </row>
    <row r="60" spans="1:83" ht="12.95" customHeight="1">
      <c r="A60" s="21" t="s">
        <v>3334</v>
      </c>
      <c r="B60" s="21" t="s">
        <v>3604</v>
      </c>
      <c r="C60" s="51" t="s">
        <v>936</v>
      </c>
      <c r="D60" s="52" t="s">
        <v>1752</v>
      </c>
      <c r="E60" s="52" t="s">
        <v>1753</v>
      </c>
      <c r="F60" s="53" t="s">
        <v>1228</v>
      </c>
      <c r="G60" s="179" t="s">
        <v>1754</v>
      </c>
      <c r="H60" s="180" t="s">
        <v>129</v>
      </c>
      <c r="I60" s="55" t="s">
        <v>1400</v>
      </c>
      <c r="J60" s="55" t="s">
        <v>1429</v>
      </c>
      <c r="K60" s="56" t="s">
        <v>1429</v>
      </c>
      <c r="L60" s="54" t="s">
        <v>1580</v>
      </c>
      <c r="M60" s="55" t="s">
        <v>1580</v>
      </c>
      <c r="N60" s="55" t="s">
        <v>1580</v>
      </c>
      <c r="O60" s="55" t="s">
        <v>1429</v>
      </c>
      <c r="P60" s="56" t="s">
        <v>1429</v>
      </c>
      <c r="Q60" s="52" t="s">
        <v>129</v>
      </c>
      <c r="R60" s="52" t="s">
        <v>132</v>
      </c>
      <c r="S60" s="52" t="s">
        <v>99</v>
      </c>
      <c r="T60" s="52" t="s">
        <v>100</v>
      </c>
      <c r="U60" s="57" t="s">
        <v>99</v>
      </c>
      <c r="V60" s="146" t="s">
        <v>1755</v>
      </c>
      <c r="W60" s="51" t="s">
        <v>1737</v>
      </c>
      <c r="X60" s="130" t="s">
        <v>1429</v>
      </c>
      <c r="Y60" s="130" t="s">
        <v>1429</v>
      </c>
      <c r="Z60" s="51" t="s">
        <v>1585</v>
      </c>
      <c r="AA60" s="51" t="s">
        <v>1586</v>
      </c>
      <c r="AB60" s="51" t="s">
        <v>1435</v>
      </c>
      <c r="AC60" s="51" t="s">
        <v>1587</v>
      </c>
      <c r="AD60" s="59" t="str">
        <f t="shared" si="6"/>
        <v>SPI4</v>
      </c>
      <c r="AE60" s="66"/>
      <c r="AF60" s="61" t="str">
        <f t="shared" si="7"/>
        <v>NORMAL</v>
      </c>
      <c r="AG60" s="61" t="str">
        <f t="shared" si="5"/>
        <v>NORMAL</v>
      </c>
      <c r="AH60" s="61" t="str">
        <f t="shared" si="8"/>
        <v>DISABLE</v>
      </c>
      <c r="AI60" s="67" t="str">
        <f t="shared" si="10"/>
        <v>N/A</v>
      </c>
      <c r="AJ60" s="176" t="b">
        <v>1</v>
      </c>
      <c r="AK60" s="176" t="b">
        <v>1</v>
      </c>
      <c r="AL60" s="176" t="b">
        <v>1</v>
      </c>
      <c r="AM60" s="176" t="b">
        <v>1</v>
      </c>
      <c r="AN60" s="176" t="b">
        <v>1</v>
      </c>
      <c r="AO60" s="176" t="b">
        <v>1</v>
      </c>
      <c r="AP60" s="64" t="str">
        <f t="shared" si="13"/>
        <v>VALID</v>
      </c>
      <c r="AQ60" s="217" t="s">
        <v>1400</v>
      </c>
      <c r="AR60" s="182" t="s">
        <v>3495</v>
      </c>
      <c r="AS60" s="181"/>
      <c r="AT60" s="5"/>
      <c r="AU60" s="5"/>
      <c r="AV60" s="5"/>
      <c r="AW60" s="181" t="s">
        <v>125</v>
      </c>
      <c r="AX60" s="284"/>
      <c r="AY60" s="181"/>
      <c r="AZ60" s="181"/>
      <c r="BA60" s="7"/>
      <c r="BB60" s="212"/>
      <c r="BC60" s="10" t="s">
        <v>1400</v>
      </c>
      <c r="BD60" s="238"/>
      <c r="BE60" s="239"/>
      <c r="BF60" s="239"/>
      <c r="BG60" s="239"/>
      <c r="BH60" s="239"/>
      <c r="BI60" s="239"/>
      <c r="BJ60" s="239"/>
      <c r="BK60" s="239"/>
      <c r="BL60" s="239"/>
      <c r="BM60" s="239"/>
      <c r="BN60" s="239"/>
      <c r="BO60" s="239"/>
      <c r="BP60" s="239"/>
      <c r="BQ60" s="239"/>
      <c r="BR60" s="239"/>
      <c r="BS60" s="239"/>
      <c r="BT60" s="239"/>
      <c r="BU60" s="239"/>
      <c r="BV60" s="239"/>
      <c r="BW60" s="239"/>
      <c r="BX60" s="239"/>
      <c r="BY60" s="239"/>
      <c r="BZ60" s="239"/>
      <c r="CA60" s="239"/>
      <c r="CB60" s="239"/>
      <c r="CC60" s="239"/>
      <c r="CD60" s="239"/>
      <c r="CE60" s="239"/>
    </row>
    <row r="61" spans="1:83" ht="12.95" customHeight="1">
      <c r="A61" s="21" t="s">
        <v>3335</v>
      </c>
      <c r="B61" s="21" t="s">
        <v>2353</v>
      </c>
      <c r="C61" s="51" t="s">
        <v>937</v>
      </c>
      <c r="D61" s="52" t="s">
        <v>1756</v>
      </c>
      <c r="E61" s="52" t="s">
        <v>1757</v>
      </c>
      <c r="F61" s="53" t="s">
        <v>1229</v>
      </c>
      <c r="G61" s="179" t="s">
        <v>1758</v>
      </c>
      <c r="H61" s="180" t="s">
        <v>130</v>
      </c>
      <c r="I61" s="55" t="s">
        <v>1512</v>
      </c>
      <c r="J61" s="55" t="s">
        <v>1429</v>
      </c>
      <c r="K61" s="56" t="s">
        <v>1429</v>
      </c>
      <c r="L61" s="54" t="s">
        <v>1580</v>
      </c>
      <c r="M61" s="55" t="s">
        <v>1580</v>
      </c>
      <c r="N61" s="55" t="s">
        <v>1580</v>
      </c>
      <c r="O61" s="55" t="s">
        <v>1429</v>
      </c>
      <c r="P61" s="56" t="s">
        <v>1429</v>
      </c>
      <c r="Q61" s="52" t="s">
        <v>130</v>
      </c>
      <c r="R61" s="52" t="s">
        <v>132</v>
      </c>
      <c r="S61" s="52" t="s">
        <v>99</v>
      </c>
      <c r="T61" s="52" t="s">
        <v>100</v>
      </c>
      <c r="U61" s="57" t="s">
        <v>99</v>
      </c>
      <c r="V61" s="146" t="s">
        <v>1759</v>
      </c>
      <c r="W61" s="51" t="s">
        <v>1737</v>
      </c>
      <c r="X61" s="130" t="s">
        <v>1429</v>
      </c>
      <c r="Y61" s="130" t="s">
        <v>1429</v>
      </c>
      <c r="Z61" s="51" t="s">
        <v>1585</v>
      </c>
      <c r="AA61" s="51" t="s">
        <v>1586</v>
      </c>
      <c r="AB61" s="51" t="s">
        <v>1435</v>
      </c>
      <c r="AC61" s="51" t="s">
        <v>1587</v>
      </c>
      <c r="AD61" s="59" t="str">
        <f t="shared" si="6"/>
        <v>SPI4</v>
      </c>
      <c r="AE61" s="66"/>
      <c r="AF61" s="61" t="str">
        <f t="shared" si="7"/>
        <v>PULL_DOWN</v>
      </c>
      <c r="AG61" s="61" t="str">
        <f t="shared" si="5"/>
        <v>TRISTATE</v>
      </c>
      <c r="AH61" s="61" t="str">
        <f t="shared" si="8"/>
        <v>ENABLE</v>
      </c>
      <c r="AI61" s="67" t="str">
        <f t="shared" si="10"/>
        <v>N/A</v>
      </c>
      <c r="AJ61" s="176" t="b">
        <v>1</v>
      </c>
      <c r="AK61" s="176" t="b">
        <v>1</v>
      </c>
      <c r="AL61" s="176" t="b">
        <v>1</v>
      </c>
      <c r="AM61" s="176" t="b">
        <v>1</v>
      </c>
      <c r="AN61" s="176" t="b">
        <v>1</v>
      </c>
      <c r="AO61" s="176" t="b">
        <v>1</v>
      </c>
      <c r="AP61" s="64" t="str">
        <f t="shared" si="13"/>
        <v>VALID</v>
      </c>
      <c r="AQ61" s="217" t="s">
        <v>1512</v>
      </c>
      <c r="AR61" s="182" t="s">
        <v>3496</v>
      </c>
      <c r="AS61" s="181" t="s">
        <v>3503</v>
      </c>
      <c r="AT61" s="5"/>
      <c r="AU61" s="5"/>
      <c r="AV61" s="5"/>
      <c r="AW61" s="181" t="s">
        <v>125</v>
      </c>
      <c r="AX61" s="284"/>
      <c r="AY61" s="181"/>
      <c r="AZ61" s="181"/>
      <c r="BA61" s="7"/>
      <c r="BB61" s="212"/>
      <c r="BC61" s="10" t="s">
        <v>3513</v>
      </c>
      <c r="BD61" s="238"/>
      <c r="BE61" s="239"/>
      <c r="BF61" s="239"/>
      <c r="BG61" s="239"/>
      <c r="BH61" s="239"/>
      <c r="BI61" s="239"/>
      <c r="BJ61" s="239"/>
      <c r="BK61" s="239"/>
      <c r="BL61" s="239"/>
      <c r="BM61" s="239"/>
      <c r="BN61" s="239"/>
      <c r="BO61" s="239"/>
      <c r="BP61" s="239"/>
      <c r="BQ61" s="239"/>
      <c r="BR61" s="239"/>
      <c r="BS61" s="239"/>
      <c r="BT61" s="239"/>
      <c r="BU61" s="239"/>
      <c r="BV61" s="239"/>
      <c r="BW61" s="239"/>
      <c r="BX61" s="239"/>
      <c r="BY61" s="239"/>
      <c r="BZ61" s="239"/>
      <c r="CA61" s="239"/>
      <c r="CB61" s="239"/>
      <c r="CC61" s="239"/>
      <c r="CD61" s="239"/>
      <c r="CE61" s="239"/>
    </row>
    <row r="62" spans="1:83" ht="12.95" customHeight="1">
      <c r="A62" s="21" t="s">
        <v>3336</v>
      </c>
      <c r="B62" s="21" t="s">
        <v>3597</v>
      </c>
      <c r="C62" s="51" t="s">
        <v>938</v>
      </c>
      <c r="D62" s="52" t="s">
        <v>1760</v>
      </c>
      <c r="E62" s="52" t="s">
        <v>1761</v>
      </c>
      <c r="F62" s="53" t="s">
        <v>1230</v>
      </c>
      <c r="G62" s="179" t="s">
        <v>1762</v>
      </c>
      <c r="H62" s="180" t="s">
        <v>131</v>
      </c>
      <c r="I62" s="55" t="s">
        <v>1513</v>
      </c>
      <c r="J62" s="55" t="s">
        <v>1429</v>
      </c>
      <c r="K62" s="56" t="s">
        <v>1429</v>
      </c>
      <c r="L62" s="54" t="s">
        <v>1580</v>
      </c>
      <c r="M62" s="55" t="s">
        <v>1580</v>
      </c>
      <c r="N62" s="55" t="s">
        <v>1580</v>
      </c>
      <c r="O62" s="55" t="s">
        <v>1429</v>
      </c>
      <c r="P62" s="56" t="s">
        <v>1429</v>
      </c>
      <c r="Q62" s="52" t="s">
        <v>131</v>
      </c>
      <c r="R62" s="52" t="s">
        <v>132</v>
      </c>
      <c r="S62" s="52" t="s">
        <v>99</v>
      </c>
      <c r="T62" s="52" t="s">
        <v>100</v>
      </c>
      <c r="U62" s="57" t="s">
        <v>99</v>
      </c>
      <c r="V62" s="146" t="s">
        <v>1763</v>
      </c>
      <c r="W62" s="51" t="s">
        <v>1737</v>
      </c>
      <c r="X62" s="130" t="s">
        <v>1429</v>
      </c>
      <c r="Y62" s="130" t="s">
        <v>1429</v>
      </c>
      <c r="Z62" s="51" t="s">
        <v>1585</v>
      </c>
      <c r="AA62" s="51" t="s">
        <v>1586</v>
      </c>
      <c r="AB62" s="51" t="s">
        <v>1435</v>
      </c>
      <c r="AC62" s="51" t="s">
        <v>1587</v>
      </c>
      <c r="AD62" s="59" t="str">
        <f t="shared" si="6"/>
        <v>SPI4</v>
      </c>
      <c r="AE62" s="66"/>
      <c r="AF62" s="61" t="str">
        <f t="shared" si="7"/>
        <v>NORMAL</v>
      </c>
      <c r="AG62" s="61" t="str">
        <f t="shared" si="5"/>
        <v>NORMAL</v>
      </c>
      <c r="AH62" s="61" t="str">
        <f t="shared" si="8"/>
        <v>DISABLE</v>
      </c>
      <c r="AI62" s="67" t="str">
        <f t="shared" si="10"/>
        <v>N/A</v>
      </c>
      <c r="AJ62" s="176" t="b">
        <v>1</v>
      </c>
      <c r="AK62" s="176" t="b">
        <v>1</v>
      </c>
      <c r="AL62" s="176" t="b">
        <v>1</v>
      </c>
      <c r="AM62" s="176" t="b">
        <v>1</v>
      </c>
      <c r="AN62" s="176" t="b">
        <v>1</v>
      </c>
      <c r="AO62" s="176" t="b">
        <v>1</v>
      </c>
      <c r="AP62" s="64" t="str">
        <f t="shared" si="13"/>
        <v>VALID</v>
      </c>
      <c r="AQ62" s="217" t="s">
        <v>1513</v>
      </c>
      <c r="AR62" s="182" t="s">
        <v>3495</v>
      </c>
      <c r="AS62" s="181"/>
      <c r="AT62" s="5"/>
      <c r="AU62" s="5"/>
      <c r="AV62" s="5"/>
      <c r="AW62" s="181" t="s">
        <v>125</v>
      </c>
      <c r="AX62" s="284"/>
      <c r="AY62" s="181"/>
      <c r="AZ62" s="181"/>
      <c r="BA62" s="7"/>
      <c r="BB62" s="212"/>
      <c r="BC62" s="10" t="s">
        <v>3514</v>
      </c>
      <c r="BD62" s="238"/>
      <c r="BE62" s="239"/>
      <c r="BF62" s="239"/>
      <c r="BG62" s="239"/>
      <c r="BH62" s="239"/>
      <c r="BI62" s="239"/>
      <c r="BJ62" s="239"/>
      <c r="BK62" s="239"/>
      <c r="BL62" s="239"/>
      <c r="BM62" s="239"/>
      <c r="BN62" s="239"/>
      <c r="BO62" s="239"/>
      <c r="BP62" s="239"/>
      <c r="BQ62" s="239"/>
      <c r="BR62" s="239"/>
      <c r="BS62" s="239"/>
      <c r="BT62" s="239"/>
      <c r="BU62" s="239"/>
      <c r="BV62" s="239"/>
      <c r="BW62" s="239"/>
      <c r="BX62" s="239"/>
      <c r="BY62" s="239"/>
      <c r="BZ62" s="239"/>
      <c r="CA62" s="239"/>
      <c r="CB62" s="239"/>
      <c r="CC62" s="239"/>
      <c r="CD62" s="239"/>
      <c r="CE62" s="239"/>
    </row>
    <row r="63" spans="1:83" ht="12.95" customHeight="1">
      <c r="A63" s="21" t="s">
        <v>3337</v>
      </c>
      <c r="B63" s="21" t="s">
        <v>2351</v>
      </c>
      <c r="C63" s="51" t="s">
        <v>939</v>
      </c>
      <c r="D63" s="52" t="s">
        <v>1764</v>
      </c>
      <c r="E63" s="52" t="s">
        <v>1765</v>
      </c>
      <c r="F63" s="53" t="s">
        <v>1231</v>
      </c>
      <c r="G63" s="179" t="s">
        <v>1766</v>
      </c>
      <c r="H63" s="180" t="s">
        <v>1429</v>
      </c>
      <c r="I63" s="55" t="s">
        <v>1401</v>
      </c>
      <c r="J63" s="55" t="s">
        <v>1429</v>
      </c>
      <c r="K63" s="56" t="s">
        <v>1429</v>
      </c>
      <c r="L63" s="54" t="s">
        <v>1580</v>
      </c>
      <c r="M63" s="55" t="s">
        <v>1429</v>
      </c>
      <c r="N63" s="55" t="s">
        <v>1580</v>
      </c>
      <c r="O63" s="55" t="s">
        <v>1429</v>
      </c>
      <c r="P63" s="56" t="s">
        <v>1429</v>
      </c>
      <c r="Q63" s="52" t="s">
        <v>755</v>
      </c>
      <c r="R63" s="52" t="s">
        <v>132</v>
      </c>
      <c r="S63" s="52" t="s">
        <v>99</v>
      </c>
      <c r="T63" s="52" t="s">
        <v>100</v>
      </c>
      <c r="U63" s="57" t="s">
        <v>755</v>
      </c>
      <c r="V63" s="146" t="s">
        <v>1767</v>
      </c>
      <c r="W63" s="51" t="s">
        <v>1737</v>
      </c>
      <c r="X63" s="130" t="s">
        <v>1429</v>
      </c>
      <c r="Y63" s="130" t="s">
        <v>1429</v>
      </c>
      <c r="Z63" s="51" t="s">
        <v>1585</v>
      </c>
      <c r="AA63" s="51" t="s">
        <v>1586</v>
      </c>
      <c r="AB63" s="51" t="s">
        <v>1435</v>
      </c>
      <c r="AC63" s="51" t="s">
        <v>1674</v>
      </c>
      <c r="AD63" s="59" t="str">
        <f t="shared" si="6"/>
        <v>SPI4</v>
      </c>
      <c r="AE63" s="66"/>
      <c r="AF63" s="61" t="str">
        <f t="shared" si="7"/>
        <v>PULL_UP</v>
      </c>
      <c r="AG63" s="61" t="str">
        <f t="shared" si="5"/>
        <v>NORMAL</v>
      </c>
      <c r="AH63" s="61" t="str">
        <f t="shared" si="8"/>
        <v>DISABLE</v>
      </c>
      <c r="AI63" s="67" t="str">
        <f t="shared" si="10"/>
        <v>N/A</v>
      </c>
      <c r="AJ63" s="176" t="b">
        <v>1</v>
      </c>
      <c r="AK63" s="176" t="b">
        <v>1</v>
      </c>
      <c r="AL63" s="176" t="b">
        <v>1</v>
      </c>
      <c r="AM63" s="176" t="b">
        <v>1</v>
      </c>
      <c r="AN63" s="176" t="b">
        <v>1</v>
      </c>
      <c r="AO63" s="176" t="b">
        <v>1</v>
      </c>
      <c r="AP63" s="64" t="str">
        <f t="shared" si="13"/>
        <v>VALID</v>
      </c>
      <c r="AQ63" s="217" t="s">
        <v>1401</v>
      </c>
      <c r="AR63" s="182" t="s">
        <v>3495</v>
      </c>
      <c r="AS63" s="181" t="s">
        <v>3497</v>
      </c>
      <c r="AT63" s="5"/>
      <c r="AU63" s="5"/>
      <c r="AV63" s="5"/>
      <c r="AW63" s="181" t="s">
        <v>125</v>
      </c>
      <c r="AX63" s="284"/>
      <c r="AY63" s="181"/>
      <c r="AZ63" s="181"/>
      <c r="BA63" s="7"/>
      <c r="BB63" s="212"/>
      <c r="BC63" s="10" t="s">
        <v>1401</v>
      </c>
      <c r="BD63" s="238"/>
      <c r="BE63" s="239"/>
      <c r="BF63" s="239"/>
      <c r="BG63" s="239"/>
      <c r="BH63" s="239"/>
      <c r="BI63" s="239"/>
      <c r="BJ63" s="239"/>
      <c r="BK63" s="239"/>
      <c r="BL63" s="239"/>
      <c r="BM63" s="239"/>
      <c r="BN63" s="239"/>
      <c r="BO63" s="239"/>
      <c r="BP63" s="239"/>
      <c r="BQ63" s="239"/>
      <c r="BR63" s="239"/>
      <c r="BS63" s="239"/>
      <c r="BT63" s="239"/>
      <c r="BU63" s="239"/>
      <c r="BV63" s="239"/>
      <c r="BW63" s="239"/>
      <c r="BX63" s="239"/>
      <c r="BY63" s="239"/>
      <c r="BZ63" s="239"/>
      <c r="CA63" s="239"/>
      <c r="CB63" s="239"/>
      <c r="CC63" s="239"/>
      <c r="CD63" s="239"/>
      <c r="CE63" s="239"/>
    </row>
    <row r="64" spans="1:83" ht="12.95" customHeight="1">
      <c r="A64" s="21" t="s">
        <v>3338</v>
      </c>
      <c r="B64" s="21" t="s">
        <v>2288</v>
      </c>
      <c r="C64" s="51" t="s">
        <v>14</v>
      </c>
      <c r="D64" s="52" t="s">
        <v>1768</v>
      </c>
      <c r="E64" s="52" t="s">
        <v>1769</v>
      </c>
      <c r="F64" s="53" t="s">
        <v>124</v>
      </c>
      <c r="G64" s="179" t="s">
        <v>1770</v>
      </c>
      <c r="H64" s="180" t="s">
        <v>1514</v>
      </c>
      <c r="I64" s="55" t="s">
        <v>1429</v>
      </c>
      <c r="J64" s="55" t="s">
        <v>1429</v>
      </c>
      <c r="K64" s="56" t="s">
        <v>1429</v>
      </c>
      <c r="L64" s="54" t="s">
        <v>1580</v>
      </c>
      <c r="M64" s="55" t="s">
        <v>1580</v>
      </c>
      <c r="N64" s="55" t="s">
        <v>1429</v>
      </c>
      <c r="O64" s="55" t="s">
        <v>1429</v>
      </c>
      <c r="P64" s="56" t="s">
        <v>1429</v>
      </c>
      <c r="Q64" s="52" t="s">
        <v>123</v>
      </c>
      <c r="R64" s="52" t="s">
        <v>113</v>
      </c>
      <c r="S64" s="52" t="s">
        <v>99</v>
      </c>
      <c r="T64" s="52" t="s">
        <v>100</v>
      </c>
      <c r="U64" s="57" t="s">
        <v>113</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6" t="b">
        <v>1</v>
      </c>
      <c r="AK64" s="176" t="b">
        <v>1</v>
      </c>
      <c r="AL64" s="176" t="b">
        <v>1</v>
      </c>
      <c r="AM64" s="176" t="b">
        <v>1</v>
      </c>
      <c r="AN64" s="176" t="b">
        <v>1</v>
      </c>
      <c r="AO64" s="176" t="b">
        <v>1</v>
      </c>
      <c r="AP64" s="64" t="str">
        <f t="shared" si="13"/>
        <v>VALID</v>
      </c>
      <c r="AQ64" s="217" t="s">
        <v>1514</v>
      </c>
      <c r="AR64" s="182" t="s">
        <v>3501</v>
      </c>
      <c r="AS64" s="181"/>
      <c r="AT64" s="5"/>
      <c r="AU64" s="5"/>
      <c r="AV64" s="181" t="s">
        <v>125</v>
      </c>
      <c r="AW64" s="181" t="s">
        <v>125</v>
      </c>
      <c r="AX64" s="284"/>
      <c r="AY64" s="181"/>
      <c r="AZ64" s="181"/>
      <c r="BA64" s="7"/>
      <c r="BB64" s="212"/>
      <c r="BC64" s="10" t="s">
        <v>14</v>
      </c>
      <c r="BD64" s="238"/>
      <c r="BE64" s="239"/>
      <c r="BF64" s="239"/>
      <c r="BG64" s="239"/>
      <c r="BH64" s="239"/>
      <c r="BI64" s="239"/>
      <c r="BJ64" s="239"/>
      <c r="BK64" s="239"/>
      <c r="BL64" s="239"/>
      <c r="BM64" s="239"/>
      <c r="BN64" s="239"/>
      <c r="BO64" s="239"/>
      <c r="BP64" s="239"/>
      <c r="BQ64" s="239"/>
      <c r="BR64" s="239"/>
      <c r="BS64" s="239"/>
      <c r="BT64" s="239"/>
      <c r="BU64" s="239"/>
      <c r="BV64" s="239"/>
      <c r="BW64" s="239"/>
      <c r="BX64" s="239"/>
      <c r="BY64" s="239"/>
      <c r="BZ64" s="239"/>
      <c r="CA64" s="239"/>
      <c r="CB64" s="239"/>
      <c r="CC64" s="239"/>
      <c r="CD64" s="239"/>
      <c r="CE64" s="239"/>
    </row>
    <row r="65" spans="1:83" ht="12.95" customHeight="1">
      <c r="A65" s="21" t="s">
        <v>3339</v>
      </c>
      <c r="B65" s="21" t="s">
        <v>2293</v>
      </c>
      <c r="C65" s="51" t="s">
        <v>15</v>
      </c>
      <c r="D65" s="52" t="s">
        <v>1772</v>
      </c>
      <c r="E65" s="52" t="s">
        <v>1773</v>
      </c>
      <c r="F65" s="53" t="s">
        <v>127</v>
      </c>
      <c r="G65" s="179" t="s">
        <v>1774</v>
      </c>
      <c r="H65" s="180" t="s">
        <v>1515</v>
      </c>
      <c r="I65" s="55" t="s">
        <v>1429</v>
      </c>
      <c r="J65" s="55" t="s">
        <v>1429</v>
      </c>
      <c r="K65" s="56" t="s">
        <v>1429</v>
      </c>
      <c r="L65" s="54" t="s">
        <v>1580</v>
      </c>
      <c r="M65" s="55" t="s">
        <v>1580</v>
      </c>
      <c r="N65" s="55" t="s">
        <v>1429</v>
      </c>
      <c r="O65" s="55" t="s">
        <v>1429</v>
      </c>
      <c r="P65" s="56" t="s">
        <v>1429</v>
      </c>
      <c r="Q65" s="52" t="s">
        <v>123</v>
      </c>
      <c r="R65" s="52" t="s">
        <v>113</v>
      </c>
      <c r="S65" s="52" t="s">
        <v>99</v>
      </c>
      <c r="T65" s="52" t="s">
        <v>100</v>
      </c>
      <c r="U65" s="57" t="s">
        <v>113</v>
      </c>
      <c r="V65" s="189"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6" t="b">
        <v>1</v>
      </c>
      <c r="AK65" s="176" t="b">
        <v>1</v>
      </c>
      <c r="AL65" s="176" t="b">
        <v>1</v>
      </c>
      <c r="AM65" s="176" t="b">
        <v>1</v>
      </c>
      <c r="AN65" s="176" t="b">
        <v>1</v>
      </c>
      <c r="AO65" s="176" t="b">
        <v>1</v>
      </c>
      <c r="AP65" s="64" t="str">
        <f t="shared" si="13"/>
        <v>VALID</v>
      </c>
      <c r="AQ65" s="217" t="s">
        <v>1515</v>
      </c>
      <c r="AR65" s="182" t="s">
        <v>3501</v>
      </c>
      <c r="AS65" s="181"/>
      <c r="AT65" s="181" t="s">
        <v>104</v>
      </c>
      <c r="AU65" s="5"/>
      <c r="AV65" s="181" t="s">
        <v>125</v>
      </c>
      <c r="AW65" s="181" t="s">
        <v>125</v>
      </c>
      <c r="AX65" s="284"/>
      <c r="AY65" s="181"/>
      <c r="AZ65" s="181"/>
      <c r="BA65" s="7"/>
      <c r="BB65" s="212"/>
      <c r="BC65" s="10" t="s">
        <v>15</v>
      </c>
      <c r="BD65" s="238"/>
      <c r="BE65" s="239"/>
      <c r="BF65" s="239"/>
      <c r="BG65" s="239"/>
      <c r="BH65" s="239"/>
      <c r="BI65" s="239"/>
      <c r="BJ65" s="239"/>
      <c r="BK65" s="239"/>
      <c r="BL65" s="239"/>
      <c r="BM65" s="239"/>
      <c r="BN65" s="239"/>
      <c r="BO65" s="239"/>
      <c r="BP65" s="239"/>
      <c r="BQ65" s="239"/>
      <c r="BR65" s="239"/>
      <c r="BS65" s="239"/>
      <c r="BT65" s="239"/>
      <c r="BU65" s="239"/>
      <c r="BV65" s="239"/>
      <c r="BW65" s="239"/>
      <c r="BX65" s="239"/>
      <c r="BY65" s="239"/>
      <c r="BZ65" s="239"/>
      <c r="CA65" s="239"/>
      <c r="CB65" s="239"/>
      <c r="CC65" s="239"/>
      <c r="CD65" s="239"/>
      <c r="CE65" s="239"/>
    </row>
    <row r="66" spans="1:83" s="50" customFormat="1" ht="18" customHeight="1">
      <c r="A66" s="44" t="s">
        <v>57</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1"/>
      <c r="AT66" s="241"/>
      <c r="AU66" s="241"/>
      <c r="AV66" s="241"/>
      <c r="AW66" s="241"/>
      <c r="AX66" s="285"/>
      <c r="AY66" s="241"/>
      <c r="AZ66" s="241"/>
      <c r="BA66" s="241"/>
      <c r="BB66" s="168" t="s">
        <v>49</v>
      </c>
      <c r="BC66" s="244"/>
      <c r="BD66" s="245"/>
      <c r="BE66" s="308"/>
      <c r="BF66" s="243"/>
      <c r="BG66" s="243"/>
      <c r="BH66" s="243"/>
      <c r="BI66" s="243"/>
      <c r="BJ66" s="243"/>
      <c r="BK66" s="243"/>
      <c r="BL66" s="243"/>
      <c r="BM66" s="243"/>
      <c r="BN66" s="243"/>
      <c r="BO66" s="243"/>
      <c r="BP66" s="243"/>
      <c r="BQ66" s="243"/>
      <c r="BR66" s="243"/>
      <c r="BS66" s="243"/>
      <c r="BT66" s="243"/>
      <c r="BU66" s="243"/>
      <c r="BV66" s="243"/>
      <c r="BW66" s="243"/>
      <c r="BX66" s="243"/>
      <c r="BY66" s="243"/>
      <c r="BZ66" s="243"/>
      <c r="CA66" s="243"/>
      <c r="CB66" s="243"/>
      <c r="CC66" s="243"/>
      <c r="CD66" s="243"/>
      <c r="CE66" s="243"/>
    </row>
    <row r="67" spans="1:83" ht="12.95" customHeight="1">
      <c r="A67" s="21" t="s">
        <v>1402</v>
      </c>
      <c r="B67" s="21" t="s">
        <v>3583</v>
      </c>
      <c r="C67" s="51" t="s">
        <v>17</v>
      </c>
      <c r="D67" s="52" t="s">
        <v>1777</v>
      </c>
      <c r="E67" s="52" t="s">
        <v>1778</v>
      </c>
      <c r="F67" s="53" t="s">
        <v>523</v>
      </c>
      <c r="G67" s="179"/>
      <c r="H67" s="180" t="s">
        <v>1779</v>
      </c>
      <c r="I67" s="55" t="s">
        <v>1429</v>
      </c>
      <c r="J67" s="55" t="s">
        <v>1429</v>
      </c>
      <c r="K67" s="56" t="s">
        <v>1429</v>
      </c>
      <c r="L67" s="54" t="s">
        <v>1580</v>
      </c>
      <c r="M67" s="55" t="s">
        <v>1581</v>
      </c>
      <c r="N67" s="55" t="s">
        <v>1429</v>
      </c>
      <c r="O67" s="55" t="s">
        <v>1429</v>
      </c>
      <c r="P67" s="56" t="s">
        <v>1429</v>
      </c>
      <c r="Q67" s="52" t="s">
        <v>745</v>
      </c>
      <c r="R67" s="52" t="s">
        <v>113</v>
      </c>
      <c r="S67" s="52" t="s">
        <v>99</v>
      </c>
      <c r="T67" s="52" t="s">
        <v>100</v>
      </c>
      <c r="U67" s="57" t="s">
        <v>113</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6" t="b">
        <v>1</v>
      </c>
      <c r="AK67" s="176" t="b">
        <v>1</v>
      </c>
      <c r="AL67" s="176" t="b">
        <v>1</v>
      </c>
      <c r="AM67" s="176" t="b">
        <v>1</v>
      </c>
      <c r="AN67" s="176" t="b">
        <v>1</v>
      </c>
      <c r="AO67" s="176" t="b">
        <v>1</v>
      </c>
      <c r="AP67" s="64" t="str">
        <f t="shared" ref="AP67:AP80" si="14">IF(AND($AJ67:$AO67), "VALID", "INVALID")</f>
        <v>VALID</v>
      </c>
      <c r="AQ67" s="217" t="s">
        <v>1779</v>
      </c>
      <c r="AR67" s="182" t="s">
        <v>3495</v>
      </c>
      <c r="AS67" s="181"/>
      <c r="AT67" s="5"/>
      <c r="AU67" s="5"/>
      <c r="AV67" s="181" t="s">
        <v>3502</v>
      </c>
      <c r="AW67" s="181" t="s">
        <v>125</v>
      </c>
      <c r="AX67" s="284"/>
      <c r="AY67" s="181"/>
      <c r="AZ67" s="181"/>
      <c r="BA67" s="7"/>
      <c r="BB67" s="212"/>
      <c r="BC67" s="10" t="s">
        <v>3708</v>
      </c>
      <c r="BD67" s="238"/>
      <c r="BE67" s="239"/>
      <c r="BF67" s="239"/>
      <c r="BG67" s="239"/>
      <c r="BH67" s="239"/>
      <c r="BI67" s="239"/>
      <c r="BJ67" s="239"/>
      <c r="BK67" s="239"/>
      <c r="BL67" s="239"/>
      <c r="BM67" s="239"/>
      <c r="BN67" s="239"/>
      <c r="BO67" s="239"/>
      <c r="BP67" s="239"/>
      <c r="BQ67" s="239"/>
      <c r="BR67" s="239"/>
      <c r="BS67" s="239"/>
      <c r="BT67" s="239"/>
      <c r="BU67" s="239"/>
      <c r="BV67" s="239"/>
      <c r="BW67" s="239"/>
      <c r="BX67" s="239"/>
      <c r="BY67" s="239"/>
      <c r="BZ67" s="239"/>
      <c r="CA67" s="239"/>
      <c r="CB67" s="239"/>
      <c r="CC67" s="239"/>
      <c r="CD67" s="239"/>
      <c r="CE67" s="239"/>
    </row>
    <row r="68" spans="1:83" ht="12.95" customHeight="1">
      <c r="A68" s="21" t="s">
        <v>1403</v>
      </c>
      <c r="B68" s="21" t="s">
        <v>3582</v>
      </c>
      <c r="C68" s="51" t="s">
        <v>16</v>
      </c>
      <c r="D68" s="52" t="s">
        <v>1781</v>
      </c>
      <c r="E68" s="52" t="s">
        <v>1782</v>
      </c>
      <c r="F68" s="53" t="s">
        <v>522</v>
      </c>
      <c r="G68" s="179"/>
      <c r="H68" s="180" t="s">
        <v>1783</v>
      </c>
      <c r="I68" s="55" t="s">
        <v>1429</v>
      </c>
      <c r="J68" s="55" t="s">
        <v>1429</v>
      </c>
      <c r="K68" s="56" t="s">
        <v>1429</v>
      </c>
      <c r="L68" s="54" t="s">
        <v>1580</v>
      </c>
      <c r="M68" s="55" t="s">
        <v>1580</v>
      </c>
      <c r="N68" s="55" t="s">
        <v>1429</v>
      </c>
      <c r="O68" s="55" t="s">
        <v>1429</v>
      </c>
      <c r="P68" s="56" t="s">
        <v>1429</v>
      </c>
      <c r="Q68" s="52" t="s">
        <v>745</v>
      </c>
      <c r="R68" s="52" t="s">
        <v>113</v>
      </c>
      <c r="S68" s="52" t="s">
        <v>99</v>
      </c>
      <c r="T68" s="52" t="s">
        <v>100</v>
      </c>
      <c r="U68" s="57" t="s">
        <v>113</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6" t="b">
        <v>1</v>
      </c>
      <c r="AK68" s="176" t="b">
        <v>1</v>
      </c>
      <c r="AL68" s="176" t="b">
        <v>1</v>
      </c>
      <c r="AM68" s="176" t="b">
        <v>1</v>
      </c>
      <c r="AN68" s="176" t="b">
        <v>1</v>
      </c>
      <c r="AO68" s="176" t="b">
        <v>1</v>
      </c>
      <c r="AP68" s="64" t="str">
        <f t="shared" si="14"/>
        <v>VALID</v>
      </c>
      <c r="AQ68" s="217" t="s">
        <v>1783</v>
      </c>
      <c r="AR68" s="182" t="s">
        <v>3501</v>
      </c>
      <c r="AS68" s="181"/>
      <c r="AT68" s="5"/>
      <c r="AU68" s="5"/>
      <c r="AV68" s="181" t="s">
        <v>3502</v>
      </c>
      <c r="AW68" s="181" t="s">
        <v>125</v>
      </c>
      <c r="AX68" s="284"/>
      <c r="AY68" s="181"/>
      <c r="AZ68" s="181"/>
      <c r="BA68" s="7"/>
      <c r="BB68" s="212"/>
      <c r="BC68" s="10" t="s">
        <v>3709</v>
      </c>
      <c r="BD68" s="238"/>
      <c r="BE68" s="239"/>
      <c r="BF68" s="239"/>
      <c r="BG68" s="239"/>
      <c r="BH68" s="239"/>
      <c r="BI68" s="239"/>
      <c r="BJ68" s="239"/>
      <c r="BK68" s="239"/>
      <c r="BL68" s="239"/>
      <c r="BM68" s="239"/>
      <c r="BN68" s="239"/>
      <c r="BO68" s="239"/>
      <c r="BP68" s="239"/>
      <c r="BQ68" s="239"/>
      <c r="BR68" s="239"/>
      <c r="BS68" s="239"/>
      <c r="BT68" s="239"/>
      <c r="BU68" s="239"/>
      <c r="BV68" s="239"/>
      <c r="BW68" s="239"/>
      <c r="BX68" s="239"/>
      <c r="BY68" s="239"/>
      <c r="BZ68" s="239"/>
      <c r="CA68" s="239"/>
      <c r="CB68" s="239"/>
      <c r="CC68" s="239"/>
      <c r="CD68" s="239"/>
      <c r="CE68" s="239"/>
    </row>
    <row r="69" spans="1:83" ht="12.95" customHeight="1">
      <c r="A69" s="21" t="s">
        <v>3346</v>
      </c>
      <c r="B69" s="21" t="s">
        <v>3640</v>
      </c>
      <c r="C69" s="51" t="s">
        <v>19</v>
      </c>
      <c r="D69" s="52" t="s">
        <v>1785</v>
      </c>
      <c r="E69" s="52" t="s">
        <v>1786</v>
      </c>
      <c r="F69" s="53" t="s">
        <v>525</v>
      </c>
      <c r="G69" s="179"/>
      <c r="H69" s="180" t="s">
        <v>1516</v>
      </c>
      <c r="I69" s="55" t="s">
        <v>1429</v>
      </c>
      <c r="J69" s="55" t="s">
        <v>1429</v>
      </c>
      <c r="K69" s="56" t="s">
        <v>1429</v>
      </c>
      <c r="L69" s="54" t="s">
        <v>1580</v>
      </c>
      <c r="M69" s="55" t="s">
        <v>1581</v>
      </c>
      <c r="N69" s="55" t="s">
        <v>1429</v>
      </c>
      <c r="O69" s="55" t="s">
        <v>1429</v>
      </c>
      <c r="P69" s="56" t="s">
        <v>1429</v>
      </c>
      <c r="Q69" s="52" t="s">
        <v>746</v>
      </c>
      <c r="R69" s="52" t="s">
        <v>113</v>
      </c>
      <c r="S69" s="52" t="s">
        <v>99</v>
      </c>
      <c r="T69" s="52" t="s">
        <v>100</v>
      </c>
      <c r="U69" s="57" t="s">
        <v>113</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6" t="b">
        <v>1</v>
      </c>
      <c r="AK69" s="176" t="b">
        <v>1</v>
      </c>
      <c r="AL69" s="176" t="b">
        <v>1</v>
      </c>
      <c r="AM69" s="176" t="b">
        <v>1</v>
      </c>
      <c r="AN69" s="176" t="b">
        <v>1</v>
      </c>
      <c r="AO69" s="176" t="b">
        <v>1</v>
      </c>
      <c r="AP69" s="64" t="str">
        <f t="shared" si="14"/>
        <v>VALID</v>
      </c>
      <c r="AQ69" s="217" t="s">
        <v>1516</v>
      </c>
      <c r="AR69" s="182" t="s">
        <v>3495</v>
      </c>
      <c r="AS69" s="181"/>
      <c r="AT69" s="5"/>
      <c r="AU69" s="5"/>
      <c r="AV69" s="181" t="s">
        <v>3502</v>
      </c>
      <c r="AW69" s="181" t="s">
        <v>125</v>
      </c>
      <c r="AX69" s="284"/>
      <c r="AY69" s="181"/>
      <c r="AZ69" s="181"/>
      <c r="BA69" s="7"/>
      <c r="BB69" s="212"/>
      <c r="BC69" s="10" t="s">
        <v>3515</v>
      </c>
      <c r="BD69" s="238"/>
      <c r="BE69" s="239"/>
      <c r="BF69" s="239"/>
      <c r="BG69" s="239"/>
      <c r="BH69" s="239"/>
      <c r="BI69" s="239"/>
      <c r="BJ69" s="239"/>
      <c r="BK69" s="239"/>
      <c r="BL69" s="239"/>
      <c r="BM69" s="239"/>
      <c r="BN69" s="239"/>
      <c r="BO69" s="239"/>
      <c r="BP69" s="239"/>
      <c r="BQ69" s="239"/>
      <c r="BR69" s="239"/>
      <c r="BS69" s="239"/>
      <c r="BT69" s="239"/>
      <c r="BU69" s="239"/>
      <c r="BV69" s="239"/>
      <c r="BW69" s="239"/>
      <c r="BX69" s="239"/>
      <c r="BY69" s="239"/>
      <c r="BZ69" s="239"/>
      <c r="CA69" s="239"/>
      <c r="CB69" s="239"/>
      <c r="CC69" s="239"/>
      <c r="CD69" s="239"/>
      <c r="CE69" s="239"/>
    </row>
    <row r="70" spans="1:83" ht="12.95" customHeight="1">
      <c r="A70" s="21" t="s">
        <v>3820</v>
      </c>
      <c r="B70" s="21" t="s">
        <v>3823</v>
      </c>
      <c r="C70" s="51" t="s">
        <v>18</v>
      </c>
      <c r="D70" s="52" t="s">
        <v>1788</v>
      </c>
      <c r="E70" s="52" t="s">
        <v>1789</v>
      </c>
      <c r="F70" s="53" t="s">
        <v>524</v>
      </c>
      <c r="G70" s="179"/>
      <c r="H70" s="180" t="s">
        <v>1438</v>
      </c>
      <c r="I70" s="55" t="s">
        <v>1429</v>
      </c>
      <c r="J70" s="55" t="s">
        <v>1429</v>
      </c>
      <c r="K70" s="56" t="s">
        <v>1429</v>
      </c>
      <c r="L70" s="54" t="s">
        <v>1580</v>
      </c>
      <c r="M70" s="55" t="s">
        <v>1580</v>
      </c>
      <c r="N70" s="55" t="s">
        <v>1429</v>
      </c>
      <c r="O70" s="55" t="s">
        <v>1429</v>
      </c>
      <c r="P70" s="56" t="s">
        <v>1429</v>
      </c>
      <c r="Q70" s="52" t="s">
        <v>746</v>
      </c>
      <c r="R70" s="52" t="s">
        <v>113</v>
      </c>
      <c r="S70" s="52" t="s">
        <v>99</v>
      </c>
      <c r="T70" s="52" t="s">
        <v>100</v>
      </c>
      <c r="U70" s="57" t="s">
        <v>113</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6" t="b">
        <v>1</v>
      </c>
      <c r="AK70" s="176" t="b">
        <v>1</v>
      </c>
      <c r="AL70" s="176" t="b">
        <v>1</v>
      </c>
      <c r="AM70" s="176" t="b">
        <v>1</v>
      </c>
      <c r="AN70" s="176" t="b">
        <v>1</v>
      </c>
      <c r="AO70" s="176" t="b">
        <v>1</v>
      </c>
      <c r="AP70" s="64" t="str">
        <f t="shared" si="14"/>
        <v>VALID</v>
      </c>
      <c r="AQ70" s="218" t="s">
        <v>1438</v>
      </c>
      <c r="AR70" s="164" t="s">
        <v>3501</v>
      </c>
      <c r="AS70" s="9"/>
      <c r="AT70" s="219"/>
      <c r="AU70" s="219"/>
      <c r="AV70" s="181" t="s">
        <v>3502</v>
      </c>
      <c r="AW70" s="181" t="s">
        <v>125</v>
      </c>
      <c r="AX70" s="284"/>
      <c r="AY70" s="9"/>
      <c r="AZ70" s="9"/>
      <c r="BA70" s="13"/>
      <c r="BB70" s="220"/>
      <c r="BC70" s="11" t="s">
        <v>1438</v>
      </c>
      <c r="BD70" s="238"/>
      <c r="BE70" s="239"/>
      <c r="BF70" s="239"/>
      <c r="BG70" s="239"/>
      <c r="BH70" s="239"/>
      <c r="BI70" s="239"/>
      <c r="BJ70" s="239"/>
      <c r="BK70" s="239"/>
      <c r="BL70" s="239"/>
      <c r="BM70" s="239"/>
      <c r="BN70" s="239"/>
      <c r="BO70" s="239"/>
      <c r="BP70" s="239"/>
      <c r="BQ70" s="239"/>
      <c r="BR70" s="239"/>
      <c r="BS70" s="239"/>
      <c r="BT70" s="239"/>
      <c r="BU70" s="239"/>
      <c r="BV70" s="239"/>
      <c r="BW70" s="239"/>
      <c r="BX70" s="239"/>
      <c r="BY70" s="239"/>
      <c r="BZ70" s="239"/>
      <c r="CA70" s="239"/>
      <c r="CB70" s="239"/>
      <c r="CC70" s="239"/>
      <c r="CD70" s="239"/>
      <c r="CE70" s="239"/>
    </row>
    <row r="71" spans="1:83" ht="12.95" customHeight="1">
      <c r="A71" s="21" t="s">
        <v>3347</v>
      </c>
      <c r="B71" s="21" t="s">
        <v>3595</v>
      </c>
      <c r="C71" s="51" t="s">
        <v>1007</v>
      </c>
      <c r="D71" s="52" t="s">
        <v>1791</v>
      </c>
      <c r="E71" s="52" t="s">
        <v>1792</v>
      </c>
      <c r="F71" s="53" t="s">
        <v>1232</v>
      </c>
      <c r="G71" s="179"/>
      <c r="H71" s="180" t="s">
        <v>1793</v>
      </c>
      <c r="I71" s="55"/>
      <c r="J71" s="55"/>
      <c r="K71" s="56" t="s">
        <v>1429</v>
      </c>
      <c r="L71" s="54" t="s">
        <v>1580</v>
      </c>
      <c r="M71" s="55" t="s">
        <v>1581</v>
      </c>
      <c r="N71" s="55" t="s">
        <v>1590</v>
      </c>
      <c r="O71" s="55" t="s">
        <v>1581</v>
      </c>
      <c r="P71" s="56" t="s">
        <v>1429</v>
      </c>
      <c r="Q71" s="52" t="s">
        <v>1361</v>
      </c>
      <c r="R71" s="52" t="s">
        <v>134</v>
      </c>
      <c r="S71" s="52" t="s">
        <v>275</v>
      </c>
      <c r="T71" s="52" t="s">
        <v>100</v>
      </c>
      <c r="U71" s="57" t="s">
        <v>100</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6" t="b">
        <v>1</v>
      </c>
      <c r="AK71" s="176" t="b">
        <v>1</v>
      </c>
      <c r="AL71" s="176" t="b">
        <v>1</v>
      </c>
      <c r="AM71" s="176" t="b">
        <v>1</v>
      </c>
      <c r="AN71" s="176" t="b">
        <v>1</v>
      </c>
      <c r="AO71" s="176" t="b">
        <v>1</v>
      </c>
      <c r="AP71" s="64" t="str">
        <f t="shared" si="14"/>
        <v>VALID</v>
      </c>
      <c r="AQ71" s="221" t="s">
        <v>1793</v>
      </c>
      <c r="AR71" s="182" t="s">
        <v>3495</v>
      </c>
      <c r="AS71" s="181"/>
      <c r="AT71" s="181" t="s">
        <v>104</v>
      </c>
      <c r="AU71" s="219"/>
      <c r="AV71" s="181" t="s">
        <v>3502</v>
      </c>
      <c r="AW71" s="181" t="s">
        <v>125</v>
      </c>
      <c r="AX71" s="284"/>
      <c r="AY71" s="181"/>
      <c r="AZ71" s="181"/>
      <c r="BA71" s="14" t="s">
        <v>101</v>
      </c>
      <c r="BB71" s="222"/>
      <c r="BC71" s="16" t="s">
        <v>3710</v>
      </c>
      <c r="BD71" s="238"/>
      <c r="BE71" s="239"/>
      <c r="BF71" s="239"/>
      <c r="BG71" s="239"/>
      <c r="BH71" s="239"/>
      <c r="BI71" s="239"/>
      <c r="BJ71" s="239"/>
      <c r="BK71" s="239"/>
      <c r="BL71" s="239"/>
      <c r="BM71" s="239"/>
      <c r="BN71" s="239"/>
      <c r="BO71" s="239"/>
      <c r="BP71" s="239"/>
      <c r="BQ71" s="239"/>
      <c r="BR71" s="239"/>
      <c r="BS71" s="239"/>
      <c r="BT71" s="239"/>
      <c r="BU71" s="239"/>
      <c r="BV71" s="239"/>
      <c r="BW71" s="239"/>
      <c r="BX71" s="239"/>
      <c r="BY71" s="239"/>
      <c r="BZ71" s="239"/>
      <c r="CA71" s="239"/>
      <c r="CB71" s="239"/>
      <c r="CC71" s="239"/>
      <c r="CD71" s="239"/>
      <c r="CE71" s="239"/>
    </row>
    <row r="72" spans="1:83" ht="12.95" customHeight="1">
      <c r="A72" s="21" t="s">
        <v>3821</v>
      </c>
      <c r="B72" s="21" t="s">
        <v>3822</v>
      </c>
      <c r="C72" s="51" t="s">
        <v>1008</v>
      </c>
      <c r="D72" s="52" t="s">
        <v>1796</v>
      </c>
      <c r="E72" s="52" t="s">
        <v>1797</v>
      </c>
      <c r="F72" s="53" t="s">
        <v>1233</v>
      </c>
      <c r="G72" s="179"/>
      <c r="H72" s="180" t="s">
        <v>1798</v>
      </c>
      <c r="I72" s="55"/>
      <c r="J72" s="55" t="s">
        <v>1799</v>
      </c>
      <c r="K72" s="56" t="s">
        <v>1429</v>
      </c>
      <c r="L72" s="54" t="s">
        <v>1580</v>
      </c>
      <c r="M72" s="55" t="s">
        <v>1580</v>
      </c>
      <c r="N72" s="55" t="s">
        <v>1581</v>
      </c>
      <c r="O72" s="55" t="s">
        <v>1581</v>
      </c>
      <c r="P72" s="56" t="s">
        <v>1429</v>
      </c>
      <c r="Q72" s="52" t="s">
        <v>1361</v>
      </c>
      <c r="R72" s="52" t="s">
        <v>1362</v>
      </c>
      <c r="S72" s="52" t="s">
        <v>275</v>
      </c>
      <c r="T72" s="52" t="s">
        <v>100</v>
      </c>
      <c r="U72" s="57" t="s">
        <v>100</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6" t="b">
        <v>1</v>
      </c>
      <c r="AK72" s="176" t="b">
        <v>1</v>
      </c>
      <c r="AL72" s="176" t="b">
        <v>1</v>
      </c>
      <c r="AM72" s="176" t="b">
        <v>1</v>
      </c>
      <c r="AN72" s="176" t="b">
        <v>1</v>
      </c>
      <c r="AO72" s="176" t="b">
        <v>1</v>
      </c>
      <c r="AP72" s="64" t="str">
        <f t="shared" si="14"/>
        <v>VALID</v>
      </c>
      <c r="AQ72" s="211" t="s">
        <v>1798</v>
      </c>
      <c r="AR72" s="182" t="s">
        <v>3501</v>
      </c>
      <c r="AS72" s="181"/>
      <c r="AT72" s="181" t="s">
        <v>104</v>
      </c>
      <c r="AU72" s="219"/>
      <c r="AV72" s="181" t="s">
        <v>3502</v>
      </c>
      <c r="AW72" s="181" t="s">
        <v>125</v>
      </c>
      <c r="AX72" s="284"/>
      <c r="AY72" s="181"/>
      <c r="AZ72" s="181"/>
      <c r="BA72" s="7"/>
      <c r="BB72" s="212"/>
      <c r="BC72" s="10" t="s">
        <v>3711</v>
      </c>
      <c r="BD72" s="238"/>
      <c r="BE72" s="239"/>
      <c r="BF72" s="239"/>
      <c r="BG72" s="239"/>
      <c r="BH72" s="239"/>
      <c r="BI72" s="239"/>
      <c r="BJ72" s="239"/>
      <c r="BK72" s="239"/>
      <c r="BL72" s="239"/>
      <c r="BM72" s="239"/>
      <c r="BN72" s="239"/>
      <c r="BO72" s="239"/>
      <c r="BP72" s="239"/>
      <c r="BQ72" s="239"/>
      <c r="BR72" s="239"/>
      <c r="BS72" s="239"/>
      <c r="BT72" s="239"/>
      <c r="BU72" s="239"/>
      <c r="BV72" s="239"/>
      <c r="BW72" s="239"/>
      <c r="BX72" s="239"/>
      <c r="BY72" s="239"/>
      <c r="BZ72" s="239"/>
      <c r="CA72" s="239"/>
      <c r="CB72" s="239"/>
      <c r="CC72" s="239"/>
      <c r="CD72" s="239"/>
      <c r="CE72" s="239"/>
    </row>
    <row r="73" spans="1:83" ht="12.95" customHeight="1">
      <c r="A73" s="21" t="s">
        <v>1404</v>
      </c>
      <c r="B73" s="21" t="s">
        <v>3589</v>
      </c>
      <c r="C73" s="51" t="s">
        <v>20</v>
      </c>
      <c r="D73" s="52" t="s">
        <v>1670</v>
      </c>
      <c r="E73" s="52" t="s">
        <v>1802</v>
      </c>
      <c r="F73" s="53" t="s">
        <v>526</v>
      </c>
      <c r="G73" s="179"/>
      <c r="H73" s="180" t="s">
        <v>1517</v>
      </c>
      <c r="I73" s="55" t="s">
        <v>1429</v>
      </c>
      <c r="J73" s="55" t="s">
        <v>1429</v>
      </c>
      <c r="K73" s="56" t="s">
        <v>1429</v>
      </c>
      <c r="L73" s="54" t="s">
        <v>1580</v>
      </c>
      <c r="M73" s="55" t="s">
        <v>1590</v>
      </c>
      <c r="N73" s="55" t="s">
        <v>1429</v>
      </c>
      <c r="O73" s="55" t="s">
        <v>1429</v>
      </c>
      <c r="P73" s="56" t="s">
        <v>1429</v>
      </c>
      <c r="Q73" s="52" t="s">
        <v>747</v>
      </c>
      <c r="R73" s="52" t="s">
        <v>113</v>
      </c>
      <c r="S73" s="52" t="s">
        <v>99</v>
      </c>
      <c r="T73" s="52" t="s">
        <v>100</v>
      </c>
      <c r="U73" s="57" t="s">
        <v>113</v>
      </c>
      <c r="V73" s="189"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6" t="b">
        <v>1</v>
      </c>
      <c r="AK73" s="176" t="b">
        <v>1</v>
      </c>
      <c r="AL73" s="176" t="b">
        <v>1</v>
      </c>
      <c r="AM73" s="176" t="b">
        <v>1</v>
      </c>
      <c r="AN73" s="176" t="b">
        <v>1</v>
      </c>
      <c r="AO73" s="176" t="b">
        <v>1</v>
      </c>
      <c r="AP73" s="64" t="str">
        <f t="shared" si="14"/>
        <v>VALID</v>
      </c>
      <c r="AQ73" s="211" t="s">
        <v>1517</v>
      </c>
      <c r="AR73" s="182" t="s">
        <v>3496</v>
      </c>
      <c r="AS73" s="181"/>
      <c r="AT73" s="181" t="s">
        <v>3499</v>
      </c>
      <c r="AU73" s="5"/>
      <c r="AV73" s="181" t="s">
        <v>3502</v>
      </c>
      <c r="AW73" s="181" t="s">
        <v>125</v>
      </c>
      <c r="AX73" s="284"/>
      <c r="AY73" s="181"/>
      <c r="AZ73" s="181"/>
      <c r="BA73" s="7"/>
      <c r="BB73" s="212"/>
      <c r="BC73" s="10" t="s">
        <v>3712</v>
      </c>
      <c r="BD73" s="238"/>
      <c r="BE73" s="239"/>
      <c r="BF73" s="239"/>
      <c r="BG73" s="239"/>
      <c r="BH73" s="239"/>
      <c r="BI73" s="239"/>
      <c r="BJ73" s="239"/>
      <c r="BK73" s="239"/>
      <c r="BL73" s="239"/>
      <c r="BM73" s="239"/>
      <c r="BN73" s="239"/>
      <c r="BO73" s="239"/>
      <c r="BP73" s="239"/>
      <c r="BQ73" s="239"/>
      <c r="BR73" s="239"/>
      <c r="BS73" s="239"/>
      <c r="BT73" s="239"/>
      <c r="BU73" s="239"/>
      <c r="BV73" s="239"/>
      <c r="BW73" s="239"/>
      <c r="BX73" s="239"/>
      <c r="BY73" s="239"/>
      <c r="BZ73" s="239"/>
      <c r="CA73" s="239"/>
      <c r="CB73" s="239"/>
      <c r="CC73" s="239"/>
      <c r="CD73" s="239"/>
      <c r="CE73" s="239"/>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1"/>
      <c r="AT74" s="241"/>
      <c r="AU74" s="241"/>
      <c r="AV74" s="241"/>
      <c r="AW74" s="241"/>
      <c r="AX74" s="285"/>
      <c r="AY74" s="241"/>
      <c r="AZ74" s="241"/>
      <c r="BA74" s="241"/>
      <c r="BB74" s="168" t="s">
        <v>49</v>
      </c>
      <c r="BC74" s="244"/>
      <c r="BD74" s="245"/>
      <c r="BE74" s="308"/>
      <c r="BF74" s="243"/>
      <c r="BG74" s="243"/>
      <c r="BH74" s="243"/>
      <c r="BI74" s="243"/>
      <c r="BJ74" s="243"/>
      <c r="BK74" s="243"/>
      <c r="BL74" s="243"/>
      <c r="BM74" s="243"/>
      <c r="BN74" s="243"/>
      <c r="BO74" s="243"/>
      <c r="BP74" s="243"/>
      <c r="BQ74" s="243"/>
      <c r="BR74" s="243"/>
      <c r="BS74" s="243"/>
      <c r="BT74" s="243"/>
      <c r="BU74" s="243"/>
      <c r="BV74" s="243"/>
      <c r="BW74" s="243"/>
      <c r="BX74" s="243"/>
      <c r="BY74" s="243"/>
      <c r="BZ74" s="243"/>
      <c r="CA74" s="243"/>
      <c r="CB74" s="243"/>
      <c r="CC74" s="243"/>
      <c r="CD74" s="243"/>
      <c r="CE74" s="243"/>
    </row>
    <row r="75" spans="1:83" ht="12.95" customHeight="1">
      <c r="A75" s="21" t="s">
        <v>3340</v>
      </c>
      <c r="B75" s="21" t="s">
        <v>3559</v>
      </c>
      <c r="C75" s="51" t="s">
        <v>314</v>
      </c>
      <c r="D75" s="52" t="s">
        <v>1805</v>
      </c>
      <c r="E75" s="52" t="s">
        <v>1806</v>
      </c>
      <c r="F75" s="53" t="s">
        <v>527</v>
      </c>
      <c r="G75" s="179" t="s">
        <v>1429</v>
      </c>
      <c r="H75" s="207"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7"/>
      <c r="AE75" s="66"/>
      <c r="AF75" s="61" t="str">
        <f t="shared" si="7"/>
        <v>NORMAL</v>
      </c>
      <c r="AG75" s="61" t="str">
        <f t="shared" si="5"/>
        <v>NORMAL</v>
      </c>
      <c r="AH75" s="61" t="str">
        <f t="shared" si="8"/>
        <v>DISABLE</v>
      </c>
      <c r="AI75" s="67" t="str">
        <f t="shared" si="10"/>
        <v>N/A</v>
      </c>
      <c r="AJ75" s="176" t="b">
        <v>1</v>
      </c>
      <c r="AK75" s="176" t="b">
        <v>1</v>
      </c>
      <c r="AL75" s="176" t="b">
        <v>1</v>
      </c>
      <c r="AM75" s="176" t="b">
        <v>1</v>
      </c>
      <c r="AN75" s="176" t="b">
        <v>1</v>
      </c>
      <c r="AO75" s="176" t="b">
        <v>1</v>
      </c>
      <c r="AP75" s="64" t="str">
        <f t="shared" si="14"/>
        <v>VALID</v>
      </c>
      <c r="AQ75" s="218" t="s">
        <v>1807</v>
      </c>
      <c r="AR75" s="182" t="s">
        <v>3495</v>
      </c>
      <c r="AS75" s="181"/>
      <c r="AT75" s="5"/>
      <c r="AU75" s="5"/>
      <c r="AV75" s="5"/>
      <c r="AW75" s="5"/>
      <c r="AX75" s="284"/>
      <c r="AY75" s="181"/>
      <c r="AZ75" s="181"/>
      <c r="BA75" s="7"/>
      <c r="BB75" s="212"/>
      <c r="BC75" s="10" t="s">
        <v>3713</v>
      </c>
      <c r="BD75" s="238"/>
      <c r="BE75" s="239"/>
      <c r="BF75" s="239"/>
      <c r="BG75" s="239"/>
      <c r="BH75" s="239"/>
      <c r="BI75" s="239"/>
      <c r="BJ75" s="239"/>
      <c r="BK75" s="239"/>
      <c r="BL75" s="239"/>
      <c r="BM75" s="239"/>
      <c r="BN75" s="239"/>
      <c r="BO75" s="239"/>
      <c r="BP75" s="239"/>
      <c r="BQ75" s="239"/>
      <c r="BR75" s="239"/>
      <c r="BS75" s="239"/>
      <c r="BT75" s="239"/>
      <c r="BU75" s="239"/>
      <c r="BV75" s="239"/>
      <c r="BW75" s="239"/>
      <c r="BX75" s="239"/>
      <c r="BY75" s="239"/>
      <c r="BZ75" s="239"/>
      <c r="CA75" s="239"/>
      <c r="CB75" s="239"/>
      <c r="CC75" s="239"/>
      <c r="CD75" s="239"/>
      <c r="CE75" s="239"/>
    </row>
    <row r="76" spans="1:83" ht="12.95" customHeight="1">
      <c r="A76" s="21" t="s">
        <v>3341</v>
      </c>
      <c r="B76" s="21" t="s">
        <v>3560</v>
      </c>
      <c r="C76" s="51" t="s">
        <v>315</v>
      </c>
      <c r="D76" s="52" t="s">
        <v>1811</v>
      </c>
      <c r="E76" s="52" t="s">
        <v>1812</v>
      </c>
      <c r="F76" s="53" t="s">
        <v>528</v>
      </c>
      <c r="G76" s="179" t="s">
        <v>1429</v>
      </c>
      <c r="H76" s="207"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7"/>
      <c r="AE76" s="66"/>
      <c r="AF76" s="61" t="str">
        <f t="shared" si="7"/>
        <v>NORMAL</v>
      </c>
      <c r="AG76" s="61" t="str">
        <f t="shared" si="5"/>
        <v>NORMAL</v>
      </c>
      <c r="AH76" s="61" t="str">
        <f t="shared" si="8"/>
        <v>DISABLE</v>
      </c>
      <c r="AI76" s="67" t="str">
        <f t="shared" si="10"/>
        <v>N/A</v>
      </c>
      <c r="AJ76" s="176" t="b">
        <v>1</v>
      </c>
      <c r="AK76" s="176" t="b">
        <v>1</v>
      </c>
      <c r="AL76" s="176" t="b">
        <v>1</v>
      </c>
      <c r="AM76" s="176" t="b">
        <v>1</v>
      </c>
      <c r="AN76" s="176" t="b">
        <v>1</v>
      </c>
      <c r="AO76" s="176" t="b">
        <v>1</v>
      </c>
      <c r="AP76" s="64" t="str">
        <f t="shared" si="14"/>
        <v>VALID</v>
      </c>
      <c r="AQ76" s="221" t="s">
        <v>1813</v>
      </c>
      <c r="AR76" s="182" t="s">
        <v>3495</v>
      </c>
      <c r="AS76" s="181"/>
      <c r="AT76" s="5"/>
      <c r="AU76" s="5"/>
      <c r="AV76" s="5"/>
      <c r="AW76" s="5"/>
      <c r="AX76" s="284"/>
      <c r="AY76" s="181"/>
      <c r="AZ76" s="181"/>
      <c r="BA76" s="7"/>
      <c r="BB76" s="212"/>
      <c r="BC76" s="10" t="s">
        <v>3713</v>
      </c>
      <c r="BD76" s="238"/>
      <c r="BE76" s="239"/>
      <c r="BF76" s="239"/>
      <c r="BG76" s="239"/>
      <c r="BH76" s="239"/>
      <c r="BI76" s="239"/>
      <c r="BJ76" s="239"/>
      <c r="BK76" s="239"/>
      <c r="BL76" s="239"/>
      <c r="BM76" s="239"/>
      <c r="BN76" s="239"/>
      <c r="BO76" s="239"/>
      <c r="BP76" s="239"/>
      <c r="BQ76" s="239"/>
      <c r="BR76" s="239"/>
      <c r="BS76" s="239"/>
      <c r="BT76" s="239"/>
      <c r="BU76" s="239"/>
      <c r="BV76" s="239"/>
      <c r="BW76" s="239"/>
      <c r="BX76" s="239"/>
      <c r="BY76" s="239"/>
      <c r="BZ76" s="239"/>
      <c r="CA76" s="239"/>
      <c r="CB76" s="239"/>
      <c r="CC76" s="239"/>
      <c r="CD76" s="239"/>
      <c r="CE76" s="239"/>
    </row>
    <row r="77" spans="1:83" ht="12.95" customHeight="1">
      <c r="A77" s="21" t="s">
        <v>3344</v>
      </c>
      <c r="B77" s="21" t="s">
        <v>1592</v>
      </c>
      <c r="C77" s="51" t="s">
        <v>316</v>
      </c>
      <c r="D77" s="52" t="s">
        <v>1815</v>
      </c>
      <c r="E77" s="52" t="s">
        <v>1816</v>
      </c>
      <c r="F77" s="53" t="s">
        <v>529</v>
      </c>
      <c r="G77" s="179" t="s">
        <v>1429</v>
      </c>
      <c r="H77" s="207"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7"/>
      <c r="AE77" s="66"/>
      <c r="AF77" s="61" t="str">
        <f t="shared" si="7"/>
        <v>NORMAL</v>
      </c>
      <c r="AG77" s="61" t="str">
        <f t="shared" ref="AG77:AG87" si="15">IF($AR77="Input", "TRISTATE", IF($AS77="Z","TRISTATE",IF($AQ77=$F77,"TRISTATE","NORMAL")))</f>
        <v>NORMAL</v>
      </c>
      <c r="AH77" s="61" t="str">
        <f t="shared" si="8"/>
        <v>DISABLE</v>
      </c>
      <c r="AI77" s="67" t="str">
        <f t="shared" si="10"/>
        <v>N/A</v>
      </c>
      <c r="AJ77" s="176" t="b">
        <v>1</v>
      </c>
      <c r="AK77" s="176" t="b">
        <v>1</v>
      </c>
      <c r="AL77" s="176" t="b">
        <v>1</v>
      </c>
      <c r="AM77" s="176" t="b">
        <v>1</v>
      </c>
      <c r="AN77" s="176" t="b">
        <v>1</v>
      </c>
      <c r="AO77" s="176" t="b">
        <v>1</v>
      </c>
      <c r="AP77" s="64" t="str">
        <f t="shared" si="14"/>
        <v>VALID</v>
      </c>
      <c r="AQ77" s="211" t="s">
        <v>1518</v>
      </c>
      <c r="AR77" s="182" t="s">
        <v>3495</v>
      </c>
      <c r="AS77" s="181"/>
      <c r="AT77" s="5"/>
      <c r="AU77" s="5"/>
      <c r="AV77" s="5"/>
      <c r="AW77" s="5"/>
      <c r="AX77" s="284"/>
      <c r="AY77" s="181"/>
      <c r="AZ77" s="181"/>
      <c r="BA77" s="7"/>
      <c r="BB77" s="212"/>
      <c r="BC77" s="10" t="s">
        <v>3714</v>
      </c>
      <c r="BD77" s="238"/>
      <c r="BE77" s="239"/>
      <c r="BF77" s="239"/>
      <c r="BG77" s="239"/>
      <c r="BH77" s="239"/>
      <c r="BI77" s="239"/>
      <c r="BJ77" s="239"/>
      <c r="BK77" s="239"/>
      <c r="BL77" s="239"/>
      <c r="BM77" s="239"/>
      <c r="BN77" s="239"/>
      <c r="BO77" s="239"/>
      <c r="BP77" s="239"/>
      <c r="BQ77" s="239"/>
      <c r="BR77" s="239"/>
      <c r="BS77" s="239"/>
      <c r="BT77" s="239"/>
      <c r="BU77" s="239"/>
      <c r="BV77" s="239"/>
      <c r="BW77" s="239"/>
      <c r="BX77" s="239"/>
      <c r="BY77" s="239"/>
      <c r="BZ77" s="239"/>
      <c r="CA77" s="239"/>
      <c r="CB77" s="239"/>
      <c r="CC77" s="239"/>
      <c r="CD77" s="239"/>
      <c r="CE77" s="239"/>
    </row>
    <row r="78" spans="1:83" ht="12.95" customHeight="1">
      <c r="A78" s="21" t="s">
        <v>3345</v>
      </c>
      <c r="B78" s="21" t="s">
        <v>3635</v>
      </c>
      <c r="C78" s="51" t="s">
        <v>317</v>
      </c>
      <c r="D78" s="52" t="s">
        <v>1818</v>
      </c>
      <c r="E78" s="52" t="s">
        <v>1819</v>
      </c>
      <c r="F78" s="53" t="s">
        <v>530</v>
      </c>
      <c r="G78" s="179" t="s">
        <v>1429</v>
      </c>
      <c r="H78" s="207"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7"/>
      <c r="AE78" s="66"/>
      <c r="AF78" s="61" t="str">
        <f t="shared" si="7"/>
        <v>NORMAL</v>
      </c>
      <c r="AG78" s="61" t="str">
        <f t="shared" si="15"/>
        <v>NORMAL</v>
      </c>
      <c r="AH78" s="61" t="str">
        <f t="shared" si="8"/>
        <v>DISABLE</v>
      </c>
      <c r="AI78" s="67" t="str">
        <f t="shared" si="10"/>
        <v>N/A</v>
      </c>
      <c r="AJ78" s="176" t="b">
        <v>1</v>
      </c>
      <c r="AK78" s="176" t="b">
        <v>1</v>
      </c>
      <c r="AL78" s="176" t="b">
        <v>1</v>
      </c>
      <c r="AM78" s="176" t="b">
        <v>1</v>
      </c>
      <c r="AN78" s="176" t="b">
        <v>1</v>
      </c>
      <c r="AO78" s="176" t="b">
        <v>1</v>
      </c>
      <c r="AP78" s="64" t="str">
        <f t="shared" si="14"/>
        <v>VALID</v>
      </c>
      <c r="AQ78" s="211" t="s">
        <v>1519</v>
      </c>
      <c r="AR78" s="182" t="s">
        <v>3495</v>
      </c>
      <c r="AS78" s="181"/>
      <c r="AT78" s="5"/>
      <c r="AU78" s="5"/>
      <c r="AV78" s="5"/>
      <c r="AW78" s="5"/>
      <c r="AX78" s="284"/>
      <c r="AY78" s="181"/>
      <c r="AZ78" s="181"/>
      <c r="BA78" s="7"/>
      <c r="BB78" s="212"/>
      <c r="BC78" s="10" t="s">
        <v>3714</v>
      </c>
      <c r="BD78" s="238"/>
      <c r="BE78" s="239"/>
      <c r="BF78" s="239"/>
      <c r="BG78" s="239"/>
      <c r="BH78" s="239"/>
      <c r="BI78" s="239"/>
      <c r="BJ78" s="239"/>
      <c r="BK78" s="239"/>
      <c r="BL78" s="239"/>
      <c r="BM78" s="239"/>
      <c r="BN78" s="239"/>
      <c r="BO78" s="239"/>
      <c r="BP78" s="239"/>
      <c r="BQ78" s="239"/>
      <c r="BR78" s="239"/>
      <c r="BS78" s="239"/>
      <c r="BT78" s="239"/>
      <c r="BU78" s="239"/>
      <c r="BV78" s="239"/>
      <c r="BW78" s="239"/>
      <c r="BX78" s="239"/>
      <c r="BY78" s="239"/>
      <c r="BZ78" s="239"/>
      <c r="CA78" s="239"/>
      <c r="CB78" s="239"/>
      <c r="CC78" s="239"/>
      <c r="CD78" s="239"/>
      <c r="CE78" s="239"/>
    </row>
    <row r="79" spans="1:83" ht="12.95" customHeight="1">
      <c r="A79" s="21" t="s">
        <v>3342</v>
      </c>
      <c r="B79" s="21" t="s">
        <v>3575</v>
      </c>
      <c r="C79" s="51" t="s">
        <v>1379</v>
      </c>
      <c r="D79" s="52" t="s">
        <v>1821</v>
      </c>
      <c r="E79" s="52" t="s">
        <v>1822</v>
      </c>
      <c r="F79" s="53" t="s">
        <v>1823</v>
      </c>
      <c r="G79" s="179" t="s">
        <v>1429</v>
      </c>
      <c r="H79" s="207"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7"/>
      <c r="AE79" s="66"/>
      <c r="AF79" s="61" t="str">
        <f t="shared" si="7"/>
        <v>NORMAL</v>
      </c>
      <c r="AG79" s="61" t="str">
        <f t="shared" si="15"/>
        <v>NORMAL</v>
      </c>
      <c r="AH79" s="61" t="str">
        <f t="shared" si="8"/>
        <v>DISABLE</v>
      </c>
      <c r="AI79" s="67" t="str">
        <f t="shared" si="10"/>
        <v>N/A</v>
      </c>
      <c r="AJ79" s="176" t="b">
        <v>1</v>
      </c>
      <c r="AK79" s="176" t="b">
        <v>1</v>
      </c>
      <c r="AL79" s="176" t="b">
        <v>1</v>
      </c>
      <c r="AM79" s="176" t="b">
        <v>1</v>
      </c>
      <c r="AN79" s="176" t="b">
        <v>1</v>
      </c>
      <c r="AO79" s="176" t="b">
        <v>1</v>
      </c>
      <c r="AP79" s="64" t="str">
        <f t="shared" si="14"/>
        <v>VALID</v>
      </c>
      <c r="AQ79" s="211" t="s">
        <v>1824</v>
      </c>
      <c r="AR79" s="182" t="s">
        <v>3495</v>
      </c>
      <c r="AS79" s="181"/>
      <c r="AT79" s="5"/>
      <c r="AU79" s="5"/>
      <c r="AV79" s="5"/>
      <c r="AW79" s="5"/>
      <c r="AX79" s="284"/>
      <c r="AY79" s="181"/>
      <c r="AZ79" s="181"/>
      <c r="BA79" s="7"/>
      <c r="BB79" s="212"/>
      <c r="BC79" s="10" t="s">
        <v>3715</v>
      </c>
      <c r="BD79" s="238"/>
      <c r="BE79" s="239"/>
      <c r="BF79" s="239"/>
      <c r="BG79" s="239"/>
      <c r="BH79" s="239"/>
      <c r="BI79" s="239"/>
      <c r="BJ79" s="239"/>
      <c r="BK79" s="239"/>
      <c r="BL79" s="239"/>
      <c r="BM79" s="239"/>
      <c r="BN79" s="239"/>
      <c r="BO79" s="239"/>
      <c r="BP79" s="239"/>
      <c r="BQ79" s="239"/>
      <c r="BR79" s="239"/>
      <c r="BS79" s="239"/>
      <c r="BT79" s="239"/>
      <c r="BU79" s="239"/>
      <c r="BV79" s="239"/>
      <c r="BW79" s="239"/>
      <c r="BX79" s="239"/>
      <c r="BY79" s="239"/>
      <c r="BZ79" s="239"/>
      <c r="CA79" s="239"/>
      <c r="CB79" s="239"/>
      <c r="CC79" s="239"/>
      <c r="CD79" s="239"/>
      <c r="CE79" s="239"/>
    </row>
    <row r="80" spans="1:83" ht="12.95" customHeight="1">
      <c r="A80" s="21" t="s">
        <v>3343</v>
      </c>
      <c r="B80" s="21" t="s">
        <v>3576</v>
      </c>
      <c r="C80" s="51" t="s">
        <v>1380</v>
      </c>
      <c r="D80" s="52" t="s">
        <v>1826</v>
      </c>
      <c r="E80" s="52" t="s">
        <v>1827</v>
      </c>
      <c r="F80" s="53" t="s">
        <v>1828</v>
      </c>
      <c r="G80" s="179" t="s">
        <v>1429</v>
      </c>
      <c r="H80" s="207" t="s">
        <v>1829</v>
      </c>
      <c r="I80" s="55" t="s">
        <v>1429</v>
      </c>
      <c r="J80" s="55" t="s">
        <v>1429</v>
      </c>
      <c r="K80" s="56" t="s">
        <v>1429</v>
      </c>
      <c r="L80" s="54" t="s">
        <v>1429</v>
      </c>
      <c r="M80" s="55" t="s">
        <v>1581</v>
      </c>
      <c r="N80" s="55" t="s">
        <v>1429</v>
      </c>
      <c r="O80" s="55" t="s">
        <v>1429</v>
      </c>
      <c r="P80" s="56" t="s">
        <v>1429</v>
      </c>
      <c r="Q80" s="65"/>
      <c r="R80" s="65"/>
      <c r="S80" s="65"/>
      <c r="T80" s="65"/>
      <c r="U80" s="65"/>
      <c r="V80" s="189" t="s">
        <v>1830</v>
      </c>
      <c r="W80" s="51" t="s">
        <v>1809</v>
      </c>
      <c r="X80" s="130" t="s">
        <v>1429</v>
      </c>
      <c r="Y80" s="130" t="s">
        <v>1429</v>
      </c>
      <c r="Z80" s="51" t="s">
        <v>1429</v>
      </c>
      <c r="AA80" s="51" t="s">
        <v>1810</v>
      </c>
      <c r="AB80" s="51" t="s">
        <v>1429</v>
      </c>
      <c r="AC80" s="51">
        <v>0</v>
      </c>
      <c r="AD80" s="177"/>
      <c r="AE80" s="66"/>
      <c r="AF80" s="61" t="str">
        <f t="shared" si="7"/>
        <v>NORMAL</v>
      </c>
      <c r="AG80" s="61" t="str">
        <f t="shared" si="15"/>
        <v>NORMAL</v>
      </c>
      <c r="AH80" s="61" t="str">
        <f t="shared" si="8"/>
        <v>DISABLE</v>
      </c>
      <c r="AI80" s="67" t="str">
        <f t="shared" si="10"/>
        <v>N/A</v>
      </c>
      <c r="AJ80" s="176" t="b">
        <v>1</v>
      </c>
      <c r="AK80" s="176" t="b">
        <v>1</v>
      </c>
      <c r="AL80" s="176" t="b">
        <v>1</v>
      </c>
      <c r="AM80" s="176" t="b">
        <v>1</v>
      </c>
      <c r="AN80" s="176" t="b">
        <v>1</v>
      </c>
      <c r="AO80" s="176" t="b">
        <v>1</v>
      </c>
      <c r="AP80" s="64" t="str">
        <f t="shared" si="14"/>
        <v>VALID</v>
      </c>
      <c r="AQ80" s="211" t="s">
        <v>1829</v>
      </c>
      <c r="AR80" s="182" t="s">
        <v>3495</v>
      </c>
      <c r="AS80" s="181"/>
      <c r="AT80" s="5"/>
      <c r="AU80" s="5"/>
      <c r="AV80" s="5"/>
      <c r="AW80" s="5"/>
      <c r="AX80" s="284"/>
      <c r="AY80" s="181"/>
      <c r="AZ80" s="181"/>
      <c r="BA80" s="7"/>
      <c r="BB80" s="212"/>
      <c r="BC80" s="10" t="s">
        <v>3715</v>
      </c>
      <c r="BD80" s="238"/>
      <c r="BE80" s="239"/>
      <c r="BF80" s="239"/>
      <c r="BG80" s="239"/>
      <c r="BH80" s="239"/>
      <c r="BI80" s="239"/>
      <c r="BJ80" s="239"/>
      <c r="BK80" s="239"/>
      <c r="BL80" s="239"/>
      <c r="BM80" s="239"/>
      <c r="BN80" s="239"/>
      <c r="BO80" s="239"/>
      <c r="BP80" s="239"/>
      <c r="BQ80" s="239"/>
      <c r="BR80" s="239"/>
      <c r="BS80" s="239"/>
      <c r="BT80" s="239"/>
      <c r="BU80" s="239"/>
      <c r="BV80" s="239"/>
      <c r="BW80" s="239"/>
      <c r="BX80" s="239"/>
      <c r="BY80" s="239"/>
      <c r="BZ80" s="239"/>
      <c r="CA80" s="239"/>
      <c r="CB80" s="239"/>
      <c r="CC80" s="239"/>
      <c r="CD80" s="239"/>
      <c r="CE80" s="239"/>
    </row>
    <row r="81" spans="1:83" s="50" customFormat="1" ht="18" customHeight="1">
      <c r="A81" s="171" t="s">
        <v>1384</v>
      </c>
      <c r="B81" s="171"/>
      <c r="C81" s="171"/>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8"/>
      <c r="AY81" s="73"/>
      <c r="AZ81" s="73"/>
      <c r="BA81" s="73"/>
      <c r="BB81" s="168" t="s">
        <v>1351</v>
      </c>
      <c r="BC81" s="73"/>
      <c r="BD81" s="184"/>
      <c r="BE81" s="308"/>
      <c r="BF81" s="243"/>
      <c r="BG81" s="243"/>
      <c r="BH81" s="243"/>
      <c r="BI81" s="243"/>
      <c r="BJ81" s="243"/>
      <c r="BK81" s="243"/>
      <c r="BL81" s="243"/>
      <c r="BM81" s="243"/>
      <c r="BN81" s="243"/>
      <c r="BO81" s="243"/>
      <c r="BP81" s="243"/>
      <c r="BQ81" s="243"/>
      <c r="BR81" s="243"/>
      <c r="BS81" s="243"/>
      <c r="BT81" s="243"/>
      <c r="BU81" s="243"/>
      <c r="BV81" s="243"/>
      <c r="BW81" s="243"/>
      <c r="BX81" s="243"/>
      <c r="BY81" s="243"/>
      <c r="BZ81" s="243"/>
      <c r="CA81" s="243"/>
      <c r="CB81" s="243"/>
      <c r="CC81" s="243"/>
      <c r="CD81" s="243"/>
      <c r="CE81" s="243"/>
    </row>
    <row r="82" spans="1:83" ht="12.95" customHeight="1">
      <c r="A82" s="21" t="s">
        <v>3348</v>
      </c>
      <c r="B82" s="21" t="s">
        <v>3606</v>
      </c>
      <c r="C82" s="51" t="s">
        <v>21</v>
      </c>
      <c r="D82" s="52" t="s">
        <v>1831</v>
      </c>
      <c r="E82" s="52" t="s">
        <v>1832</v>
      </c>
      <c r="F82" s="53" t="s">
        <v>135</v>
      </c>
      <c r="G82" s="179"/>
      <c r="H82" s="180" t="s">
        <v>21</v>
      </c>
      <c r="I82" s="55" t="s">
        <v>1429</v>
      </c>
      <c r="J82" s="55" t="s">
        <v>1429</v>
      </c>
      <c r="K82" s="56" t="s">
        <v>1429</v>
      </c>
      <c r="L82" s="54" t="s">
        <v>1580</v>
      </c>
      <c r="M82" s="55" t="s">
        <v>1581</v>
      </c>
      <c r="N82" s="55" t="s">
        <v>1429</v>
      </c>
      <c r="O82" s="55" t="s">
        <v>1429</v>
      </c>
      <c r="P82" s="56" t="s">
        <v>1429</v>
      </c>
      <c r="Q82" s="52" t="s">
        <v>56</v>
      </c>
      <c r="R82" s="52" t="s">
        <v>113</v>
      </c>
      <c r="S82" s="52" t="s">
        <v>99</v>
      </c>
      <c r="T82" s="52" t="s">
        <v>100</v>
      </c>
      <c r="U82" s="57" t="s">
        <v>113</v>
      </c>
      <c r="V82" s="145" t="s">
        <v>1833</v>
      </c>
      <c r="W82" s="51" t="s">
        <v>1834</v>
      </c>
      <c r="X82" s="130" t="s">
        <v>1429</v>
      </c>
      <c r="Y82" s="130" t="s">
        <v>1429</v>
      </c>
      <c r="Z82" s="51" t="s">
        <v>1678</v>
      </c>
      <c r="AA82" s="51" t="s">
        <v>1710</v>
      </c>
      <c r="AB82" s="51" t="s">
        <v>3665</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PULL_DOWN</v>
      </c>
      <c r="AG82" s="61" t="str">
        <f t="shared" si="15"/>
        <v>NORMAL</v>
      </c>
      <c r="AH82" s="61" t="str">
        <f>IF($AQ82=$H82,"ENABLE",IF(OR($AQ82=$F82,$AR82="Output"),"DISABLE","ENABLE"))</f>
        <v>ENABLE</v>
      </c>
      <c r="AI82" s="67" t="str">
        <f t="shared" si="10"/>
        <v>N/A</v>
      </c>
      <c r="AJ82" s="176" t="b">
        <v>1</v>
      </c>
      <c r="AK82" s="176" t="b">
        <v>1</v>
      </c>
      <c r="AL82" s="176" t="b">
        <v>1</v>
      </c>
      <c r="AM82" s="176" t="b">
        <v>1</v>
      </c>
      <c r="AN82" s="176" t="b">
        <v>1</v>
      </c>
      <c r="AO82" s="176" t="b">
        <v>1</v>
      </c>
      <c r="AP82" s="64" t="str">
        <f t="shared" ref="AP82:AP88" si="18">IF(AND($AJ82:$AO82), "VALID", "INVALID")</f>
        <v>VALID</v>
      </c>
      <c r="AQ82" s="211" t="s">
        <v>21</v>
      </c>
      <c r="AR82" s="182" t="s">
        <v>3495</v>
      </c>
      <c r="AS82" s="181" t="s">
        <v>3503</v>
      </c>
      <c r="AT82" s="5"/>
      <c r="AU82" s="5"/>
      <c r="AV82" s="5"/>
      <c r="AW82" s="5"/>
      <c r="AX82" s="289" t="s">
        <v>3502</v>
      </c>
      <c r="AY82" s="181"/>
      <c r="AZ82" s="181"/>
      <c r="BA82" s="7"/>
      <c r="BB82" s="212"/>
      <c r="BC82" s="10" t="s">
        <v>3716</v>
      </c>
      <c r="BD82" s="238"/>
      <c r="BE82" s="239"/>
      <c r="BF82" s="239"/>
      <c r="BG82" s="239"/>
      <c r="BH82" s="239"/>
      <c r="BI82" s="239"/>
      <c r="BJ82" s="239"/>
      <c r="BK82" s="239"/>
      <c r="BL82" s="239"/>
      <c r="BM82" s="239"/>
      <c r="BN82" s="239"/>
      <c r="BO82" s="239"/>
      <c r="BP82" s="239"/>
      <c r="BQ82" s="239"/>
      <c r="BR82" s="239"/>
      <c r="BS82" s="239"/>
      <c r="BT82" s="239"/>
      <c r="BU82" s="239"/>
      <c r="BV82" s="239"/>
      <c r="BW82" s="239"/>
      <c r="BX82" s="239"/>
      <c r="BY82" s="239"/>
      <c r="BZ82" s="239"/>
      <c r="CA82" s="239"/>
      <c r="CB82" s="239"/>
      <c r="CC82" s="239"/>
      <c r="CD82" s="239"/>
      <c r="CE82" s="239"/>
    </row>
    <row r="83" spans="1:83" ht="12.95" customHeight="1">
      <c r="A83" s="21" t="s">
        <v>3349</v>
      </c>
      <c r="B83" s="21" t="s">
        <v>3607</v>
      </c>
      <c r="C83" s="51" t="s">
        <v>22</v>
      </c>
      <c r="D83" s="52" t="s">
        <v>1835</v>
      </c>
      <c r="E83" s="52" t="s">
        <v>1836</v>
      </c>
      <c r="F83" s="53" t="s">
        <v>137</v>
      </c>
      <c r="G83" s="179"/>
      <c r="H83" s="180" t="s">
        <v>22</v>
      </c>
      <c r="I83" s="55" t="s">
        <v>1429</v>
      </c>
      <c r="J83" s="55" t="s">
        <v>1429</v>
      </c>
      <c r="K83" s="56" t="s">
        <v>1429</v>
      </c>
      <c r="L83" s="54" t="s">
        <v>1580</v>
      </c>
      <c r="M83" s="55" t="s">
        <v>1580</v>
      </c>
      <c r="N83" s="55" t="s">
        <v>1429</v>
      </c>
      <c r="O83" s="55" t="s">
        <v>1429</v>
      </c>
      <c r="P83" s="56" t="s">
        <v>1429</v>
      </c>
      <c r="Q83" s="52" t="s">
        <v>56</v>
      </c>
      <c r="R83" s="52" t="s">
        <v>113</v>
      </c>
      <c r="S83" s="52" t="s">
        <v>99</v>
      </c>
      <c r="T83" s="52" t="s">
        <v>100</v>
      </c>
      <c r="U83" s="57" t="s">
        <v>113</v>
      </c>
      <c r="V83" s="146" t="s">
        <v>1837</v>
      </c>
      <c r="W83" s="51" t="s">
        <v>1834</v>
      </c>
      <c r="X83" s="130" t="s">
        <v>1429</v>
      </c>
      <c r="Y83" s="130" t="s">
        <v>1429</v>
      </c>
      <c r="Z83" s="51" t="s">
        <v>1678</v>
      </c>
      <c r="AA83" s="51" t="s">
        <v>1710</v>
      </c>
      <c r="AB83" s="51" t="s">
        <v>3665</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6" t="b">
        <v>1</v>
      </c>
      <c r="AK83" s="176" t="b">
        <v>1</v>
      </c>
      <c r="AL83" s="176" t="b">
        <v>1</v>
      </c>
      <c r="AM83" s="176" t="b">
        <v>1</v>
      </c>
      <c r="AN83" s="176" t="b">
        <v>1</v>
      </c>
      <c r="AO83" s="176" t="b">
        <v>1</v>
      </c>
      <c r="AP83" s="64" t="str">
        <f t="shared" si="18"/>
        <v>VALID</v>
      </c>
      <c r="AQ83" s="211" t="s">
        <v>22</v>
      </c>
      <c r="AR83" s="182" t="s">
        <v>3501</v>
      </c>
      <c r="AS83" s="181" t="s">
        <v>3497</v>
      </c>
      <c r="AT83" s="5"/>
      <c r="AU83" s="5"/>
      <c r="AV83" s="5"/>
      <c r="AW83" s="5"/>
      <c r="AX83" s="284"/>
      <c r="AY83" s="181"/>
      <c r="AZ83" s="181"/>
      <c r="BA83" s="7"/>
      <c r="BB83" s="212"/>
      <c r="BC83" s="10" t="s">
        <v>3717</v>
      </c>
      <c r="BD83" s="238"/>
      <c r="BE83" s="239"/>
      <c r="BF83" s="239"/>
      <c r="BG83" s="239"/>
      <c r="BH83" s="239"/>
      <c r="BI83" s="239"/>
      <c r="BJ83" s="239"/>
      <c r="BK83" s="239"/>
      <c r="BL83" s="239"/>
      <c r="BM83" s="239"/>
      <c r="BN83" s="239"/>
      <c r="BO83" s="239"/>
      <c r="BP83" s="239"/>
      <c r="BQ83" s="239"/>
      <c r="BR83" s="239"/>
      <c r="BS83" s="239"/>
      <c r="BT83" s="239"/>
      <c r="BU83" s="239"/>
      <c r="BV83" s="239"/>
      <c r="BW83" s="239"/>
      <c r="BX83" s="239"/>
      <c r="BY83" s="239"/>
      <c r="BZ83" s="239"/>
      <c r="CA83" s="239"/>
      <c r="CB83" s="239"/>
      <c r="CC83" s="239"/>
      <c r="CD83" s="239"/>
      <c r="CE83" s="239"/>
    </row>
    <row r="84" spans="1:83" ht="12.95" customHeight="1">
      <c r="A84" s="21" t="s">
        <v>3350</v>
      </c>
      <c r="B84" s="21" t="s">
        <v>3623</v>
      </c>
      <c r="C84" s="51" t="s">
        <v>23</v>
      </c>
      <c r="D84" s="52" t="s">
        <v>1838</v>
      </c>
      <c r="E84" s="52" t="s">
        <v>1839</v>
      </c>
      <c r="F84" s="53" t="s">
        <v>138</v>
      </c>
      <c r="G84" s="179"/>
      <c r="H84" s="180" t="s">
        <v>23</v>
      </c>
      <c r="I84" s="55" t="s">
        <v>1429</v>
      </c>
      <c r="J84" s="55" t="s">
        <v>1429</v>
      </c>
      <c r="K84" s="56" t="s">
        <v>1429</v>
      </c>
      <c r="L84" s="54" t="s">
        <v>1580</v>
      </c>
      <c r="M84" s="55" t="s">
        <v>1580</v>
      </c>
      <c r="N84" s="55" t="s">
        <v>1429</v>
      </c>
      <c r="O84" s="55" t="s">
        <v>1429</v>
      </c>
      <c r="P84" s="56" t="s">
        <v>1429</v>
      </c>
      <c r="Q84" s="52" t="s">
        <v>56</v>
      </c>
      <c r="R84" s="52" t="s">
        <v>113</v>
      </c>
      <c r="S84" s="52" t="s">
        <v>99</v>
      </c>
      <c r="T84" s="52" t="s">
        <v>100</v>
      </c>
      <c r="U84" s="57" t="s">
        <v>113</v>
      </c>
      <c r="V84" s="146" t="s">
        <v>1840</v>
      </c>
      <c r="W84" s="51" t="s">
        <v>1834</v>
      </c>
      <c r="X84" s="130" t="s">
        <v>1429</v>
      </c>
      <c r="Y84" s="130" t="s">
        <v>1429</v>
      </c>
      <c r="Z84" s="51" t="s">
        <v>1678</v>
      </c>
      <c r="AA84" s="51" t="s">
        <v>1710</v>
      </c>
      <c r="AB84" s="51" t="s">
        <v>3665</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6" t="b">
        <v>1</v>
      </c>
      <c r="AK84" s="176" t="b">
        <v>1</v>
      </c>
      <c r="AL84" s="176" t="b">
        <v>1</v>
      </c>
      <c r="AM84" s="176" t="b">
        <v>1</v>
      </c>
      <c r="AN84" s="176" t="b">
        <v>1</v>
      </c>
      <c r="AO84" s="176" t="b">
        <v>1</v>
      </c>
      <c r="AP84" s="64" t="str">
        <f t="shared" si="18"/>
        <v>VALID</v>
      </c>
      <c r="AQ84" s="211" t="s">
        <v>23</v>
      </c>
      <c r="AR84" s="182" t="s">
        <v>3501</v>
      </c>
      <c r="AS84" s="181" t="s">
        <v>3497</v>
      </c>
      <c r="AT84" s="5"/>
      <c r="AU84" s="5"/>
      <c r="AV84" s="5"/>
      <c r="AW84" s="5"/>
      <c r="AX84" s="284"/>
      <c r="AY84" s="181"/>
      <c r="AZ84" s="181"/>
      <c r="BA84" s="7"/>
      <c r="BB84" s="212"/>
      <c r="BC84" s="10" t="s">
        <v>3718</v>
      </c>
      <c r="BD84" s="238"/>
      <c r="BE84" s="239"/>
      <c r="BF84" s="239"/>
      <c r="BG84" s="239"/>
      <c r="BH84" s="239"/>
      <c r="BI84" s="239"/>
      <c r="BJ84" s="239"/>
      <c r="BK84" s="239"/>
      <c r="BL84" s="239"/>
      <c r="BM84" s="239"/>
      <c r="BN84" s="239"/>
      <c r="BO84" s="239"/>
      <c r="BP84" s="239"/>
      <c r="BQ84" s="239"/>
      <c r="BR84" s="239"/>
      <c r="BS84" s="239"/>
      <c r="BT84" s="239"/>
      <c r="BU84" s="239"/>
      <c r="BV84" s="239"/>
      <c r="BW84" s="239"/>
      <c r="BX84" s="239"/>
      <c r="BY84" s="239"/>
      <c r="BZ84" s="239"/>
      <c r="CA84" s="239"/>
      <c r="CB84" s="239"/>
      <c r="CC84" s="239"/>
      <c r="CD84" s="239"/>
      <c r="CE84" s="239"/>
    </row>
    <row r="85" spans="1:83" ht="12.95" customHeight="1">
      <c r="A85" s="21" t="s">
        <v>3351</v>
      </c>
      <c r="B85" s="21" t="s">
        <v>3622</v>
      </c>
      <c r="C85" s="51" t="s">
        <v>24</v>
      </c>
      <c r="D85" s="52" t="s">
        <v>1841</v>
      </c>
      <c r="E85" s="52" t="s">
        <v>1842</v>
      </c>
      <c r="F85" s="53" t="s">
        <v>139</v>
      </c>
      <c r="G85" s="179"/>
      <c r="H85" s="180" t="s">
        <v>24</v>
      </c>
      <c r="I85" s="55" t="s">
        <v>1429</v>
      </c>
      <c r="J85" s="55" t="s">
        <v>1429</v>
      </c>
      <c r="K85" s="56" t="s">
        <v>1429</v>
      </c>
      <c r="L85" s="54" t="s">
        <v>1580</v>
      </c>
      <c r="M85" s="55" t="s">
        <v>1580</v>
      </c>
      <c r="N85" s="55" t="s">
        <v>1429</v>
      </c>
      <c r="O85" s="55" t="s">
        <v>1429</v>
      </c>
      <c r="P85" s="56" t="s">
        <v>1429</v>
      </c>
      <c r="Q85" s="52" t="s">
        <v>56</v>
      </c>
      <c r="R85" s="52" t="s">
        <v>113</v>
      </c>
      <c r="S85" s="52" t="s">
        <v>99</v>
      </c>
      <c r="T85" s="52" t="s">
        <v>100</v>
      </c>
      <c r="U85" s="57" t="s">
        <v>113</v>
      </c>
      <c r="V85" s="146" t="s">
        <v>1843</v>
      </c>
      <c r="W85" s="51" t="s">
        <v>1834</v>
      </c>
      <c r="X85" s="130" t="s">
        <v>1844</v>
      </c>
      <c r="Y85" s="130" t="s">
        <v>1429</v>
      </c>
      <c r="Z85" s="51" t="s">
        <v>1678</v>
      </c>
      <c r="AA85" s="51" t="s">
        <v>1710</v>
      </c>
      <c r="AB85" s="51" t="s">
        <v>3665</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6" t="b">
        <v>1</v>
      </c>
      <c r="AK85" s="176" t="b">
        <v>1</v>
      </c>
      <c r="AL85" s="176" t="b">
        <v>1</v>
      </c>
      <c r="AM85" s="176" t="b">
        <v>1</v>
      </c>
      <c r="AN85" s="176" t="b">
        <v>1</v>
      </c>
      <c r="AO85" s="176" t="b">
        <v>1</v>
      </c>
      <c r="AP85" s="64" t="str">
        <f t="shared" si="18"/>
        <v>VALID</v>
      </c>
      <c r="AQ85" s="211" t="s">
        <v>24</v>
      </c>
      <c r="AR85" s="182" t="s">
        <v>3501</v>
      </c>
      <c r="AS85" s="181" t="s">
        <v>3497</v>
      </c>
      <c r="AT85" s="181" t="s">
        <v>104</v>
      </c>
      <c r="AU85" s="5"/>
      <c r="AV85" s="5"/>
      <c r="AW85" s="5"/>
      <c r="AX85" s="284"/>
      <c r="AY85" s="181"/>
      <c r="AZ85" s="181"/>
      <c r="BA85" s="7"/>
      <c r="BB85" s="212"/>
      <c r="BC85" s="10" t="s">
        <v>3719</v>
      </c>
      <c r="BD85" s="238"/>
      <c r="BE85" s="239"/>
      <c r="BF85" s="239"/>
      <c r="BG85" s="239"/>
      <c r="BH85" s="239"/>
      <c r="BI85" s="239"/>
      <c r="BJ85" s="239"/>
      <c r="BK85" s="239"/>
      <c r="BL85" s="239"/>
      <c r="BM85" s="239"/>
      <c r="BN85" s="239"/>
      <c r="BO85" s="239"/>
      <c r="BP85" s="239"/>
      <c r="BQ85" s="239"/>
      <c r="BR85" s="239"/>
      <c r="BS85" s="239"/>
      <c r="BT85" s="239"/>
      <c r="BU85" s="239"/>
      <c r="BV85" s="239"/>
      <c r="BW85" s="239"/>
      <c r="BX85" s="239"/>
      <c r="BY85" s="239"/>
      <c r="BZ85" s="239"/>
      <c r="CA85" s="239"/>
      <c r="CB85" s="239"/>
      <c r="CC85" s="239"/>
      <c r="CD85" s="239"/>
      <c r="CE85" s="239"/>
    </row>
    <row r="86" spans="1:83" ht="12.95" customHeight="1">
      <c r="A86" s="21" t="s">
        <v>3352</v>
      </c>
      <c r="B86" s="21" t="s">
        <v>3599</v>
      </c>
      <c r="C86" s="51" t="s">
        <v>25</v>
      </c>
      <c r="D86" s="52" t="s">
        <v>1839</v>
      </c>
      <c r="E86" s="52" t="s">
        <v>1845</v>
      </c>
      <c r="F86" s="53" t="s">
        <v>140</v>
      </c>
      <c r="G86" s="179"/>
      <c r="H86" s="180" t="s">
        <v>25</v>
      </c>
      <c r="I86" s="55" t="s">
        <v>1429</v>
      </c>
      <c r="J86" s="55" t="s">
        <v>1429</v>
      </c>
      <c r="K86" s="56" t="s">
        <v>1429</v>
      </c>
      <c r="L86" s="54" t="s">
        <v>1580</v>
      </c>
      <c r="M86" s="55" t="s">
        <v>1580</v>
      </c>
      <c r="N86" s="55" t="s">
        <v>1429</v>
      </c>
      <c r="O86" s="55" t="s">
        <v>1429</v>
      </c>
      <c r="P86" s="56" t="s">
        <v>1429</v>
      </c>
      <c r="Q86" s="52" t="s">
        <v>56</v>
      </c>
      <c r="R86" s="52" t="s">
        <v>113</v>
      </c>
      <c r="S86" s="52" t="s">
        <v>99</v>
      </c>
      <c r="T86" s="52" t="s">
        <v>100</v>
      </c>
      <c r="U86" s="57" t="s">
        <v>113</v>
      </c>
      <c r="V86" s="146" t="s">
        <v>1846</v>
      </c>
      <c r="W86" s="51" t="s">
        <v>1834</v>
      </c>
      <c r="X86" s="130" t="s">
        <v>1429</v>
      </c>
      <c r="Y86" s="130" t="s">
        <v>1429</v>
      </c>
      <c r="Z86" s="51" t="s">
        <v>1678</v>
      </c>
      <c r="AA86" s="51" t="s">
        <v>1710</v>
      </c>
      <c r="AB86" s="51" t="s">
        <v>3665</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6" t="b">
        <v>1</v>
      </c>
      <c r="AK86" s="176" t="b">
        <v>1</v>
      </c>
      <c r="AL86" s="176" t="b">
        <v>1</v>
      </c>
      <c r="AM86" s="176" t="b">
        <v>1</v>
      </c>
      <c r="AN86" s="176" t="b">
        <v>1</v>
      </c>
      <c r="AO86" s="176" t="b">
        <v>1</v>
      </c>
      <c r="AP86" s="64" t="str">
        <f t="shared" si="18"/>
        <v>VALID</v>
      </c>
      <c r="AQ86" s="211" t="s">
        <v>25</v>
      </c>
      <c r="AR86" s="182" t="s">
        <v>3501</v>
      </c>
      <c r="AS86" s="181" t="s">
        <v>3497</v>
      </c>
      <c r="AT86" s="5"/>
      <c r="AU86" s="5"/>
      <c r="AV86" s="5"/>
      <c r="AW86" s="5"/>
      <c r="AX86" s="284"/>
      <c r="AY86" s="181"/>
      <c r="AZ86" s="181"/>
      <c r="BA86" s="7"/>
      <c r="BB86" s="212"/>
      <c r="BC86" s="10" t="s">
        <v>3720</v>
      </c>
      <c r="BD86" s="238"/>
      <c r="BE86" s="239"/>
      <c r="BF86" s="239"/>
      <c r="BG86" s="239"/>
      <c r="BH86" s="239"/>
      <c r="BI86" s="239"/>
      <c r="BJ86" s="239"/>
      <c r="BK86" s="239"/>
      <c r="BL86" s="239"/>
      <c r="BM86" s="239"/>
      <c r="BN86" s="239"/>
      <c r="BO86" s="239"/>
      <c r="BP86" s="239"/>
      <c r="BQ86" s="239"/>
      <c r="BR86" s="239"/>
      <c r="BS86" s="239"/>
      <c r="BT86" s="239"/>
      <c r="BU86" s="239"/>
      <c r="BV86" s="239"/>
      <c r="BW86" s="239"/>
      <c r="BX86" s="239"/>
      <c r="BY86" s="239"/>
      <c r="BZ86" s="239"/>
      <c r="CA86" s="239"/>
      <c r="CB86" s="239"/>
      <c r="CC86" s="239"/>
      <c r="CD86" s="239"/>
      <c r="CE86" s="239"/>
    </row>
    <row r="87" spans="1:83" ht="12.95" customHeight="1">
      <c r="A87" s="21" t="s">
        <v>3353</v>
      </c>
      <c r="B87" s="21" t="s">
        <v>2397</v>
      </c>
      <c r="C87" s="51" t="s">
        <v>26</v>
      </c>
      <c r="D87" s="52" t="s">
        <v>1842</v>
      </c>
      <c r="E87" s="52" t="s">
        <v>1847</v>
      </c>
      <c r="F87" s="53" t="s">
        <v>141</v>
      </c>
      <c r="G87" s="179"/>
      <c r="H87" s="180" t="s">
        <v>26</v>
      </c>
      <c r="I87" s="55" t="s">
        <v>1429</v>
      </c>
      <c r="J87" s="55" t="s">
        <v>1429</v>
      </c>
      <c r="K87" s="56" t="s">
        <v>1429</v>
      </c>
      <c r="L87" s="54" t="s">
        <v>1580</v>
      </c>
      <c r="M87" s="55" t="s">
        <v>1580</v>
      </c>
      <c r="N87" s="55" t="s">
        <v>1429</v>
      </c>
      <c r="O87" s="55" t="s">
        <v>1429</v>
      </c>
      <c r="P87" s="56" t="s">
        <v>1429</v>
      </c>
      <c r="Q87" s="52" t="s">
        <v>56</v>
      </c>
      <c r="R87" s="52" t="s">
        <v>113</v>
      </c>
      <c r="S87" s="52" t="s">
        <v>99</v>
      </c>
      <c r="T87" s="52" t="s">
        <v>100</v>
      </c>
      <c r="U87" s="57" t="s">
        <v>113</v>
      </c>
      <c r="V87" s="146" t="s">
        <v>1848</v>
      </c>
      <c r="W87" s="51" t="s">
        <v>1834</v>
      </c>
      <c r="X87" s="130" t="s">
        <v>1429</v>
      </c>
      <c r="Y87" s="130" t="s">
        <v>1429</v>
      </c>
      <c r="Z87" s="51" t="s">
        <v>1678</v>
      </c>
      <c r="AA87" s="51" t="s">
        <v>1710</v>
      </c>
      <c r="AB87" s="51" t="s">
        <v>3665</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6" t="b">
        <v>1</v>
      </c>
      <c r="AK87" s="176" t="b">
        <v>1</v>
      </c>
      <c r="AL87" s="176" t="b">
        <v>1</v>
      </c>
      <c r="AM87" s="176" t="b">
        <v>1</v>
      </c>
      <c r="AN87" s="176" t="b">
        <v>1</v>
      </c>
      <c r="AO87" s="176" t="b">
        <v>1</v>
      </c>
      <c r="AP87" s="64" t="str">
        <f t="shared" si="18"/>
        <v>VALID</v>
      </c>
      <c r="AQ87" s="211" t="s">
        <v>26</v>
      </c>
      <c r="AR87" s="182" t="s">
        <v>3501</v>
      </c>
      <c r="AS87" s="181" t="s">
        <v>3497</v>
      </c>
      <c r="AT87" s="5"/>
      <c r="AU87" s="5"/>
      <c r="AV87" s="5"/>
      <c r="AW87" s="5"/>
      <c r="AX87" s="284"/>
      <c r="AY87" s="181"/>
      <c r="AZ87" s="181"/>
      <c r="BA87" s="7"/>
      <c r="BB87" s="212"/>
      <c r="BC87" s="10" t="s">
        <v>3721</v>
      </c>
      <c r="BD87" s="238"/>
      <c r="BE87" s="239"/>
      <c r="BF87" s="239"/>
      <c r="BG87" s="239"/>
      <c r="BH87" s="239"/>
      <c r="BI87" s="239"/>
      <c r="BJ87" s="239"/>
      <c r="BK87" s="239"/>
      <c r="BL87" s="239"/>
      <c r="BM87" s="239"/>
      <c r="BN87" s="239"/>
      <c r="BO87" s="239"/>
      <c r="BP87" s="239"/>
      <c r="BQ87" s="239"/>
      <c r="BR87" s="239"/>
      <c r="BS87" s="239"/>
      <c r="BT87" s="239"/>
      <c r="BU87" s="239"/>
      <c r="BV87" s="239"/>
      <c r="BW87" s="239"/>
      <c r="BX87" s="239"/>
      <c r="BY87" s="239"/>
      <c r="BZ87" s="239"/>
      <c r="CA87" s="239"/>
      <c r="CB87" s="239"/>
      <c r="CC87" s="239"/>
      <c r="CD87" s="239"/>
      <c r="CE87" s="239"/>
    </row>
    <row r="88" spans="1:83" ht="12.95" customHeight="1">
      <c r="A88" s="1"/>
      <c r="B88" s="1"/>
      <c r="C88" s="51" t="s">
        <v>366</v>
      </c>
      <c r="D88" s="52" t="s">
        <v>1849</v>
      </c>
      <c r="E88" s="52" t="s">
        <v>1850</v>
      </c>
      <c r="F88" s="53" t="s">
        <v>531</v>
      </c>
      <c r="G88" s="179" t="s">
        <v>1429</v>
      </c>
      <c r="H88" s="180" t="s">
        <v>366</v>
      </c>
      <c r="I88" s="55" t="s">
        <v>1429</v>
      </c>
      <c r="J88" s="55" t="s">
        <v>1429</v>
      </c>
      <c r="K88" s="56" t="s">
        <v>1429</v>
      </c>
      <c r="L88" s="54" t="s">
        <v>1429</v>
      </c>
      <c r="M88" s="55" t="s">
        <v>1580</v>
      </c>
      <c r="N88" s="55" t="s">
        <v>1429</v>
      </c>
      <c r="O88" s="55" t="s">
        <v>1429</v>
      </c>
      <c r="P88" s="56" t="s">
        <v>1429</v>
      </c>
      <c r="Q88" s="52" t="s">
        <v>56</v>
      </c>
      <c r="R88" s="52" t="s">
        <v>113</v>
      </c>
      <c r="S88" s="52" t="s">
        <v>99</v>
      </c>
      <c r="T88" s="52" t="s">
        <v>100</v>
      </c>
      <c r="U88" s="57" t="s">
        <v>113</v>
      </c>
      <c r="V88" s="189" t="s">
        <v>1851</v>
      </c>
      <c r="W88" s="75"/>
      <c r="X88" s="132"/>
      <c r="Y88" s="132"/>
      <c r="Z88" s="8"/>
      <c r="AA88" s="8"/>
      <c r="AB88" s="8"/>
      <c r="AC88" s="8"/>
      <c r="AD88" s="144"/>
      <c r="AE88" s="76"/>
      <c r="AF88" s="76"/>
      <c r="AG88" s="76"/>
      <c r="AH88" s="76"/>
      <c r="AI88" s="77"/>
      <c r="AJ88" s="176" t="b">
        <v>1</v>
      </c>
      <c r="AK88" s="176" t="b">
        <v>1</v>
      </c>
      <c r="AL88" s="176" t="b">
        <v>1</v>
      </c>
      <c r="AM88" s="176" t="b">
        <v>1</v>
      </c>
      <c r="AN88" s="176" t="b">
        <v>1</v>
      </c>
      <c r="AO88" s="176" t="b">
        <v>1</v>
      </c>
      <c r="AP88" s="64" t="str">
        <f t="shared" si="18"/>
        <v>VALID</v>
      </c>
      <c r="AQ88" s="211" t="s">
        <v>366</v>
      </c>
      <c r="AR88" s="212"/>
      <c r="AS88" s="212"/>
      <c r="AT88" s="212"/>
      <c r="AU88" s="212"/>
      <c r="AV88" s="212"/>
      <c r="AW88" s="212"/>
      <c r="AX88" s="290"/>
      <c r="AY88" s="181"/>
      <c r="AZ88" s="181"/>
      <c r="BA88" s="223"/>
      <c r="BB88" s="212"/>
      <c r="BC88" s="10" t="s">
        <v>3782</v>
      </c>
      <c r="BD88" s="247"/>
      <c r="BE88" s="239"/>
      <c r="BF88" s="239"/>
      <c r="BG88" s="239"/>
      <c r="BH88" s="239"/>
      <c r="BI88" s="239"/>
      <c r="BJ88" s="239"/>
      <c r="BK88" s="239"/>
      <c r="BL88" s="239"/>
      <c r="BM88" s="239"/>
      <c r="BN88" s="239"/>
      <c r="BO88" s="239"/>
      <c r="BP88" s="239"/>
      <c r="BQ88" s="239"/>
      <c r="BR88" s="239"/>
      <c r="BS88" s="239"/>
      <c r="BT88" s="239"/>
      <c r="BU88" s="239"/>
      <c r="BV88" s="239"/>
      <c r="BW88" s="239"/>
      <c r="BX88" s="239"/>
      <c r="BY88" s="239"/>
      <c r="BZ88" s="239"/>
      <c r="CA88" s="239"/>
      <c r="CB88" s="239"/>
      <c r="CC88" s="239"/>
      <c r="CD88" s="239"/>
      <c r="CE88" s="239"/>
    </row>
    <row r="89" spans="1:83" s="50" customFormat="1" ht="18" customHeight="1">
      <c r="A89" s="171" t="s">
        <v>3824</v>
      </c>
      <c r="B89" s="171"/>
      <c r="C89" s="171"/>
      <c r="D89" s="69"/>
      <c r="E89" s="69"/>
      <c r="F89" s="69"/>
      <c r="G89" s="70"/>
      <c r="H89" s="70"/>
      <c r="I89" s="70"/>
      <c r="J89" s="70"/>
      <c r="K89" s="70"/>
      <c r="L89" s="69"/>
      <c r="M89" s="69"/>
      <c r="N89" s="69"/>
      <c r="O89" s="69"/>
      <c r="P89" s="69"/>
      <c r="Q89" s="69"/>
      <c r="R89" s="69"/>
      <c r="S89" s="69"/>
      <c r="T89" s="69"/>
      <c r="U89" s="69"/>
      <c r="V89" s="69"/>
      <c r="W89" s="320"/>
      <c r="X89" s="321"/>
      <c r="Y89" s="321"/>
      <c r="Z89" s="322"/>
      <c r="AA89" s="322"/>
      <c r="AB89" s="322"/>
      <c r="AC89" s="322"/>
      <c r="AD89" s="322"/>
      <c r="AE89" s="322"/>
      <c r="AF89" s="322"/>
      <c r="AG89" s="322"/>
      <c r="AH89" s="322"/>
      <c r="AI89" s="322"/>
      <c r="AJ89" s="47"/>
      <c r="AK89" s="47"/>
      <c r="AL89" s="47"/>
      <c r="AM89" s="47"/>
      <c r="AN89" s="47"/>
      <c r="AO89" s="47"/>
      <c r="AP89" s="47"/>
      <c r="AQ89" s="332"/>
      <c r="AR89" s="332"/>
      <c r="AS89" s="333"/>
      <c r="AT89" s="333"/>
      <c r="AU89" s="333"/>
      <c r="AV89" s="333"/>
      <c r="AW89" s="333"/>
      <c r="AX89" s="333"/>
      <c r="AY89" s="333"/>
      <c r="AZ89" s="333"/>
      <c r="BA89" s="333"/>
      <c r="BB89" s="334" t="s">
        <v>50</v>
      </c>
      <c r="BC89" s="314"/>
      <c r="BD89" s="184"/>
      <c r="BE89" s="243"/>
      <c r="BF89" s="243"/>
      <c r="BG89" s="243"/>
      <c r="BH89" s="243"/>
      <c r="BI89" s="243"/>
      <c r="BJ89" s="243"/>
      <c r="BK89" s="243"/>
      <c r="BL89" s="243"/>
      <c r="BM89" s="243"/>
      <c r="BN89" s="243"/>
      <c r="BO89" s="243"/>
      <c r="BP89" s="243"/>
      <c r="BQ89" s="243"/>
      <c r="BR89" s="243"/>
      <c r="BS89" s="243"/>
      <c r="BT89" s="243"/>
      <c r="BU89" s="243"/>
      <c r="BV89" s="243"/>
      <c r="BW89" s="243"/>
      <c r="BX89" s="243"/>
      <c r="BY89" s="243"/>
      <c r="BZ89" s="243"/>
      <c r="CA89" s="243"/>
      <c r="CB89" s="243"/>
      <c r="CC89" s="243"/>
      <c r="CD89" s="243"/>
      <c r="CE89" s="243"/>
    </row>
    <row r="90" spans="1:83" ht="12.95" customHeight="1">
      <c r="A90" s="1"/>
      <c r="B90" s="1"/>
      <c r="C90" s="51" t="s">
        <v>3825</v>
      </c>
      <c r="D90" s="52" t="s">
        <v>3826</v>
      </c>
      <c r="E90" s="339" t="s">
        <v>1852</v>
      </c>
      <c r="F90" s="53" t="s">
        <v>3827</v>
      </c>
      <c r="G90" s="180" t="s">
        <v>3828</v>
      </c>
      <c r="H90" s="180" t="s">
        <v>3825</v>
      </c>
      <c r="I90" s="55" t="s">
        <v>3829</v>
      </c>
      <c r="J90" s="55" t="s">
        <v>1429</v>
      </c>
      <c r="K90" s="55" t="s">
        <v>1429</v>
      </c>
      <c r="L90" s="55" t="s">
        <v>1580</v>
      </c>
      <c r="M90" s="55" t="s">
        <v>1581</v>
      </c>
      <c r="N90" s="55" t="s">
        <v>1580</v>
      </c>
      <c r="O90" s="55" t="s">
        <v>1429</v>
      </c>
      <c r="P90" s="55" t="s">
        <v>1429</v>
      </c>
      <c r="Q90" s="52" t="s">
        <v>3830</v>
      </c>
      <c r="R90" s="52" t="s">
        <v>3831</v>
      </c>
      <c r="S90" s="52" t="s">
        <v>99</v>
      </c>
      <c r="T90" s="52" t="s">
        <v>100</v>
      </c>
      <c r="U90" s="57" t="s">
        <v>99</v>
      </c>
      <c r="V90" s="113" t="s">
        <v>3832</v>
      </c>
      <c r="W90" s="329" t="s">
        <v>3833</v>
      </c>
      <c r="X90" s="330" t="s">
        <v>1429</v>
      </c>
      <c r="Y90" s="330" t="s">
        <v>1429</v>
      </c>
      <c r="Z90" s="331" t="s">
        <v>1678</v>
      </c>
      <c r="AA90" s="331" t="s">
        <v>1710</v>
      </c>
      <c r="AB90" s="331" t="s">
        <v>3834</v>
      </c>
      <c r="AC90" s="331" t="s">
        <v>1587</v>
      </c>
      <c r="AD90" s="331" t="s">
        <v>3830</v>
      </c>
      <c r="AE90" s="331" t="s">
        <v>3835</v>
      </c>
      <c r="AF90" s="331" t="s">
        <v>3836</v>
      </c>
      <c r="AG90" s="331" t="s">
        <v>3836</v>
      </c>
      <c r="AH90" s="331" t="s">
        <v>3837</v>
      </c>
      <c r="AI90" s="331" t="s">
        <v>1476</v>
      </c>
      <c r="AJ90" s="312" t="b">
        <v>1</v>
      </c>
      <c r="AK90" s="312" t="b">
        <v>1</v>
      </c>
      <c r="AL90" s="312" t="b">
        <v>1</v>
      </c>
      <c r="AM90" s="312" t="b">
        <v>1</v>
      </c>
      <c r="AN90" s="312" t="b">
        <v>1</v>
      </c>
      <c r="AO90" s="312" t="b">
        <v>1</v>
      </c>
      <c r="AP90" s="61" t="s">
        <v>3838</v>
      </c>
      <c r="AQ90" s="335" t="s">
        <v>3825</v>
      </c>
      <c r="AR90" s="336" t="s">
        <v>3495</v>
      </c>
      <c r="AS90" s="337"/>
      <c r="AT90" s="338"/>
      <c r="AU90" s="338"/>
      <c r="AV90" s="338"/>
      <c r="AW90" s="338"/>
      <c r="AX90" s="338"/>
      <c r="AY90" s="337" t="s">
        <v>1429</v>
      </c>
      <c r="AZ90" s="337" t="s">
        <v>1429</v>
      </c>
      <c r="BA90" s="338" t="s">
        <v>1429</v>
      </c>
      <c r="BB90" s="338"/>
      <c r="BC90" s="181" t="s">
        <v>3825</v>
      </c>
      <c r="BD90" s="313"/>
      <c r="BE90" s="239"/>
      <c r="BF90" s="239"/>
      <c r="BG90" s="239"/>
      <c r="BH90" s="239"/>
      <c r="BI90" s="239"/>
      <c r="BJ90" s="239"/>
      <c r="BK90" s="239"/>
      <c r="BL90" s="239"/>
      <c r="BM90" s="239"/>
      <c r="BN90" s="239"/>
      <c r="BO90" s="239"/>
      <c r="BP90" s="239"/>
      <c r="BQ90" s="239"/>
      <c r="BR90" s="239"/>
      <c r="BS90" s="239"/>
      <c r="BT90" s="239"/>
      <c r="BU90" s="239"/>
      <c r="BV90" s="239"/>
      <c r="BW90" s="239"/>
      <c r="BX90" s="239"/>
      <c r="BY90" s="239"/>
      <c r="BZ90" s="239"/>
      <c r="CA90" s="239"/>
      <c r="CB90" s="239"/>
      <c r="CC90" s="239"/>
      <c r="CD90" s="239"/>
      <c r="CE90" s="239"/>
    </row>
    <row r="91" spans="1:83" ht="12.95" customHeight="1">
      <c r="A91" s="1"/>
      <c r="B91" s="1"/>
      <c r="C91" s="51" t="s">
        <v>3839</v>
      </c>
      <c r="D91" s="52" t="s">
        <v>3840</v>
      </c>
      <c r="E91" s="58" t="s">
        <v>1853</v>
      </c>
      <c r="F91" s="53" t="s">
        <v>3841</v>
      </c>
      <c r="G91" s="180" t="s">
        <v>3842</v>
      </c>
      <c r="H91" s="180" t="s">
        <v>3839</v>
      </c>
      <c r="I91" s="55" t="s">
        <v>3843</v>
      </c>
      <c r="J91" s="55" t="s">
        <v>1429</v>
      </c>
      <c r="K91" s="55" t="s">
        <v>1429</v>
      </c>
      <c r="L91" s="55" t="s">
        <v>1580</v>
      </c>
      <c r="M91" s="55" t="s">
        <v>1581</v>
      </c>
      <c r="N91" s="55" t="s">
        <v>1580</v>
      </c>
      <c r="O91" s="55" t="s">
        <v>1429</v>
      </c>
      <c r="P91" s="55" t="s">
        <v>1429</v>
      </c>
      <c r="Q91" s="52" t="s">
        <v>3830</v>
      </c>
      <c r="R91" s="52" t="s">
        <v>3831</v>
      </c>
      <c r="S91" s="52" t="s">
        <v>99</v>
      </c>
      <c r="T91" s="52" t="s">
        <v>100</v>
      </c>
      <c r="U91" s="57" t="s">
        <v>99</v>
      </c>
      <c r="V91" s="113" t="s">
        <v>3844</v>
      </c>
      <c r="W91" s="329" t="s">
        <v>3833</v>
      </c>
      <c r="X91" s="330" t="s">
        <v>1429</v>
      </c>
      <c r="Y91" s="330" t="s">
        <v>1429</v>
      </c>
      <c r="Z91" s="331" t="s">
        <v>1678</v>
      </c>
      <c r="AA91" s="331" t="s">
        <v>1710</v>
      </c>
      <c r="AB91" s="331" t="s">
        <v>3834</v>
      </c>
      <c r="AC91" s="331" t="s">
        <v>1674</v>
      </c>
      <c r="AD91" s="331" t="s">
        <v>3830</v>
      </c>
      <c r="AE91" s="331" t="s">
        <v>3835</v>
      </c>
      <c r="AF91" s="331" t="s">
        <v>3836</v>
      </c>
      <c r="AG91" s="331" t="s">
        <v>3836</v>
      </c>
      <c r="AH91" s="331" t="s">
        <v>3837</v>
      </c>
      <c r="AI91" s="331" t="s">
        <v>1476</v>
      </c>
      <c r="AJ91" s="312" t="b">
        <v>1</v>
      </c>
      <c r="AK91" s="312" t="b">
        <v>1</v>
      </c>
      <c r="AL91" s="312" t="b">
        <v>1</v>
      </c>
      <c r="AM91" s="312" t="b">
        <v>1</v>
      </c>
      <c r="AN91" s="312" t="b">
        <v>1</v>
      </c>
      <c r="AO91" s="312" t="b">
        <v>1</v>
      </c>
      <c r="AP91" s="61" t="s">
        <v>3838</v>
      </c>
      <c r="AQ91" s="335" t="s">
        <v>3839</v>
      </c>
      <c r="AR91" s="336" t="s">
        <v>3495</v>
      </c>
      <c r="AS91" s="337"/>
      <c r="AT91" s="338"/>
      <c r="AU91" s="338"/>
      <c r="AV91" s="338"/>
      <c r="AW91" s="338"/>
      <c r="AX91" s="338"/>
      <c r="AY91" s="337" t="s">
        <v>1429</v>
      </c>
      <c r="AZ91" s="337" t="s">
        <v>1429</v>
      </c>
      <c r="BA91" s="338" t="s">
        <v>1429</v>
      </c>
      <c r="BB91" s="338"/>
      <c r="BC91" s="181" t="s">
        <v>3839</v>
      </c>
      <c r="BD91" s="313"/>
      <c r="BE91" s="239"/>
      <c r="BF91" s="239"/>
      <c r="BG91" s="239"/>
      <c r="BH91" s="239"/>
      <c r="BI91" s="239"/>
      <c r="BJ91" s="239"/>
      <c r="BK91" s="239"/>
      <c r="BL91" s="239"/>
      <c r="BM91" s="239"/>
      <c r="BN91" s="239"/>
      <c r="BO91" s="239"/>
      <c r="BP91" s="239"/>
      <c r="BQ91" s="239"/>
      <c r="BR91" s="239"/>
      <c r="BS91" s="239"/>
      <c r="BT91" s="239"/>
      <c r="BU91" s="239"/>
      <c r="BV91" s="239"/>
      <c r="BW91" s="239"/>
      <c r="BX91" s="239"/>
      <c r="BY91" s="239"/>
      <c r="BZ91" s="239"/>
      <c r="CA91" s="239"/>
      <c r="CB91" s="239"/>
      <c r="CC91" s="239"/>
      <c r="CD91" s="239"/>
      <c r="CE91" s="239"/>
    </row>
    <row r="92" spans="1:83" ht="12.95" customHeight="1">
      <c r="A92" s="1"/>
      <c r="B92" s="1"/>
      <c r="C92" s="51" t="s">
        <v>3845</v>
      </c>
      <c r="D92" s="52" t="s">
        <v>3846</v>
      </c>
      <c r="E92" s="58" t="s">
        <v>1854</v>
      </c>
      <c r="F92" s="53" t="s">
        <v>3847</v>
      </c>
      <c r="G92" s="180" t="s">
        <v>3848</v>
      </c>
      <c r="H92" s="180" t="s">
        <v>3845</v>
      </c>
      <c r="I92" s="55" t="s">
        <v>3849</v>
      </c>
      <c r="J92" s="55" t="s">
        <v>1429</v>
      </c>
      <c r="K92" s="55" t="s">
        <v>1429</v>
      </c>
      <c r="L92" s="55" t="s">
        <v>1580</v>
      </c>
      <c r="M92" s="55" t="s">
        <v>1581</v>
      </c>
      <c r="N92" s="55" t="s">
        <v>1580</v>
      </c>
      <c r="O92" s="55" t="s">
        <v>1429</v>
      </c>
      <c r="P92" s="55" t="s">
        <v>1429</v>
      </c>
      <c r="Q92" s="52" t="s">
        <v>3830</v>
      </c>
      <c r="R92" s="52" t="s">
        <v>3831</v>
      </c>
      <c r="S92" s="52" t="s">
        <v>99</v>
      </c>
      <c r="T92" s="52" t="s">
        <v>100</v>
      </c>
      <c r="U92" s="57" t="s">
        <v>99</v>
      </c>
      <c r="V92" s="113" t="s">
        <v>3850</v>
      </c>
      <c r="W92" s="329" t="s">
        <v>3833</v>
      </c>
      <c r="X92" s="330" t="s">
        <v>1429</v>
      </c>
      <c r="Y92" s="330" t="s">
        <v>1429</v>
      </c>
      <c r="Z92" s="331" t="s">
        <v>1678</v>
      </c>
      <c r="AA92" s="331" t="s">
        <v>1710</v>
      </c>
      <c r="AB92" s="331" t="s">
        <v>3834</v>
      </c>
      <c r="AC92" s="331" t="s">
        <v>1674</v>
      </c>
      <c r="AD92" s="331" t="s">
        <v>3830</v>
      </c>
      <c r="AE92" s="331" t="s">
        <v>3835</v>
      </c>
      <c r="AF92" s="331" t="s">
        <v>3836</v>
      </c>
      <c r="AG92" s="331" t="s">
        <v>3836</v>
      </c>
      <c r="AH92" s="331" t="s">
        <v>3837</v>
      </c>
      <c r="AI92" s="331" t="s">
        <v>1476</v>
      </c>
      <c r="AJ92" s="312" t="b">
        <v>1</v>
      </c>
      <c r="AK92" s="312" t="b">
        <v>1</v>
      </c>
      <c r="AL92" s="312" t="b">
        <v>1</v>
      </c>
      <c r="AM92" s="312" t="b">
        <v>1</v>
      </c>
      <c r="AN92" s="312" t="b">
        <v>1</v>
      </c>
      <c r="AO92" s="312" t="b">
        <v>1</v>
      </c>
      <c r="AP92" s="61" t="s">
        <v>3838</v>
      </c>
      <c r="AQ92" s="335" t="s">
        <v>3845</v>
      </c>
      <c r="AR92" s="336" t="s">
        <v>3495</v>
      </c>
      <c r="AS92" s="337"/>
      <c r="AT92" s="338"/>
      <c r="AU92" s="338"/>
      <c r="AV92" s="338"/>
      <c r="AW92" s="338"/>
      <c r="AX92" s="338"/>
      <c r="AY92" s="337" t="s">
        <v>1429</v>
      </c>
      <c r="AZ92" s="337" t="s">
        <v>1429</v>
      </c>
      <c r="BA92" s="338" t="s">
        <v>1429</v>
      </c>
      <c r="BB92" s="338"/>
      <c r="BC92" s="181" t="s">
        <v>3845</v>
      </c>
      <c r="BD92" s="313"/>
      <c r="BE92" s="239"/>
      <c r="BF92" s="239"/>
      <c r="BG92" s="239"/>
      <c r="BH92" s="239"/>
      <c r="BI92" s="239"/>
      <c r="BJ92" s="239"/>
      <c r="BK92" s="239"/>
      <c r="BL92" s="239"/>
      <c r="BM92" s="239"/>
      <c r="BN92" s="239"/>
      <c r="BO92" s="239"/>
      <c r="BP92" s="239"/>
      <c r="BQ92" s="239"/>
      <c r="BR92" s="239"/>
      <c r="BS92" s="239"/>
      <c r="BT92" s="239"/>
      <c r="BU92" s="239"/>
      <c r="BV92" s="239"/>
      <c r="BW92" s="239"/>
      <c r="BX92" s="239"/>
      <c r="BY92" s="239"/>
      <c r="BZ92" s="239"/>
      <c r="CA92" s="239"/>
      <c r="CB92" s="239"/>
      <c r="CC92" s="239"/>
      <c r="CD92" s="239"/>
      <c r="CE92" s="239"/>
    </row>
    <row r="93" spans="1:83" ht="12.95" customHeight="1">
      <c r="A93" s="1"/>
      <c r="B93" s="1"/>
      <c r="C93" s="51" t="s">
        <v>3851</v>
      </c>
      <c r="D93" s="52" t="s">
        <v>3852</v>
      </c>
      <c r="E93" s="58" t="s">
        <v>1855</v>
      </c>
      <c r="F93" s="53" t="s">
        <v>3853</v>
      </c>
      <c r="G93" s="180" t="s">
        <v>3854</v>
      </c>
      <c r="H93" s="180" t="s">
        <v>3851</v>
      </c>
      <c r="I93" s="55" t="s">
        <v>3855</v>
      </c>
      <c r="J93" s="55" t="s">
        <v>1429</v>
      </c>
      <c r="K93" s="55" t="s">
        <v>1429</v>
      </c>
      <c r="L93" s="55" t="s">
        <v>1580</v>
      </c>
      <c r="M93" s="55" t="s">
        <v>1581</v>
      </c>
      <c r="N93" s="55" t="s">
        <v>1580</v>
      </c>
      <c r="O93" s="55" t="s">
        <v>1429</v>
      </c>
      <c r="P93" s="55" t="s">
        <v>1429</v>
      </c>
      <c r="Q93" s="52" t="s">
        <v>3830</v>
      </c>
      <c r="R93" s="52" t="s">
        <v>3831</v>
      </c>
      <c r="S93" s="52" t="s">
        <v>99</v>
      </c>
      <c r="T93" s="52" t="s">
        <v>100</v>
      </c>
      <c r="U93" s="57" t="s">
        <v>99</v>
      </c>
      <c r="V93" s="113" t="s">
        <v>3856</v>
      </c>
      <c r="W93" s="329" t="s">
        <v>3833</v>
      </c>
      <c r="X93" s="330" t="s">
        <v>3857</v>
      </c>
      <c r="Y93" s="330" t="s">
        <v>1429</v>
      </c>
      <c r="Z93" s="331" t="s">
        <v>1678</v>
      </c>
      <c r="AA93" s="331" t="s">
        <v>1710</v>
      </c>
      <c r="AB93" s="331" t="s">
        <v>3834</v>
      </c>
      <c r="AC93" s="331" t="s">
        <v>1674</v>
      </c>
      <c r="AD93" s="331" t="s">
        <v>3830</v>
      </c>
      <c r="AE93" s="331" t="s">
        <v>3835</v>
      </c>
      <c r="AF93" s="331" t="s">
        <v>3836</v>
      </c>
      <c r="AG93" s="331" t="s">
        <v>3836</v>
      </c>
      <c r="AH93" s="331" t="s">
        <v>3837</v>
      </c>
      <c r="AI93" s="331" t="s">
        <v>1476</v>
      </c>
      <c r="AJ93" s="312" t="b">
        <v>1</v>
      </c>
      <c r="AK93" s="312" t="b">
        <v>1</v>
      </c>
      <c r="AL93" s="312" t="b">
        <v>1</v>
      </c>
      <c r="AM93" s="312" t="b">
        <v>1</v>
      </c>
      <c r="AN93" s="312" t="b">
        <v>1</v>
      </c>
      <c r="AO93" s="312" t="b">
        <v>1</v>
      </c>
      <c r="AP93" s="61" t="s">
        <v>3838</v>
      </c>
      <c r="AQ93" s="335" t="s">
        <v>3851</v>
      </c>
      <c r="AR93" s="336" t="s">
        <v>3495</v>
      </c>
      <c r="AS93" s="337"/>
      <c r="AT93" s="337" t="s">
        <v>104</v>
      </c>
      <c r="AU93" s="338"/>
      <c r="AV93" s="338"/>
      <c r="AW93" s="338"/>
      <c r="AX93" s="338"/>
      <c r="AY93" s="337" t="s">
        <v>1429</v>
      </c>
      <c r="AZ93" s="337" t="s">
        <v>1429</v>
      </c>
      <c r="BA93" s="338" t="s">
        <v>1429</v>
      </c>
      <c r="BB93" s="338"/>
      <c r="BC93" s="181" t="s">
        <v>3851</v>
      </c>
      <c r="BD93" s="313"/>
      <c r="BE93" s="239"/>
      <c r="BF93" s="239"/>
      <c r="BG93" s="239"/>
      <c r="BH93" s="239"/>
      <c r="BI93" s="239"/>
      <c r="BJ93" s="239"/>
      <c r="BK93" s="239"/>
      <c r="BL93" s="239"/>
      <c r="BM93" s="239"/>
      <c r="BN93" s="239"/>
      <c r="BO93" s="239"/>
      <c r="BP93" s="239"/>
      <c r="BQ93" s="239"/>
      <c r="BR93" s="239"/>
      <c r="BS93" s="239"/>
      <c r="BT93" s="239"/>
      <c r="BU93" s="239"/>
      <c r="BV93" s="239"/>
      <c r="BW93" s="239"/>
      <c r="BX93" s="239"/>
      <c r="BY93" s="239"/>
      <c r="BZ93" s="239"/>
      <c r="CA93" s="239"/>
      <c r="CB93" s="239"/>
      <c r="CC93" s="239"/>
      <c r="CD93" s="239"/>
      <c r="CE93" s="239"/>
    </row>
    <row r="94" spans="1:83" ht="12.95" customHeight="1">
      <c r="A94" s="1"/>
      <c r="B94" s="1"/>
      <c r="C94" s="51" t="s">
        <v>3858</v>
      </c>
      <c r="D94" s="52" t="s">
        <v>3859</v>
      </c>
      <c r="E94" s="58" t="s">
        <v>1856</v>
      </c>
      <c r="F94" s="53" t="s">
        <v>3860</v>
      </c>
      <c r="G94" s="180" t="s">
        <v>3861</v>
      </c>
      <c r="H94" s="180" t="s">
        <v>3858</v>
      </c>
      <c r="I94" s="55" t="s">
        <v>3862</v>
      </c>
      <c r="J94" s="55" t="s">
        <v>1429</v>
      </c>
      <c r="K94" s="55" t="s">
        <v>1429</v>
      </c>
      <c r="L94" s="55" t="s">
        <v>1580</v>
      </c>
      <c r="M94" s="55" t="s">
        <v>1581</v>
      </c>
      <c r="N94" s="55" t="s">
        <v>1580</v>
      </c>
      <c r="O94" s="55" t="s">
        <v>1429</v>
      </c>
      <c r="P94" s="55" t="s">
        <v>1429</v>
      </c>
      <c r="Q94" s="52" t="s">
        <v>3830</v>
      </c>
      <c r="R94" s="52" t="s">
        <v>3831</v>
      </c>
      <c r="S94" s="52" t="s">
        <v>99</v>
      </c>
      <c r="T94" s="52" t="s">
        <v>100</v>
      </c>
      <c r="U94" s="57" t="s">
        <v>99</v>
      </c>
      <c r="V94" s="113" t="s">
        <v>3863</v>
      </c>
      <c r="W94" s="329" t="s">
        <v>3833</v>
      </c>
      <c r="X94" s="330" t="s">
        <v>1429</v>
      </c>
      <c r="Y94" s="330" t="s">
        <v>1429</v>
      </c>
      <c r="Z94" s="331" t="s">
        <v>1678</v>
      </c>
      <c r="AA94" s="331" t="s">
        <v>1710</v>
      </c>
      <c r="AB94" s="331" t="s">
        <v>3834</v>
      </c>
      <c r="AC94" s="331" t="s">
        <v>1674</v>
      </c>
      <c r="AD94" s="331" t="s">
        <v>3830</v>
      </c>
      <c r="AE94" s="331" t="s">
        <v>3835</v>
      </c>
      <c r="AF94" s="331" t="s">
        <v>3836</v>
      </c>
      <c r="AG94" s="331" t="s">
        <v>3836</v>
      </c>
      <c r="AH94" s="331" t="s">
        <v>3837</v>
      </c>
      <c r="AI94" s="331" t="s">
        <v>1476</v>
      </c>
      <c r="AJ94" s="312" t="b">
        <v>1</v>
      </c>
      <c r="AK94" s="312" t="b">
        <v>1</v>
      </c>
      <c r="AL94" s="312" t="b">
        <v>1</v>
      </c>
      <c r="AM94" s="312" t="b">
        <v>1</v>
      </c>
      <c r="AN94" s="312" t="b">
        <v>1</v>
      </c>
      <c r="AO94" s="312" t="b">
        <v>1</v>
      </c>
      <c r="AP94" s="61" t="s">
        <v>3838</v>
      </c>
      <c r="AQ94" s="335" t="s">
        <v>3858</v>
      </c>
      <c r="AR94" s="336" t="s">
        <v>3495</v>
      </c>
      <c r="AS94" s="337"/>
      <c r="AT94" s="338"/>
      <c r="AU94" s="338"/>
      <c r="AV94" s="338"/>
      <c r="AW94" s="338"/>
      <c r="AX94" s="338"/>
      <c r="AY94" s="337" t="s">
        <v>1429</v>
      </c>
      <c r="AZ94" s="337" t="s">
        <v>1429</v>
      </c>
      <c r="BA94" s="338" t="s">
        <v>1429</v>
      </c>
      <c r="BB94" s="338"/>
      <c r="BC94" s="181" t="s">
        <v>3858</v>
      </c>
      <c r="BD94" s="313"/>
      <c r="BE94" s="239"/>
      <c r="BF94" s="239"/>
      <c r="BG94" s="239"/>
      <c r="BH94" s="239"/>
      <c r="BI94" s="239"/>
      <c r="BJ94" s="239"/>
      <c r="BK94" s="239"/>
      <c r="BL94" s="239"/>
      <c r="BM94" s="239"/>
      <c r="BN94" s="239"/>
      <c r="BO94" s="239"/>
      <c r="BP94" s="239"/>
      <c r="BQ94" s="239"/>
      <c r="BR94" s="239"/>
      <c r="BS94" s="239"/>
      <c r="BT94" s="239"/>
      <c r="BU94" s="239"/>
      <c r="BV94" s="239"/>
      <c r="BW94" s="239"/>
      <c r="BX94" s="239"/>
      <c r="BY94" s="239"/>
      <c r="BZ94" s="239"/>
      <c r="CA94" s="239"/>
      <c r="CB94" s="239"/>
      <c r="CC94" s="239"/>
      <c r="CD94" s="239"/>
      <c r="CE94" s="239"/>
    </row>
    <row r="95" spans="1:83" ht="12.95" customHeight="1">
      <c r="A95" s="1"/>
      <c r="B95" s="1"/>
      <c r="C95" s="51" t="s">
        <v>3864</v>
      </c>
      <c r="D95" s="52" t="s">
        <v>3865</v>
      </c>
      <c r="E95" s="58" t="s">
        <v>1857</v>
      </c>
      <c r="F95" s="53" t="s">
        <v>3866</v>
      </c>
      <c r="G95" s="180" t="s">
        <v>3867</v>
      </c>
      <c r="H95" s="180" t="s">
        <v>3864</v>
      </c>
      <c r="I95" s="55" t="s">
        <v>3868</v>
      </c>
      <c r="J95" s="55" t="s">
        <v>1429</v>
      </c>
      <c r="K95" s="55" t="s">
        <v>1429</v>
      </c>
      <c r="L95" s="55" t="s">
        <v>1580</v>
      </c>
      <c r="M95" s="55" t="s">
        <v>1581</v>
      </c>
      <c r="N95" s="55" t="s">
        <v>1580</v>
      </c>
      <c r="O95" s="55" t="s">
        <v>1429</v>
      </c>
      <c r="P95" s="55" t="s">
        <v>1429</v>
      </c>
      <c r="Q95" s="52" t="s">
        <v>3830</v>
      </c>
      <c r="R95" s="52" t="s">
        <v>3831</v>
      </c>
      <c r="S95" s="52" t="s">
        <v>99</v>
      </c>
      <c r="T95" s="52" t="s">
        <v>100</v>
      </c>
      <c r="U95" s="57" t="s">
        <v>99</v>
      </c>
      <c r="V95" s="113" t="s">
        <v>3869</v>
      </c>
      <c r="W95" s="329" t="s">
        <v>3833</v>
      </c>
      <c r="X95" s="330" t="s">
        <v>1429</v>
      </c>
      <c r="Y95" s="330" t="s">
        <v>1429</v>
      </c>
      <c r="Z95" s="331" t="s">
        <v>1678</v>
      </c>
      <c r="AA95" s="331" t="s">
        <v>1710</v>
      </c>
      <c r="AB95" s="331" t="s">
        <v>3834</v>
      </c>
      <c r="AC95" s="331" t="s">
        <v>1674</v>
      </c>
      <c r="AD95" s="331" t="s">
        <v>3830</v>
      </c>
      <c r="AE95" s="331" t="s">
        <v>3835</v>
      </c>
      <c r="AF95" s="331" t="s">
        <v>3836</v>
      </c>
      <c r="AG95" s="331" t="s">
        <v>3836</v>
      </c>
      <c r="AH95" s="331" t="s">
        <v>3837</v>
      </c>
      <c r="AI95" s="331" t="s">
        <v>1476</v>
      </c>
      <c r="AJ95" s="312" t="b">
        <v>1</v>
      </c>
      <c r="AK95" s="312" t="b">
        <v>1</v>
      </c>
      <c r="AL95" s="312" t="b">
        <v>1</v>
      </c>
      <c r="AM95" s="312" t="b">
        <v>1</v>
      </c>
      <c r="AN95" s="312" t="b">
        <v>1</v>
      </c>
      <c r="AO95" s="312" t="b">
        <v>1</v>
      </c>
      <c r="AP95" s="61" t="s">
        <v>3838</v>
      </c>
      <c r="AQ95" s="335" t="s">
        <v>3864</v>
      </c>
      <c r="AR95" s="336" t="s">
        <v>3495</v>
      </c>
      <c r="AS95" s="337"/>
      <c r="AT95" s="338"/>
      <c r="AU95" s="338"/>
      <c r="AV95" s="338"/>
      <c r="AW95" s="338"/>
      <c r="AX95" s="338"/>
      <c r="AY95" s="337" t="s">
        <v>1429</v>
      </c>
      <c r="AZ95" s="337" t="s">
        <v>1429</v>
      </c>
      <c r="BA95" s="338" t="s">
        <v>1429</v>
      </c>
      <c r="BB95" s="338"/>
      <c r="BC95" s="181" t="s">
        <v>3864</v>
      </c>
      <c r="BD95" s="313"/>
      <c r="BE95" s="239"/>
      <c r="BF95" s="239"/>
      <c r="BG95" s="239"/>
      <c r="BH95" s="239"/>
      <c r="BI95" s="239"/>
      <c r="BJ95" s="239"/>
      <c r="BK95" s="239"/>
      <c r="BL95" s="239"/>
      <c r="BM95" s="239"/>
      <c r="BN95" s="239"/>
      <c r="BO95" s="239"/>
      <c r="BP95" s="239"/>
      <c r="BQ95" s="239"/>
      <c r="BR95" s="239"/>
      <c r="BS95" s="239"/>
      <c r="BT95" s="239"/>
      <c r="BU95" s="239"/>
      <c r="BV95" s="239"/>
      <c r="BW95" s="239"/>
      <c r="BX95" s="239"/>
      <c r="BY95" s="239"/>
      <c r="BZ95" s="239"/>
      <c r="CA95" s="239"/>
      <c r="CB95" s="239"/>
      <c r="CC95" s="239"/>
      <c r="CD95" s="239"/>
      <c r="CE95" s="239"/>
    </row>
    <row r="96" spans="1:83" ht="12.95" customHeight="1">
      <c r="A96" s="1"/>
      <c r="B96" s="1"/>
      <c r="C96" s="51" t="s">
        <v>3870</v>
      </c>
      <c r="D96" s="52" t="s">
        <v>3871</v>
      </c>
      <c r="E96" s="58" t="s">
        <v>1858</v>
      </c>
      <c r="F96" s="53" t="s">
        <v>3872</v>
      </c>
      <c r="G96" s="180" t="s">
        <v>3873</v>
      </c>
      <c r="H96" s="180" t="s">
        <v>3870</v>
      </c>
      <c r="I96" s="55" t="s">
        <v>3874</v>
      </c>
      <c r="J96" s="55" t="s">
        <v>1429</v>
      </c>
      <c r="K96" s="55" t="s">
        <v>1429</v>
      </c>
      <c r="L96" s="55" t="s">
        <v>1580</v>
      </c>
      <c r="M96" s="55" t="s">
        <v>1590</v>
      </c>
      <c r="N96" s="55" t="s">
        <v>1580</v>
      </c>
      <c r="O96" s="55" t="s">
        <v>1429</v>
      </c>
      <c r="P96" s="55" t="s">
        <v>1429</v>
      </c>
      <c r="Q96" s="52" t="s">
        <v>3830</v>
      </c>
      <c r="R96" s="52" t="s">
        <v>3831</v>
      </c>
      <c r="S96" s="52" t="s">
        <v>99</v>
      </c>
      <c r="T96" s="52" t="s">
        <v>100</v>
      </c>
      <c r="U96" s="57" t="s">
        <v>99</v>
      </c>
      <c r="V96" s="113" t="s">
        <v>3875</v>
      </c>
      <c r="W96" s="329" t="s">
        <v>3833</v>
      </c>
      <c r="X96" s="330" t="s">
        <v>1429</v>
      </c>
      <c r="Y96" s="330" t="s">
        <v>1429</v>
      </c>
      <c r="Z96" s="331" t="s">
        <v>1678</v>
      </c>
      <c r="AA96" s="331" t="s">
        <v>1710</v>
      </c>
      <c r="AB96" s="331" t="s">
        <v>3834</v>
      </c>
      <c r="AC96" s="331" t="s">
        <v>1674</v>
      </c>
      <c r="AD96" s="331" t="s">
        <v>3830</v>
      </c>
      <c r="AE96" s="331" t="s">
        <v>3835</v>
      </c>
      <c r="AF96" s="331" t="s">
        <v>3836</v>
      </c>
      <c r="AG96" s="331" t="s">
        <v>3876</v>
      </c>
      <c r="AH96" s="331" t="s">
        <v>3877</v>
      </c>
      <c r="AI96" s="331" t="s">
        <v>1476</v>
      </c>
      <c r="AJ96" s="312" t="b">
        <v>1</v>
      </c>
      <c r="AK96" s="312" t="b">
        <v>1</v>
      </c>
      <c r="AL96" s="312" t="b">
        <v>1</v>
      </c>
      <c r="AM96" s="312" t="b">
        <v>1</v>
      </c>
      <c r="AN96" s="312" t="b">
        <v>1</v>
      </c>
      <c r="AO96" s="312" t="b">
        <v>1</v>
      </c>
      <c r="AP96" s="61" t="s">
        <v>3838</v>
      </c>
      <c r="AQ96" s="335" t="s">
        <v>3870</v>
      </c>
      <c r="AR96" s="336" t="s">
        <v>3496</v>
      </c>
      <c r="AS96" s="337"/>
      <c r="AT96" s="338"/>
      <c r="AU96" s="338"/>
      <c r="AV96" s="338"/>
      <c r="AW96" s="338"/>
      <c r="AX96" s="338"/>
      <c r="AY96" s="337" t="s">
        <v>1429</v>
      </c>
      <c r="AZ96" s="337" t="s">
        <v>1429</v>
      </c>
      <c r="BA96" s="338" t="s">
        <v>1429</v>
      </c>
      <c r="BB96" s="338"/>
      <c r="BC96" s="181" t="s">
        <v>3870</v>
      </c>
      <c r="BD96" s="313"/>
      <c r="BE96" s="239"/>
      <c r="BF96" s="239"/>
      <c r="BG96" s="239"/>
      <c r="BH96" s="239"/>
      <c r="BI96" s="239"/>
      <c r="BJ96" s="239"/>
      <c r="BK96" s="239"/>
      <c r="BL96" s="239"/>
      <c r="BM96" s="239"/>
      <c r="BN96" s="239"/>
      <c r="BO96" s="239"/>
      <c r="BP96" s="239"/>
      <c r="BQ96" s="239"/>
      <c r="BR96" s="239"/>
      <c r="BS96" s="239"/>
      <c r="BT96" s="239"/>
      <c r="BU96" s="239"/>
      <c r="BV96" s="239"/>
      <c r="BW96" s="239"/>
      <c r="BX96" s="239"/>
      <c r="BY96" s="239"/>
      <c r="BZ96" s="239"/>
      <c r="CA96" s="239"/>
      <c r="CB96" s="239"/>
      <c r="CC96" s="239"/>
      <c r="CD96" s="239"/>
      <c r="CE96" s="239"/>
    </row>
    <row r="97" spans="1:83" ht="12.95" customHeight="1">
      <c r="A97" s="1"/>
      <c r="B97" s="1"/>
      <c r="C97" s="51" t="s">
        <v>3878</v>
      </c>
      <c r="D97" s="52" t="s">
        <v>3879</v>
      </c>
      <c r="E97" s="58" t="s">
        <v>3880</v>
      </c>
      <c r="F97" s="53" t="s">
        <v>3881</v>
      </c>
      <c r="G97" s="180" t="s">
        <v>3882</v>
      </c>
      <c r="H97" s="180" t="s">
        <v>3878</v>
      </c>
      <c r="I97" s="55" t="s">
        <v>3883</v>
      </c>
      <c r="J97" s="55" t="s">
        <v>1429</v>
      </c>
      <c r="K97" s="55" t="s">
        <v>1429</v>
      </c>
      <c r="L97" s="55" t="s">
        <v>1580</v>
      </c>
      <c r="M97" s="55" t="s">
        <v>1590</v>
      </c>
      <c r="N97" s="55" t="s">
        <v>1580</v>
      </c>
      <c r="O97" s="55" t="s">
        <v>1429</v>
      </c>
      <c r="P97" s="55" t="s">
        <v>1429</v>
      </c>
      <c r="Q97" s="52" t="s">
        <v>3830</v>
      </c>
      <c r="R97" s="52" t="s">
        <v>3831</v>
      </c>
      <c r="S97" s="52" t="s">
        <v>99</v>
      </c>
      <c r="T97" s="52" t="s">
        <v>100</v>
      </c>
      <c r="U97" s="57" t="s">
        <v>99</v>
      </c>
      <c r="V97" s="113" t="s">
        <v>3884</v>
      </c>
      <c r="W97" s="329" t="s">
        <v>3833</v>
      </c>
      <c r="X97" s="330" t="s">
        <v>1429</v>
      </c>
      <c r="Y97" s="330" t="s">
        <v>1429</v>
      </c>
      <c r="Z97" s="331" t="s">
        <v>1678</v>
      </c>
      <c r="AA97" s="331" t="s">
        <v>1710</v>
      </c>
      <c r="AB97" s="331" t="s">
        <v>3834</v>
      </c>
      <c r="AC97" s="331" t="s">
        <v>1674</v>
      </c>
      <c r="AD97" s="331" t="s">
        <v>3830</v>
      </c>
      <c r="AE97" s="331" t="s">
        <v>3835</v>
      </c>
      <c r="AF97" s="331" t="s">
        <v>3836</v>
      </c>
      <c r="AG97" s="331" t="s">
        <v>3876</v>
      </c>
      <c r="AH97" s="331" t="s">
        <v>3877</v>
      </c>
      <c r="AI97" s="331" t="s">
        <v>1476</v>
      </c>
      <c r="AJ97" s="312" t="b">
        <v>1</v>
      </c>
      <c r="AK97" s="312" t="b">
        <v>1</v>
      </c>
      <c r="AL97" s="312" t="b">
        <v>1</v>
      </c>
      <c r="AM97" s="312" t="b">
        <v>1</v>
      </c>
      <c r="AN97" s="312" t="b">
        <v>1</v>
      </c>
      <c r="AO97" s="312" t="b">
        <v>1</v>
      </c>
      <c r="AP97" s="61" t="s">
        <v>3838</v>
      </c>
      <c r="AQ97" s="335" t="s">
        <v>3878</v>
      </c>
      <c r="AR97" s="336" t="s">
        <v>3496</v>
      </c>
      <c r="AS97" s="337"/>
      <c r="AT97" s="338"/>
      <c r="AU97" s="338"/>
      <c r="AV97" s="338"/>
      <c r="AW97" s="338"/>
      <c r="AX97" s="338"/>
      <c r="AY97" s="337" t="s">
        <v>1429</v>
      </c>
      <c r="AZ97" s="337" t="s">
        <v>1429</v>
      </c>
      <c r="BA97" s="338" t="s">
        <v>1429</v>
      </c>
      <c r="BB97" s="338"/>
      <c r="BC97" s="181" t="s">
        <v>3878</v>
      </c>
      <c r="BD97" s="313"/>
      <c r="BE97" s="239"/>
      <c r="BF97" s="239"/>
      <c r="BG97" s="239"/>
      <c r="BH97" s="239"/>
      <c r="BI97" s="239"/>
      <c r="BJ97" s="239"/>
      <c r="BK97" s="239"/>
      <c r="BL97" s="239"/>
      <c r="BM97" s="239"/>
      <c r="BN97" s="239"/>
      <c r="BO97" s="239"/>
      <c r="BP97" s="239"/>
      <c r="BQ97" s="239"/>
      <c r="BR97" s="239"/>
      <c r="BS97" s="239"/>
      <c r="BT97" s="239"/>
      <c r="BU97" s="239"/>
      <c r="BV97" s="239"/>
      <c r="BW97" s="239"/>
      <c r="BX97" s="239"/>
      <c r="BY97" s="239"/>
      <c r="BZ97" s="239"/>
      <c r="CA97" s="239"/>
      <c r="CB97" s="239"/>
      <c r="CC97" s="239"/>
      <c r="CD97" s="239"/>
      <c r="CE97" s="239"/>
    </row>
    <row r="98" spans="1:83" ht="12.95" customHeight="1">
      <c r="A98" s="1"/>
      <c r="B98" s="1"/>
      <c r="C98" s="51" t="s">
        <v>3885</v>
      </c>
      <c r="D98" s="52" t="s">
        <v>3886</v>
      </c>
      <c r="E98" s="58" t="s">
        <v>1859</v>
      </c>
      <c r="F98" s="53" t="s">
        <v>3887</v>
      </c>
      <c r="G98" s="180" t="s">
        <v>3888</v>
      </c>
      <c r="H98" s="180" t="s">
        <v>3885</v>
      </c>
      <c r="I98" s="55" t="s">
        <v>3889</v>
      </c>
      <c r="J98" s="55" t="s">
        <v>1429</v>
      </c>
      <c r="K98" s="55" t="s">
        <v>1429</v>
      </c>
      <c r="L98" s="55" t="s">
        <v>1580</v>
      </c>
      <c r="M98" s="55" t="s">
        <v>1590</v>
      </c>
      <c r="N98" s="55" t="s">
        <v>1580</v>
      </c>
      <c r="O98" s="55" t="s">
        <v>1429</v>
      </c>
      <c r="P98" s="55" t="s">
        <v>1429</v>
      </c>
      <c r="Q98" s="52" t="s">
        <v>3830</v>
      </c>
      <c r="R98" s="52" t="s">
        <v>3831</v>
      </c>
      <c r="S98" s="52" t="s">
        <v>99</v>
      </c>
      <c r="T98" s="52" t="s">
        <v>100</v>
      </c>
      <c r="U98" s="57" t="s">
        <v>99</v>
      </c>
      <c r="V98" s="113" t="s">
        <v>3890</v>
      </c>
      <c r="W98" s="329" t="s">
        <v>3833</v>
      </c>
      <c r="X98" s="330" t="s">
        <v>1429</v>
      </c>
      <c r="Y98" s="330" t="s">
        <v>1429</v>
      </c>
      <c r="Z98" s="331" t="s">
        <v>1678</v>
      </c>
      <c r="AA98" s="331" t="s">
        <v>1710</v>
      </c>
      <c r="AB98" s="331" t="s">
        <v>3834</v>
      </c>
      <c r="AC98" s="331" t="s">
        <v>1674</v>
      </c>
      <c r="AD98" s="331" t="s">
        <v>3830</v>
      </c>
      <c r="AE98" s="331" t="s">
        <v>3835</v>
      </c>
      <c r="AF98" s="331" t="s">
        <v>3836</v>
      </c>
      <c r="AG98" s="331" t="s">
        <v>3876</v>
      </c>
      <c r="AH98" s="331" t="s">
        <v>3877</v>
      </c>
      <c r="AI98" s="331" t="s">
        <v>1476</v>
      </c>
      <c r="AJ98" s="312" t="b">
        <v>1</v>
      </c>
      <c r="AK98" s="312" t="b">
        <v>1</v>
      </c>
      <c r="AL98" s="312" t="b">
        <v>1</v>
      </c>
      <c r="AM98" s="312" t="b">
        <v>1</v>
      </c>
      <c r="AN98" s="312" t="b">
        <v>1</v>
      </c>
      <c r="AO98" s="312" t="b">
        <v>1</v>
      </c>
      <c r="AP98" s="61" t="s">
        <v>3838</v>
      </c>
      <c r="AQ98" s="335" t="s">
        <v>3885</v>
      </c>
      <c r="AR98" s="336" t="s">
        <v>3496</v>
      </c>
      <c r="AS98" s="337"/>
      <c r="AT98" s="338"/>
      <c r="AU98" s="338"/>
      <c r="AV98" s="338"/>
      <c r="AW98" s="338"/>
      <c r="AX98" s="338"/>
      <c r="AY98" s="337" t="s">
        <v>1429</v>
      </c>
      <c r="AZ98" s="337" t="s">
        <v>1429</v>
      </c>
      <c r="BA98" s="338" t="s">
        <v>1429</v>
      </c>
      <c r="BB98" s="338"/>
      <c r="BC98" s="181" t="s">
        <v>3885</v>
      </c>
      <c r="BD98" s="313"/>
      <c r="BE98" s="239"/>
      <c r="BF98" s="239"/>
      <c r="BG98" s="239"/>
      <c r="BH98" s="239"/>
      <c r="BI98" s="239"/>
      <c r="BJ98" s="239"/>
      <c r="BK98" s="239"/>
      <c r="BL98" s="239"/>
      <c r="BM98" s="239"/>
      <c r="BN98" s="239"/>
      <c r="BO98" s="239"/>
      <c r="BP98" s="239"/>
      <c r="BQ98" s="239"/>
      <c r="BR98" s="239"/>
      <c r="BS98" s="239"/>
      <c r="BT98" s="239"/>
      <c r="BU98" s="239"/>
      <c r="BV98" s="239"/>
      <c r="BW98" s="239"/>
      <c r="BX98" s="239"/>
      <c r="BY98" s="239"/>
      <c r="BZ98" s="239"/>
      <c r="CA98" s="239"/>
      <c r="CB98" s="239"/>
      <c r="CC98" s="239"/>
      <c r="CD98" s="239"/>
      <c r="CE98" s="239"/>
    </row>
    <row r="99" spans="1:83" ht="12.95" customHeight="1">
      <c r="A99" s="1"/>
      <c r="B99" s="1"/>
      <c r="C99" s="51" t="s">
        <v>3891</v>
      </c>
      <c r="D99" s="52" t="s">
        <v>3892</v>
      </c>
      <c r="E99" s="58" t="s">
        <v>1860</v>
      </c>
      <c r="F99" s="53" t="s">
        <v>3893</v>
      </c>
      <c r="G99" s="180" t="s">
        <v>3894</v>
      </c>
      <c r="H99" s="180" t="s">
        <v>3891</v>
      </c>
      <c r="I99" s="55" t="s">
        <v>3895</v>
      </c>
      <c r="J99" s="55" t="s">
        <v>1429</v>
      </c>
      <c r="K99" s="55" t="s">
        <v>1429</v>
      </c>
      <c r="L99" s="55" t="s">
        <v>1580</v>
      </c>
      <c r="M99" s="55" t="s">
        <v>1590</v>
      </c>
      <c r="N99" s="55" t="s">
        <v>1581</v>
      </c>
      <c r="O99" s="55" t="s">
        <v>1429</v>
      </c>
      <c r="P99" s="55" t="s">
        <v>1429</v>
      </c>
      <c r="Q99" s="52" t="s">
        <v>3830</v>
      </c>
      <c r="R99" s="52" t="s">
        <v>3831</v>
      </c>
      <c r="S99" s="52" t="s">
        <v>99</v>
      </c>
      <c r="T99" s="52" t="s">
        <v>100</v>
      </c>
      <c r="U99" s="57" t="s">
        <v>99</v>
      </c>
      <c r="V99" s="113" t="s">
        <v>3896</v>
      </c>
      <c r="W99" s="329" t="s">
        <v>3833</v>
      </c>
      <c r="X99" s="330" t="s">
        <v>1429</v>
      </c>
      <c r="Y99" s="330" t="s">
        <v>1429</v>
      </c>
      <c r="Z99" s="331" t="s">
        <v>1678</v>
      </c>
      <c r="AA99" s="331" t="s">
        <v>1679</v>
      </c>
      <c r="AB99" s="331" t="s">
        <v>3834</v>
      </c>
      <c r="AC99" s="331" t="s">
        <v>1674</v>
      </c>
      <c r="AD99" s="331" t="s">
        <v>3830</v>
      </c>
      <c r="AE99" s="331" t="s">
        <v>3835</v>
      </c>
      <c r="AF99" s="331" t="s">
        <v>3836</v>
      </c>
      <c r="AG99" s="331" t="s">
        <v>3876</v>
      </c>
      <c r="AH99" s="331" t="s">
        <v>3877</v>
      </c>
      <c r="AI99" s="331" t="s">
        <v>1476</v>
      </c>
      <c r="AJ99" s="312" t="b">
        <v>1</v>
      </c>
      <c r="AK99" s="312" t="b">
        <v>1</v>
      </c>
      <c r="AL99" s="312" t="b">
        <v>1</v>
      </c>
      <c r="AM99" s="312" t="b">
        <v>1</v>
      </c>
      <c r="AN99" s="312" t="b">
        <v>1</v>
      </c>
      <c r="AO99" s="312" t="b">
        <v>1</v>
      </c>
      <c r="AP99" s="61" t="s">
        <v>3838</v>
      </c>
      <c r="AQ99" s="335" t="s">
        <v>3891</v>
      </c>
      <c r="AR99" s="336" t="s">
        <v>3496</v>
      </c>
      <c r="AS99" s="337"/>
      <c r="AT99" s="338"/>
      <c r="AU99" s="338"/>
      <c r="AV99" s="338"/>
      <c r="AW99" s="338"/>
      <c r="AX99" s="337" t="s">
        <v>125</v>
      </c>
      <c r="AY99" s="337" t="s">
        <v>1429</v>
      </c>
      <c r="AZ99" s="337" t="s">
        <v>1429</v>
      </c>
      <c r="BA99" s="338" t="s">
        <v>1429</v>
      </c>
      <c r="BB99" s="338"/>
      <c r="BC99" s="181" t="s">
        <v>3891</v>
      </c>
      <c r="BD99" s="313"/>
      <c r="BE99" s="239"/>
      <c r="BF99" s="239"/>
      <c r="BG99" s="239"/>
      <c r="BH99" s="239"/>
      <c r="BI99" s="239"/>
      <c r="BJ99" s="239"/>
      <c r="BK99" s="239"/>
      <c r="BL99" s="239"/>
      <c r="BM99" s="239"/>
      <c r="BN99" s="239"/>
      <c r="BO99" s="239"/>
      <c r="BP99" s="239"/>
      <c r="BQ99" s="239"/>
      <c r="BR99" s="239"/>
      <c r="BS99" s="239"/>
      <c r="BT99" s="239"/>
      <c r="BU99" s="239"/>
      <c r="BV99" s="239"/>
      <c r="BW99" s="239"/>
      <c r="BX99" s="239"/>
      <c r="BY99" s="239"/>
      <c r="BZ99" s="239"/>
      <c r="CA99" s="239"/>
      <c r="CB99" s="239"/>
      <c r="CC99" s="239"/>
      <c r="CD99" s="239"/>
      <c r="CE99" s="239"/>
    </row>
    <row r="100" spans="1:83" ht="12.95" customHeight="1">
      <c r="A100" s="1"/>
      <c r="B100" s="1"/>
      <c r="C100" s="51" t="s">
        <v>3897</v>
      </c>
      <c r="D100" s="52" t="s">
        <v>3898</v>
      </c>
      <c r="E100" s="58" t="s">
        <v>1861</v>
      </c>
      <c r="F100" s="53" t="s">
        <v>3899</v>
      </c>
      <c r="G100" s="180" t="s">
        <v>3900</v>
      </c>
      <c r="H100" s="180" t="s">
        <v>3897</v>
      </c>
      <c r="I100" s="55" t="s">
        <v>3901</v>
      </c>
      <c r="J100" s="55" t="s">
        <v>1429</v>
      </c>
      <c r="K100" s="55" t="s">
        <v>1429</v>
      </c>
      <c r="L100" s="55" t="s">
        <v>1580</v>
      </c>
      <c r="M100" s="55" t="s">
        <v>1590</v>
      </c>
      <c r="N100" s="55" t="s">
        <v>1590</v>
      </c>
      <c r="O100" s="55" t="s">
        <v>1429</v>
      </c>
      <c r="P100" s="55" t="s">
        <v>1429</v>
      </c>
      <c r="Q100" s="52" t="s">
        <v>3830</v>
      </c>
      <c r="R100" s="52" t="s">
        <v>3831</v>
      </c>
      <c r="S100" s="52" t="s">
        <v>99</v>
      </c>
      <c r="T100" s="52" t="s">
        <v>100</v>
      </c>
      <c r="U100" s="57" t="s">
        <v>99</v>
      </c>
      <c r="V100" s="113" t="s">
        <v>3902</v>
      </c>
      <c r="W100" s="329" t="s">
        <v>3833</v>
      </c>
      <c r="X100" s="330" t="s">
        <v>3903</v>
      </c>
      <c r="Y100" s="330" t="s">
        <v>1429</v>
      </c>
      <c r="Z100" s="331" t="s">
        <v>1678</v>
      </c>
      <c r="AA100" s="331" t="s">
        <v>1679</v>
      </c>
      <c r="AB100" s="331" t="s">
        <v>3834</v>
      </c>
      <c r="AC100" s="331" t="s">
        <v>1674</v>
      </c>
      <c r="AD100" s="331" t="s">
        <v>3830</v>
      </c>
      <c r="AE100" s="331" t="s">
        <v>3835</v>
      </c>
      <c r="AF100" s="331" t="s">
        <v>3836</v>
      </c>
      <c r="AG100" s="331" t="s">
        <v>3876</v>
      </c>
      <c r="AH100" s="331" t="s">
        <v>3877</v>
      </c>
      <c r="AI100" s="331" t="s">
        <v>1476</v>
      </c>
      <c r="AJ100" s="312" t="b">
        <v>1</v>
      </c>
      <c r="AK100" s="312" t="b">
        <v>1</v>
      </c>
      <c r="AL100" s="312" t="b">
        <v>1</v>
      </c>
      <c r="AM100" s="312" t="b">
        <v>1</v>
      </c>
      <c r="AN100" s="312" t="b">
        <v>1</v>
      </c>
      <c r="AO100" s="312" t="b">
        <v>1</v>
      </c>
      <c r="AP100" s="61" t="s">
        <v>3838</v>
      </c>
      <c r="AQ100" s="335" t="s">
        <v>3897</v>
      </c>
      <c r="AR100" s="336" t="s">
        <v>3496</v>
      </c>
      <c r="AS100" s="337"/>
      <c r="AT100" s="337" t="s">
        <v>104</v>
      </c>
      <c r="AU100" s="338"/>
      <c r="AV100" s="338"/>
      <c r="AW100" s="338"/>
      <c r="AX100" s="338"/>
      <c r="AY100" s="337" t="s">
        <v>1429</v>
      </c>
      <c r="AZ100" s="337" t="s">
        <v>1429</v>
      </c>
      <c r="BA100" s="338" t="s">
        <v>1429</v>
      </c>
      <c r="BB100" s="338"/>
      <c r="BC100" s="181" t="s">
        <v>3897</v>
      </c>
      <c r="BD100" s="313"/>
      <c r="BE100" s="239"/>
      <c r="BF100" s="239"/>
      <c r="BG100" s="239"/>
      <c r="BH100" s="239"/>
      <c r="BI100" s="239"/>
      <c r="BJ100" s="239"/>
      <c r="BK100" s="239"/>
      <c r="BL100" s="239"/>
      <c r="BM100" s="239"/>
      <c r="BN100" s="239"/>
      <c r="BO100" s="239"/>
      <c r="BP100" s="239"/>
      <c r="BQ100" s="239"/>
      <c r="BR100" s="239"/>
      <c r="BS100" s="239"/>
      <c r="BT100" s="239"/>
      <c r="BU100" s="239"/>
      <c r="BV100" s="239"/>
      <c r="BW100" s="239"/>
      <c r="BX100" s="239"/>
      <c r="BY100" s="239"/>
      <c r="BZ100" s="239"/>
      <c r="CA100" s="239"/>
      <c r="CB100" s="239"/>
      <c r="CC100" s="239"/>
      <c r="CD100" s="239"/>
      <c r="CE100" s="239"/>
    </row>
    <row r="101" spans="1:83" ht="12.95" customHeight="1">
      <c r="A101" s="1"/>
      <c r="B101" s="1"/>
      <c r="C101" s="51" t="s">
        <v>3904</v>
      </c>
      <c r="D101" s="52" t="s">
        <v>3905</v>
      </c>
      <c r="E101" s="58" t="s">
        <v>3906</v>
      </c>
      <c r="F101" s="53" t="s">
        <v>3907</v>
      </c>
      <c r="G101" s="180" t="s">
        <v>3908</v>
      </c>
      <c r="H101" s="180" t="s">
        <v>3904</v>
      </c>
      <c r="I101" s="55" t="s">
        <v>3909</v>
      </c>
      <c r="J101" s="55" t="s">
        <v>1429</v>
      </c>
      <c r="K101" s="55" t="s">
        <v>1429</v>
      </c>
      <c r="L101" s="55" t="s">
        <v>1580</v>
      </c>
      <c r="M101" s="55" t="s">
        <v>1590</v>
      </c>
      <c r="N101" s="55" t="s">
        <v>1590</v>
      </c>
      <c r="O101" s="55" t="s">
        <v>1429</v>
      </c>
      <c r="P101" s="55" t="s">
        <v>1429</v>
      </c>
      <c r="Q101" s="52" t="s">
        <v>3830</v>
      </c>
      <c r="R101" s="52" t="s">
        <v>3831</v>
      </c>
      <c r="S101" s="52" t="s">
        <v>99</v>
      </c>
      <c r="T101" s="52" t="s">
        <v>100</v>
      </c>
      <c r="U101" s="57" t="s">
        <v>99</v>
      </c>
      <c r="V101" s="113" t="s">
        <v>3910</v>
      </c>
      <c r="W101" s="329" t="s">
        <v>3833</v>
      </c>
      <c r="X101" s="330" t="s">
        <v>1429</v>
      </c>
      <c r="Y101" s="330" t="s">
        <v>1429</v>
      </c>
      <c r="Z101" s="331" t="s">
        <v>1678</v>
      </c>
      <c r="AA101" s="331" t="s">
        <v>1710</v>
      </c>
      <c r="AB101" s="331" t="s">
        <v>3834</v>
      </c>
      <c r="AC101" s="331" t="s">
        <v>1674</v>
      </c>
      <c r="AD101" s="331" t="s">
        <v>3830</v>
      </c>
      <c r="AE101" s="331" t="s">
        <v>3835</v>
      </c>
      <c r="AF101" s="331" t="s">
        <v>3836</v>
      </c>
      <c r="AG101" s="331" t="s">
        <v>3876</v>
      </c>
      <c r="AH101" s="331" t="s">
        <v>3877</v>
      </c>
      <c r="AI101" s="331" t="s">
        <v>1476</v>
      </c>
      <c r="AJ101" s="312" t="b">
        <v>1</v>
      </c>
      <c r="AK101" s="312" t="b">
        <v>1</v>
      </c>
      <c r="AL101" s="312" t="b">
        <v>1</v>
      </c>
      <c r="AM101" s="312" t="b">
        <v>1</v>
      </c>
      <c r="AN101" s="312" t="b">
        <v>1</v>
      </c>
      <c r="AO101" s="312" t="b">
        <v>1</v>
      </c>
      <c r="AP101" s="61" t="s">
        <v>3838</v>
      </c>
      <c r="AQ101" s="335" t="s">
        <v>3904</v>
      </c>
      <c r="AR101" s="336" t="s">
        <v>3496</v>
      </c>
      <c r="AS101" s="337"/>
      <c r="AT101" s="338"/>
      <c r="AU101" s="338"/>
      <c r="AV101" s="338"/>
      <c r="AW101" s="338"/>
      <c r="AX101" s="338"/>
      <c r="AY101" s="337" t="s">
        <v>1429</v>
      </c>
      <c r="AZ101" s="337" t="s">
        <v>1429</v>
      </c>
      <c r="BA101" s="338" t="s">
        <v>1429</v>
      </c>
      <c r="BB101" s="338"/>
      <c r="BC101" s="181" t="s">
        <v>3904</v>
      </c>
      <c r="BD101" s="313"/>
      <c r="BE101" s="239"/>
      <c r="BF101" s="239"/>
      <c r="BG101" s="239"/>
      <c r="BH101" s="239"/>
      <c r="BI101" s="239"/>
      <c r="BJ101" s="239"/>
      <c r="BK101" s="239"/>
      <c r="BL101" s="239"/>
      <c r="BM101" s="239"/>
      <c r="BN101" s="239"/>
      <c r="BO101" s="239"/>
      <c r="BP101" s="239"/>
      <c r="BQ101" s="239"/>
      <c r="BR101" s="239"/>
      <c r="BS101" s="239"/>
      <c r="BT101" s="239"/>
      <c r="BU101" s="239"/>
      <c r="BV101" s="239"/>
      <c r="BW101" s="239"/>
      <c r="BX101" s="239"/>
      <c r="BY101" s="239"/>
      <c r="BZ101" s="239"/>
      <c r="CA101" s="239"/>
      <c r="CB101" s="239"/>
      <c r="CC101" s="239"/>
      <c r="CD101" s="239"/>
      <c r="CE101" s="239"/>
    </row>
    <row r="102" spans="1:83" ht="12.95" customHeight="1">
      <c r="A102" s="1"/>
      <c r="B102" s="1"/>
      <c r="C102" s="51" t="s">
        <v>3911</v>
      </c>
      <c r="D102" s="52" t="s">
        <v>3912</v>
      </c>
      <c r="E102" s="58" t="s">
        <v>3913</v>
      </c>
      <c r="F102" s="53" t="s">
        <v>3914</v>
      </c>
      <c r="G102" s="180" t="s">
        <v>3915</v>
      </c>
      <c r="H102" s="180" t="s">
        <v>3911</v>
      </c>
      <c r="I102" s="55" t="s">
        <v>3916</v>
      </c>
      <c r="J102" s="55" t="s">
        <v>1429</v>
      </c>
      <c r="K102" s="55" t="s">
        <v>1429</v>
      </c>
      <c r="L102" s="55" t="s">
        <v>1580</v>
      </c>
      <c r="M102" s="55" t="s">
        <v>1580</v>
      </c>
      <c r="N102" s="55" t="s">
        <v>1590</v>
      </c>
      <c r="O102" s="55" t="s">
        <v>1429</v>
      </c>
      <c r="P102" s="55" t="s">
        <v>1429</v>
      </c>
      <c r="Q102" s="52" t="s">
        <v>3830</v>
      </c>
      <c r="R102" s="52" t="s">
        <v>134</v>
      </c>
      <c r="S102" s="52" t="s">
        <v>99</v>
      </c>
      <c r="T102" s="52" t="s">
        <v>100</v>
      </c>
      <c r="U102" s="57" t="s">
        <v>99</v>
      </c>
      <c r="V102" s="113" t="s">
        <v>3917</v>
      </c>
      <c r="W102" s="329" t="s">
        <v>3833</v>
      </c>
      <c r="X102" s="330" t="s">
        <v>3918</v>
      </c>
      <c r="Y102" s="330" t="s">
        <v>1429</v>
      </c>
      <c r="Z102" s="331" t="s">
        <v>1678</v>
      </c>
      <c r="AA102" s="331" t="s">
        <v>1710</v>
      </c>
      <c r="AB102" s="331" t="s">
        <v>3834</v>
      </c>
      <c r="AC102" s="331" t="s">
        <v>1674</v>
      </c>
      <c r="AD102" s="331" t="s">
        <v>3830</v>
      </c>
      <c r="AE102" s="331" t="s">
        <v>3835</v>
      </c>
      <c r="AF102" s="331" t="s">
        <v>3919</v>
      </c>
      <c r="AG102" s="331" t="s">
        <v>3836</v>
      </c>
      <c r="AH102" s="331" t="s">
        <v>3877</v>
      </c>
      <c r="AI102" s="331" t="s">
        <v>1476</v>
      </c>
      <c r="AJ102" s="312" t="b">
        <v>1</v>
      </c>
      <c r="AK102" s="312" t="b">
        <v>1</v>
      </c>
      <c r="AL102" s="312" t="b">
        <v>1</v>
      </c>
      <c r="AM102" s="312" t="b">
        <v>1</v>
      </c>
      <c r="AN102" s="312" t="b">
        <v>1</v>
      </c>
      <c r="AO102" s="312" t="b">
        <v>1</v>
      </c>
      <c r="AP102" s="61" t="s">
        <v>3838</v>
      </c>
      <c r="AQ102" s="335" t="s">
        <v>3911</v>
      </c>
      <c r="AR102" s="336" t="s">
        <v>3501</v>
      </c>
      <c r="AS102" s="337" t="s">
        <v>3497</v>
      </c>
      <c r="AT102" s="337" t="s">
        <v>104</v>
      </c>
      <c r="AU102" s="338"/>
      <c r="AV102" s="338"/>
      <c r="AW102" s="338"/>
      <c r="AX102" s="338"/>
      <c r="AY102" s="337" t="s">
        <v>1429</v>
      </c>
      <c r="AZ102" s="337" t="s">
        <v>1429</v>
      </c>
      <c r="BA102" s="338" t="s">
        <v>1429</v>
      </c>
      <c r="BB102" s="338"/>
      <c r="BC102" s="181" t="s">
        <v>3911</v>
      </c>
      <c r="BD102" s="313"/>
      <c r="BE102" s="239"/>
      <c r="BF102" s="239"/>
      <c r="BG102" s="239"/>
      <c r="BH102" s="239"/>
      <c r="BI102" s="239"/>
      <c r="BJ102" s="239"/>
      <c r="BK102" s="239"/>
      <c r="BL102" s="239"/>
      <c r="BM102" s="239"/>
      <c r="BN102" s="239"/>
      <c r="BO102" s="239"/>
      <c r="BP102" s="239"/>
      <c r="BQ102" s="239"/>
      <c r="BR102" s="239"/>
      <c r="BS102" s="239"/>
      <c r="BT102" s="239"/>
      <c r="BU102" s="239"/>
      <c r="BV102" s="239"/>
      <c r="BW102" s="239"/>
      <c r="BX102" s="239"/>
      <c r="BY102" s="239"/>
      <c r="BZ102" s="239"/>
      <c r="CA102" s="239"/>
      <c r="CB102" s="239"/>
      <c r="CC102" s="239"/>
      <c r="CD102" s="239"/>
      <c r="CE102" s="239"/>
    </row>
    <row r="103" spans="1:83" ht="12.95" customHeight="1">
      <c r="A103" s="1"/>
      <c r="B103" s="1"/>
      <c r="C103" s="51" t="s">
        <v>3920</v>
      </c>
      <c r="D103" s="52" t="s">
        <v>3921</v>
      </c>
      <c r="E103" s="58" t="s">
        <v>3826</v>
      </c>
      <c r="F103" s="53" t="s">
        <v>3922</v>
      </c>
      <c r="G103" s="180" t="s">
        <v>3923</v>
      </c>
      <c r="H103" s="180" t="s">
        <v>3920</v>
      </c>
      <c r="I103" s="55" t="s">
        <v>1429</v>
      </c>
      <c r="J103" s="55" t="s">
        <v>1429</v>
      </c>
      <c r="K103" s="55" t="s">
        <v>1429</v>
      </c>
      <c r="L103" s="55" t="s">
        <v>1580</v>
      </c>
      <c r="M103" s="55" t="s">
        <v>1581</v>
      </c>
      <c r="N103" s="55" t="s">
        <v>1429</v>
      </c>
      <c r="O103" s="55" t="s">
        <v>1429</v>
      </c>
      <c r="P103" s="55" t="s">
        <v>1429</v>
      </c>
      <c r="Q103" s="52" t="s">
        <v>3830</v>
      </c>
      <c r="R103" s="52" t="s">
        <v>113</v>
      </c>
      <c r="S103" s="52" t="s">
        <v>99</v>
      </c>
      <c r="T103" s="52" t="s">
        <v>100</v>
      </c>
      <c r="U103" s="57" t="s">
        <v>113</v>
      </c>
      <c r="V103" s="113" t="s">
        <v>3924</v>
      </c>
      <c r="W103" s="329" t="s">
        <v>3833</v>
      </c>
      <c r="X103" s="330" t="s">
        <v>1429</v>
      </c>
      <c r="Y103" s="330" t="s">
        <v>1429</v>
      </c>
      <c r="Z103" s="331" t="s">
        <v>1678</v>
      </c>
      <c r="AA103" s="331" t="s">
        <v>1710</v>
      </c>
      <c r="AB103" s="331" t="s">
        <v>3834</v>
      </c>
      <c r="AC103" s="331" t="s">
        <v>1674</v>
      </c>
      <c r="AD103" s="331" t="s">
        <v>3830</v>
      </c>
      <c r="AE103" s="331" t="s">
        <v>3835</v>
      </c>
      <c r="AF103" s="331" t="s">
        <v>3836</v>
      </c>
      <c r="AG103" s="331" t="s">
        <v>3836</v>
      </c>
      <c r="AH103" s="331" t="s">
        <v>3837</v>
      </c>
      <c r="AI103" s="331" t="s">
        <v>1476</v>
      </c>
      <c r="AJ103" s="312" t="b">
        <v>1</v>
      </c>
      <c r="AK103" s="312" t="b">
        <v>1</v>
      </c>
      <c r="AL103" s="312" t="b">
        <v>1</v>
      </c>
      <c r="AM103" s="312" t="b">
        <v>1</v>
      </c>
      <c r="AN103" s="312" t="b">
        <v>1</v>
      </c>
      <c r="AO103" s="312" t="b">
        <v>1</v>
      </c>
      <c r="AP103" s="61" t="s">
        <v>3838</v>
      </c>
      <c r="AQ103" s="335" t="s">
        <v>3920</v>
      </c>
      <c r="AR103" s="336" t="s">
        <v>3495</v>
      </c>
      <c r="AS103" s="337"/>
      <c r="AT103" s="338"/>
      <c r="AU103" s="338"/>
      <c r="AV103" s="338"/>
      <c r="AW103" s="338"/>
      <c r="AX103" s="338"/>
      <c r="AY103" s="337" t="s">
        <v>1429</v>
      </c>
      <c r="AZ103" s="337" t="s">
        <v>1429</v>
      </c>
      <c r="BA103" s="338" t="s">
        <v>1429</v>
      </c>
      <c r="BB103" s="338"/>
      <c r="BC103" s="181" t="s">
        <v>3920</v>
      </c>
      <c r="BD103" s="313"/>
      <c r="BE103" s="239"/>
      <c r="BF103" s="239"/>
      <c r="BG103" s="239"/>
      <c r="BH103" s="239"/>
      <c r="BI103" s="239"/>
      <c r="BJ103" s="239"/>
      <c r="BK103" s="239"/>
      <c r="BL103" s="239"/>
      <c r="BM103" s="239"/>
      <c r="BN103" s="239"/>
      <c r="BO103" s="239"/>
      <c r="BP103" s="239"/>
      <c r="BQ103" s="239"/>
      <c r="BR103" s="239"/>
      <c r="BS103" s="239"/>
      <c r="BT103" s="239"/>
      <c r="BU103" s="239"/>
      <c r="BV103" s="239"/>
      <c r="BW103" s="239"/>
      <c r="BX103" s="239"/>
      <c r="BY103" s="239"/>
      <c r="BZ103" s="239"/>
      <c r="CA103" s="239"/>
      <c r="CB103" s="239"/>
      <c r="CC103" s="239"/>
      <c r="CD103" s="239"/>
      <c r="CE103" s="239"/>
    </row>
    <row r="104" spans="1:83" ht="12.95" customHeight="1">
      <c r="A104" s="1"/>
      <c r="B104" s="1"/>
      <c r="C104" s="51" t="s">
        <v>3925</v>
      </c>
      <c r="D104" s="52" t="s">
        <v>3926</v>
      </c>
      <c r="E104" s="340" t="s">
        <v>1862</v>
      </c>
      <c r="F104" s="53" t="s">
        <v>3927</v>
      </c>
      <c r="G104" s="180" t="s">
        <v>1429</v>
      </c>
      <c r="H104" s="180" t="s">
        <v>3925</v>
      </c>
      <c r="I104" s="55" t="s">
        <v>3928</v>
      </c>
      <c r="J104" s="55" t="s">
        <v>1429</v>
      </c>
      <c r="K104" s="55" t="s">
        <v>1429</v>
      </c>
      <c r="L104" s="55" t="s">
        <v>1429</v>
      </c>
      <c r="M104" s="55" t="s">
        <v>1580</v>
      </c>
      <c r="N104" s="55" t="s">
        <v>1580</v>
      </c>
      <c r="O104" s="55" t="s">
        <v>1429</v>
      </c>
      <c r="P104" s="55" t="s">
        <v>1429</v>
      </c>
      <c r="Q104" s="65"/>
      <c r="R104" s="65"/>
      <c r="S104" s="65"/>
      <c r="T104" s="65"/>
      <c r="U104" s="311"/>
      <c r="V104" s="113" t="s">
        <v>3929</v>
      </c>
      <c r="W104" s="326"/>
      <c r="X104" s="327"/>
      <c r="Y104" s="327"/>
      <c r="Z104" s="328"/>
      <c r="AA104" s="328"/>
      <c r="AB104" s="328"/>
      <c r="AC104" s="328"/>
      <c r="AD104" s="328"/>
      <c r="AE104" s="328"/>
      <c r="AF104" s="328"/>
      <c r="AG104" s="328"/>
      <c r="AH104" s="328"/>
      <c r="AI104" s="328"/>
      <c r="AJ104" s="312" t="b">
        <v>1</v>
      </c>
      <c r="AK104" s="312" t="b">
        <v>1</v>
      </c>
      <c r="AL104" s="312" t="b">
        <v>1</v>
      </c>
      <c r="AM104" s="312" t="b">
        <v>1</v>
      </c>
      <c r="AN104" s="312" t="b">
        <v>1</v>
      </c>
      <c r="AO104" s="312" t="b">
        <v>1</v>
      </c>
      <c r="AP104" s="61" t="s">
        <v>3838</v>
      </c>
      <c r="AQ104" s="335" t="s">
        <v>3925</v>
      </c>
      <c r="AR104" s="338"/>
      <c r="AS104" s="338"/>
      <c r="AT104" s="338"/>
      <c r="AU104" s="338"/>
      <c r="AV104" s="338"/>
      <c r="AW104" s="338"/>
      <c r="AX104" s="338"/>
      <c r="AY104" s="337"/>
      <c r="AZ104" s="337"/>
      <c r="BA104" s="338"/>
      <c r="BB104" s="338"/>
      <c r="BC104" s="181"/>
      <c r="BD104" s="313"/>
      <c r="BE104" s="239"/>
      <c r="BF104" s="239"/>
      <c r="BG104" s="239"/>
      <c r="BH104" s="239"/>
      <c r="BI104" s="239"/>
      <c r="BJ104" s="239"/>
      <c r="BK104" s="239"/>
      <c r="BL104" s="239"/>
      <c r="BM104" s="239"/>
      <c r="BN104" s="239"/>
      <c r="BO104" s="239"/>
      <c r="BP104" s="239"/>
      <c r="BQ104" s="239"/>
      <c r="BR104" s="239"/>
      <c r="BS104" s="239"/>
      <c r="BT104" s="239"/>
      <c r="BU104" s="239"/>
      <c r="BV104" s="239"/>
      <c r="BW104" s="239"/>
      <c r="BX104" s="239"/>
      <c r="BY104" s="239"/>
      <c r="BZ104" s="239"/>
      <c r="CA104" s="239"/>
      <c r="CB104" s="239"/>
      <c r="CC104" s="239"/>
      <c r="CD104" s="239"/>
      <c r="CE104" s="239"/>
    </row>
    <row r="105" spans="1:83" s="50" customFormat="1" ht="18" customHeight="1">
      <c r="A105" s="171" t="s">
        <v>1385</v>
      </c>
      <c r="B105" s="171"/>
      <c r="C105" s="171"/>
      <c r="D105" s="69"/>
      <c r="E105" s="69"/>
      <c r="F105" s="69"/>
      <c r="G105" s="70"/>
      <c r="H105" s="70"/>
      <c r="I105" s="70"/>
      <c r="J105" s="70"/>
      <c r="K105" s="70"/>
      <c r="L105" s="69"/>
      <c r="M105" s="69"/>
      <c r="N105" s="69"/>
      <c r="O105" s="69"/>
      <c r="P105" s="69"/>
      <c r="Q105" s="69"/>
      <c r="R105" s="69"/>
      <c r="S105" s="69"/>
      <c r="T105" s="69"/>
      <c r="U105" s="69"/>
      <c r="V105" s="69"/>
      <c r="W105" s="323"/>
      <c r="X105" s="324"/>
      <c r="Y105" s="324"/>
      <c r="Z105" s="325"/>
      <c r="AA105" s="325"/>
      <c r="AB105" s="325"/>
      <c r="AC105" s="325"/>
      <c r="AD105" s="325"/>
      <c r="AE105" s="325"/>
      <c r="AF105" s="325"/>
      <c r="AG105" s="325"/>
      <c r="AH105" s="325"/>
      <c r="AI105" s="325"/>
      <c r="AJ105" s="47" t="b">
        <v>0</v>
      </c>
      <c r="AK105" s="47"/>
      <c r="AL105" s="47"/>
      <c r="AM105" s="47"/>
      <c r="AN105" s="47"/>
      <c r="AO105" s="47"/>
      <c r="AP105" s="47"/>
      <c r="AQ105" s="315"/>
      <c r="AR105" s="315"/>
      <c r="AS105" s="316"/>
      <c r="AT105" s="316"/>
      <c r="AU105" s="316"/>
      <c r="AV105" s="316"/>
      <c r="AW105" s="316"/>
      <c r="AX105" s="317"/>
      <c r="AY105" s="316"/>
      <c r="AZ105" s="316"/>
      <c r="BA105" s="316"/>
      <c r="BB105" s="318" t="s">
        <v>1351</v>
      </c>
      <c r="BC105" s="319"/>
      <c r="BD105" s="184"/>
      <c r="BE105" s="243"/>
      <c r="BF105" s="243"/>
      <c r="BG105" s="243"/>
      <c r="BH105" s="243"/>
      <c r="BI105" s="243"/>
      <c r="BJ105" s="243"/>
      <c r="BK105" s="243"/>
      <c r="BL105" s="243"/>
      <c r="BM105" s="243"/>
      <c r="BN105" s="243"/>
      <c r="BO105" s="243"/>
      <c r="BP105" s="243"/>
      <c r="BQ105" s="243"/>
      <c r="BR105" s="243"/>
      <c r="BS105" s="243"/>
      <c r="BT105" s="243"/>
      <c r="BU105" s="243"/>
      <c r="BV105" s="243"/>
      <c r="BW105" s="243"/>
      <c r="BX105" s="243"/>
      <c r="BY105" s="243"/>
      <c r="BZ105" s="243"/>
      <c r="CA105" s="243"/>
      <c r="CB105" s="243"/>
      <c r="CC105" s="243"/>
      <c r="CD105" s="243"/>
      <c r="CE105" s="243"/>
    </row>
    <row r="106" spans="1:83" ht="12.95" customHeight="1">
      <c r="A106" s="208"/>
      <c r="B106" s="208"/>
      <c r="C106" s="51" t="s">
        <v>27</v>
      </c>
      <c r="D106" s="52" t="s">
        <v>1863</v>
      </c>
      <c r="E106" s="52" t="s">
        <v>1864</v>
      </c>
      <c r="F106" s="53" t="s">
        <v>142</v>
      </c>
      <c r="G106" s="179"/>
      <c r="H106" s="180" t="s">
        <v>27</v>
      </c>
      <c r="I106" s="55" t="s">
        <v>1429</v>
      </c>
      <c r="J106" s="55" t="s">
        <v>1429</v>
      </c>
      <c r="K106" s="56" t="s">
        <v>1429</v>
      </c>
      <c r="L106" s="54" t="s">
        <v>1580</v>
      </c>
      <c r="M106" s="55" t="s">
        <v>1581</v>
      </c>
      <c r="N106" s="55" t="s">
        <v>1429</v>
      </c>
      <c r="O106" s="55" t="s">
        <v>1429</v>
      </c>
      <c r="P106" s="56" t="s">
        <v>1429</v>
      </c>
      <c r="Q106" s="52" t="s">
        <v>55</v>
      </c>
      <c r="R106" s="52" t="s">
        <v>113</v>
      </c>
      <c r="S106" s="52" t="s">
        <v>99</v>
      </c>
      <c r="T106" s="52" t="s">
        <v>100</v>
      </c>
      <c r="U106" s="105" t="s">
        <v>113</v>
      </c>
      <c r="V106" s="145" t="s">
        <v>1865</v>
      </c>
      <c r="W106" s="51" t="s">
        <v>1866</v>
      </c>
      <c r="X106" s="130" t="s">
        <v>1429</v>
      </c>
      <c r="Y106" s="130" t="s">
        <v>1429</v>
      </c>
      <c r="Z106" s="51" t="s">
        <v>1678</v>
      </c>
      <c r="AA106" s="51" t="s">
        <v>1679</v>
      </c>
      <c r="AB106" s="51" t="s">
        <v>3665</v>
      </c>
      <c r="AC106" s="51" t="s">
        <v>1587</v>
      </c>
      <c r="AD106" s="59" t="str">
        <f t="shared" ref="AD106:AD111" si="19">IF(OR($AQ106="",$AQ106=$F106),$U106,IF($AQ106=$G106,SUBSTITUTE(SUBSTITUTE($AQ106,"GPIO3_","GPIO_"),".0",""),IF($AQ106=$H106,$Q106,IF($AQ106=$I106,$R106,IF($AQ106=$J106,$S106,IF($AQ106=$K106,$T106,"INVALID"))))))</f>
        <v>SDMMC3</v>
      </c>
      <c r="AE106" s="66"/>
      <c r="AF106" s="61" t="str">
        <f t="shared" ref="AF106:AF111" si="20">IF(AND(OR($AS106="Int PU",$AS106="Int PD"),OR(AND($AY106&lt;&gt;"",$AY106&lt;&gt;"0"),AND($AZ106&lt;&gt;"",$AZ106&lt;&gt;"0"))),"INVALID",IF(OR($AQ106=$F106,$AS106="Int PD"),"PULL_DOWN",IF(OR($AS106="Int PU",AND($AE106="YES",OR($AY106="",$AY106="0"),OR($AZ106="",$AZ106="0"),OR($AR106="Input",$AR106="Bidirectional"))),"PULL_UP","NORMAL")))</f>
        <v>PULL_DOWN</v>
      </c>
      <c r="AG106" s="61" t="str">
        <f t="shared" ref="AG106:AG111" si="21">IF($AR106="Input", "TRISTATE", IF($AS106="Z","TRISTATE",IF($AQ106=$F106,"TRISTATE","NORMAL")))</f>
        <v>NORMAL</v>
      </c>
      <c r="AH106" s="61" t="str">
        <f>IF($AQ106=$H106,"ENABLE",IF(OR($AQ106=$F106,$AR106="Output"),"DISABLE","ENABLE"))</f>
        <v>ENABLE</v>
      </c>
      <c r="AI106" s="67" t="str">
        <f t="shared" ref="AI106:AI111" si="22">IF($AQ106&lt;&gt;$G106,"N/A",IF($AS106="Drive 1", "1", IF($AS106="Drive 0", "0", "")))</f>
        <v>N/A</v>
      </c>
      <c r="AJ106" s="176" t="b">
        <v>1</v>
      </c>
      <c r="AK106" s="176" t="b">
        <v>1</v>
      </c>
      <c r="AL106" s="176" t="b">
        <v>1</v>
      </c>
      <c r="AM106" s="176" t="b">
        <v>1</v>
      </c>
      <c r="AN106" s="176" t="b">
        <v>1</v>
      </c>
      <c r="AO106" s="176" t="b">
        <v>1</v>
      </c>
      <c r="AP106" s="64" t="str">
        <f t="shared" ref="AP106:AP112" si="23">IF(AND($AJ106:$AO106), "VALID", "INVALID")</f>
        <v>VALID</v>
      </c>
      <c r="AQ106" s="213" t="s">
        <v>27</v>
      </c>
      <c r="AR106" s="3" t="s">
        <v>3495</v>
      </c>
      <c r="AS106" s="181" t="s">
        <v>3503</v>
      </c>
      <c r="AT106" s="214"/>
      <c r="AU106" s="214"/>
      <c r="AV106" s="214"/>
      <c r="AW106" s="215"/>
      <c r="AX106" s="289" t="s">
        <v>3502</v>
      </c>
      <c r="AY106" s="4"/>
      <c r="AZ106" s="4"/>
      <c r="BA106" s="12" t="s">
        <v>101</v>
      </c>
      <c r="BB106" s="216"/>
      <c r="BC106" s="15" t="s">
        <v>3722</v>
      </c>
      <c r="BD106" s="238"/>
      <c r="BE106" s="239"/>
      <c r="BF106" s="239"/>
      <c r="BG106" s="239"/>
      <c r="BH106" s="239"/>
      <c r="BI106" s="239"/>
      <c r="BJ106" s="239"/>
      <c r="BK106" s="239"/>
      <c r="BL106" s="239"/>
      <c r="BM106" s="239"/>
      <c r="BN106" s="239"/>
      <c r="BO106" s="239"/>
      <c r="BP106" s="239"/>
      <c r="BQ106" s="239"/>
      <c r="BR106" s="239"/>
      <c r="BS106" s="239"/>
      <c r="BT106" s="239"/>
      <c r="BU106" s="239"/>
      <c r="BV106" s="239"/>
      <c r="BW106" s="239"/>
      <c r="BX106" s="239"/>
      <c r="BY106" s="239"/>
      <c r="BZ106" s="239"/>
      <c r="CA106" s="239"/>
      <c r="CB106" s="239"/>
      <c r="CC106" s="239"/>
      <c r="CD106" s="239"/>
      <c r="CE106" s="239"/>
    </row>
    <row r="107" spans="1:83" ht="12.95" customHeight="1">
      <c r="A107" s="208"/>
      <c r="B107" s="208"/>
      <c r="C107" s="51" t="s">
        <v>28</v>
      </c>
      <c r="D107" s="52" t="s">
        <v>1867</v>
      </c>
      <c r="E107" s="52" t="s">
        <v>1868</v>
      </c>
      <c r="F107" s="53" t="s">
        <v>143</v>
      </c>
      <c r="G107" s="179"/>
      <c r="H107" s="180" t="s">
        <v>28</v>
      </c>
      <c r="I107" s="55" t="s">
        <v>1429</v>
      </c>
      <c r="J107" s="55" t="s">
        <v>1429</v>
      </c>
      <c r="K107" s="56" t="s">
        <v>1429</v>
      </c>
      <c r="L107" s="54" t="s">
        <v>1580</v>
      </c>
      <c r="M107" s="55" t="s">
        <v>1580</v>
      </c>
      <c r="N107" s="55" t="s">
        <v>1429</v>
      </c>
      <c r="O107" s="55" t="s">
        <v>1429</v>
      </c>
      <c r="P107" s="56" t="s">
        <v>1429</v>
      </c>
      <c r="Q107" s="52" t="s">
        <v>55</v>
      </c>
      <c r="R107" s="52" t="s">
        <v>113</v>
      </c>
      <c r="S107" s="52" t="s">
        <v>99</v>
      </c>
      <c r="T107" s="52" t="s">
        <v>100</v>
      </c>
      <c r="U107" s="57" t="s">
        <v>113</v>
      </c>
      <c r="V107" s="146" t="s">
        <v>1869</v>
      </c>
      <c r="W107" s="51" t="s">
        <v>1866</v>
      </c>
      <c r="X107" s="130" t="s">
        <v>1429</v>
      </c>
      <c r="Y107" s="130" t="s">
        <v>1429</v>
      </c>
      <c r="Z107" s="51" t="s">
        <v>1678</v>
      </c>
      <c r="AA107" s="51" t="s">
        <v>1679</v>
      </c>
      <c r="AB107" s="51" t="s">
        <v>3665</v>
      </c>
      <c r="AC107" s="51" t="s">
        <v>1674</v>
      </c>
      <c r="AD107" s="59" t="str">
        <f t="shared" si="19"/>
        <v>SDMMC3</v>
      </c>
      <c r="AE107" s="61" t="str">
        <f>IF(LEFT($AD107, 5) = "SDMMC","YES","NO")</f>
        <v>YES</v>
      </c>
      <c r="AF107" s="61" t="str">
        <f t="shared" si="20"/>
        <v>PULL_UP</v>
      </c>
      <c r="AG107" s="61" t="str">
        <f t="shared" si="21"/>
        <v>NORMAL</v>
      </c>
      <c r="AH107" s="61" t="str">
        <f>IF(OR($AQ107=$F107,$AR107="Output"),"DISABLE","ENABLE")</f>
        <v>ENABLE</v>
      </c>
      <c r="AI107" s="67" t="str">
        <f t="shared" si="22"/>
        <v>N/A</v>
      </c>
      <c r="AJ107" s="176" t="b">
        <v>1</v>
      </c>
      <c r="AK107" s="176" t="b">
        <v>1</v>
      </c>
      <c r="AL107" s="176" t="b">
        <v>1</v>
      </c>
      <c r="AM107" s="176" t="b">
        <v>1</v>
      </c>
      <c r="AN107" s="176" t="b">
        <v>1</v>
      </c>
      <c r="AO107" s="176" t="b">
        <v>1</v>
      </c>
      <c r="AP107" s="64" t="str">
        <f t="shared" si="23"/>
        <v>VALID</v>
      </c>
      <c r="AQ107" s="211" t="s">
        <v>28</v>
      </c>
      <c r="AR107" s="182" t="s">
        <v>3501</v>
      </c>
      <c r="AS107" s="181" t="s">
        <v>3497</v>
      </c>
      <c r="AT107" s="5"/>
      <c r="AU107" s="5"/>
      <c r="AV107" s="5"/>
      <c r="AW107" s="5"/>
      <c r="AX107" s="284"/>
      <c r="AY107" s="181"/>
      <c r="AZ107" s="181"/>
      <c r="BA107" s="7"/>
      <c r="BB107" s="212"/>
      <c r="BC107" s="10" t="s">
        <v>3723</v>
      </c>
      <c r="BD107" s="238"/>
      <c r="BE107" s="239"/>
      <c r="BF107" s="239"/>
      <c r="BG107" s="239"/>
      <c r="BH107" s="239"/>
      <c r="BI107" s="239"/>
      <c r="BJ107" s="239"/>
      <c r="BK107" s="239"/>
      <c r="BL107" s="239"/>
      <c r="BM107" s="239"/>
      <c r="BN107" s="239"/>
      <c r="BO107" s="239"/>
      <c r="BP107" s="239"/>
      <c r="BQ107" s="239"/>
      <c r="BR107" s="239"/>
      <c r="BS107" s="239"/>
      <c r="BT107" s="239"/>
      <c r="BU107" s="239"/>
      <c r="BV107" s="239"/>
      <c r="BW107" s="239"/>
      <c r="BX107" s="239"/>
      <c r="BY107" s="239"/>
      <c r="BZ107" s="239"/>
      <c r="CA107" s="239"/>
      <c r="CB107" s="239"/>
      <c r="CC107" s="239"/>
      <c r="CD107" s="239"/>
      <c r="CE107" s="239"/>
    </row>
    <row r="108" spans="1:83" ht="12.95" customHeight="1">
      <c r="A108" s="208"/>
      <c r="B108" s="208"/>
      <c r="C108" s="51" t="s">
        <v>29</v>
      </c>
      <c r="D108" s="52" t="s">
        <v>1870</v>
      </c>
      <c r="E108" s="52" t="s">
        <v>1871</v>
      </c>
      <c r="F108" s="53" t="s">
        <v>144</v>
      </c>
      <c r="G108" s="179"/>
      <c r="H108" s="180" t="s">
        <v>29</v>
      </c>
      <c r="I108" s="55" t="s">
        <v>1429</v>
      </c>
      <c r="J108" s="55" t="s">
        <v>1429</v>
      </c>
      <c r="K108" s="56" t="s">
        <v>1429</v>
      </c>
      <c r="L108" s="54" t="s">
        <v>1580</v>
      </c>
      <c r="M108" s="55" t="s">
        <v>1580</v>
      </c>
      <c r="N108" s="55" t="s">
        <v>1429</v>
      </c>
      <c r="O108" s="55" t="s">
        <v>1429</v>
      </c>
      <c r="P108" s="56" t="s">
        <v>1429</v>
      </c>
      <c r="Q108" s="52" t="s">
        <v>55</v>
      </c>
      <c r="R108" s="52" t="s">
        <v>113</v>
      </c>
      <c r="S108" s="52" t="s">
        <v>99</v>
      </c>
      <c r="T108" s="52" t="s">
        <v>100</v>
      </c>
      <c r="U108" s="57" t="s">
        <v>113</v>
      </c>
      <c r="V108" s="146" t="s">
        <v>1872</v>
      </c>
      <c r="W108" s="51" t="s">
        <v>1866</v>
      </c>
      <c r="X108" s="130" t="s">
        <v>1429</v>
      </c>
      <c r="Y108" s="130" t="s">
        <v>1429</v>
      </c>
      <c r="Z108" s="51" t="s">
        <v>1678</v>
      </c>
      <c r="AA108" s="51" t="s">
        <v>1679</v>
      </c>
      <c r="AB108" s="51" t="s">
        <v>3665</v>
      </c>
      <c r="AC108" s="51" t="s">
        <v>1674</v>
      </c>
      <c r="AD108" s="59" t="str">
        <f t="shared" si="19"/>
        <v>SDMMC3</v>
      </c>
      <c r="AE108" s="61" t="str">
        <f>IF(LEFT($AD108, 5) = "SDMMC","YES","NO")</f>
        <v>YES</v>
      </c>
      <c r="AF108" s="61" t="str">
        <f t="shared" si="20"/>
        <v>PULL_UP</v>
      </c>
      <c r="AG108" s="61" t="str">
        <f t="shared" si="21"/>
        <v>NORMAL</v>
      </c>
      <c r="AH108" s="61" t="str">
        <f>IF(OR($AQ108=$F108,$AR108="Output"),"DISABLE","ENABLE")</f>
        <v>ENABLE</v>
      </c>
      <c r="AI108" s="67" t="str">
        <f t="shared" si="22"/>
        <v>N/A</v>
      </c>
      <c r="AJ108" s="176" t="b">
        <v>1</v>
      </c>
      <c r="AK108" s="176" t="b">
        <v>1</v>
      </c>
      <c r="AL108" s="176" t="b">
        <v>1</v>
      </c>
      <c r="AM108" s="176" t="b">
        <v>1</v>
      </c>
      <c r="AN108" s="176" t="b">
        <v>1</v>
      </c>
      <c r="AO108" s="176" t="b">
        <v>1</v>
      </c>
      <c r="AP108" s="64" t="str">
        <f t="shared" si="23"/>
        <v>VALID</v>
      </c>
      <c r="AQ108" s="211" t="s">
        <v>29</v>
      </c>
      <c r="AR108" s="182" t="s">
        <v>3501</v>
      </c>
      <c r="AS108" s="181" t="s">
        <v>3497</v>
      </c>
      <c r="AT108" s="5"/>
      <c r="AU108" s="5"/>
      <c r="AV108" s="5"/>
      <c r="AW108" s="5"/>
      <c r="AX108" s="284"/>
      <c r="AY108" s="181"/>
      <c r="AZ108" s="181"/>
      <c r="BA108" s="7"/>
      <c r="BB108" s="212"/>
      <c r="BC108" s="10" t="s">
        <v>3724</v>
      </c>
      <c r="BD108" s="238"/>
      <c r="BE108" s="239"/>
      <c r="BF108" s="239"/>
      <c r="BG108" s="239"/>
      <c r="BH108" s="239"/>
      <c r="BI108" s="239"/>
      <c r="BJ108" s="239"/>
      <c r="BK108" s="239"/>
      <c r="BL108" s="239"/>
      <c r="BM108" s="239"/>
      <c r="BN108" s="239"/>
      <c r="BO108" s="239"/>
      <c r="BP108" s="239"/>
      <c r="BQ108" s="239"/>
      <c r="BR108" s="239"/>
      <c r="BS108" s="239"/>
      <c r="BT108" s="239"/>
      <c r="BU108" s="239"/>
      <c r="BV108" s="239"/>
      <c r="BW108" s="239"/>
      <c r="BX108" s="239"/>
      <c r="BY108" s="239"/>
      <c r="BZ108" s="239"/>
      <c r="CA108" s="239"/>
      <c r="CB108" s="239"/>
      <c r="CC108" s="239"/>
      <c r="CD108" s="239"/>
      <c r="CE108" s="239"/>
    </row>
    <row r="109" spans="1:83" ht="12.95" customHeight="1">
      <c r="A109" s="208"/>
      <c r="B109" s="208"/>
      <c r="C109" s="51" t="s">
        <v>30</v>
      </c>
      <c r="D109" s="52" t="s">
        <v>1873</v>
      </c>
      <c r="E109" s="52" t="s">
        <v>1874</v>
      </c>
      <c r="F109" s="53" t="s">
        <v>145</v>
      </c>
      <c r="G109" s="179"/>
      <c r="H109" s="180" t="s">
        <v>30</v>
      </c>
      <c r="I109" s="55" t="s">
        <v>1429</v>
      </c>
      <c r="J109" s="55" t="s">
        <v>1429</v>
      </c>
      <c r="K109" s="56" t="s">
        <v>1429</v>
      </c>
      <c r="L109" s="54" t="s">
        <v>1580</v>
      </c>
      <c r="M109" s="55" t="s">
        <v>1580</v>
      </c>
      <c r="N109" s="55" t="s">
        <v>1429</v>
      </c>
      <c r="O109" s="55" t="s">
        <v>1429</v>
      </c>
      <c r="P109" s="56" t="s">
        <v>1429</v>
      </c>
      <c r="Q109" s="52" t="s">
        <v>55</v>
      </c>
      <c r="R109" s="52" t="s">
        <v>113</v>
      </c>
      <c r="S109" s="52" t="s">
        <v>99</v>
      </c>
      <c r="T109" s="52" t="s">
        <v>100</v>
      </c>
      <c r="U109" s="57" t="s">
        <v>113</v>
      </c>
      <c r="V109" s="146" t="s">
        <v>1875</v>
      </c>
      <c r="W109" s="51" t="s">
        <v>1866</v>
      </c>
      <c r="X109" s="130" t="s">
        <v>1876</v>
      </c>
      <c r="Y109" s="130" t="s">
        <v>1429</v>
      </c>
      <c r="Z109" s="51" t="s">
        <v>1678</v>
      </c>
      <c r="AA109" s="51" t="s">
        <v>1679</v>
      </c>
      <c r="AB109" s="51" t="s">
        <v>3665</v>
      </c>
      <c r="AC109" s="51" t="s">
        <v>1674</v>
      </c>
      <c r="AD109" s="59" t="str">
        <f t="shared" si="19"/>
        <v>SDMMC3</v>
      </c>
      <c r="AE109" s="61" t="str">
        <f>IF(LEFT($AD109, 5) = "SDMMC","YES","NO")</f>
        <v>YES</v>
      </c>
      <c r="AF109" s="61" t="str">
        <f t="shared" si="20"/>
        <v>PULL_UP</v>
      </c>
      <c r="AG109" s="61" t="str">
        <f t="shared" si="21"/>
        <v>NORMAL</v>
      </c>
      <c r="AH109" s="61" t="str">
        <f>IF(OR($AQ109=$F109,$AR109="Output"),"DISABLE","ENABLE")</f>
        <v>ENABLE</v>
      </c>
      <c r="AI109" s="67" t="str">
        <f t="shared" si="22"/>
        <v>N/A</v>
      </c>
      <c r="AJ109" s="176" t="b">
        <v>1</v>
      </c>
      <c r="AK109" s="176" t="b">
        <v>1</v>
      </c>
      <c r="AL109" s="176" t="b">
        <v>1</v>
      </c>
      <c r="AM109" s="176" t="b">
        <v>1</v>
      </c>
      <c r="AN109" s="176" t="b">
        <v>1</v>
      </c>
      <c r="AO109" s="176" t="b">
        <v>1</v>
      </c>
      <c r="AP109" s="64" t="str">
        <f t="shared" si="23"/>
        <v>VALID</v>
      </c>
      <c r="AQ109" s="211" t="s">
        <v>30</v>
      </c>
      <c r="AR109" s="182" t="s">
        <v>3501</v>
      </c>
      <c r="AS109" s="181" t="s">
        <v>3497</v>
      </c>
      <c r="AT109" s="181" t="s">
        <v>104</v>
      </c>
      <c r="AU109" s="5"/>
      <c r="AV109" s="5"/>
      <c r="AW109" s="5"/>
      <c r="AX109" s="284"/>
      <c r="AY109" s="181"/>
      <c r="AZ109" s="181"/>
      <c r="BA109" s="7"/>
      <c r="BB109" s="212"/>
      <c r="BC109" s="10" t="s">
        <v>3725</v>
      </c>
      <c r="BD109" s="238"/>
      <c r="BE109" s="239"/>
      <c r="BF109" s="239"/>
      <c r="BG109" s="239"/>
      <c r="BH109" s="239"/>
      <c r="BI109" s="239"/>
      <c r="BJ109" s="239"/>
      <c r="BK109" s="239"/>
      <c r="BL109" s="239"/>
      <c r="BM109" s="239"/>
      <c r="BN109" s="239"/>
      <c r="BO109" s="239"/>
      <c r="BP109" s="239"/>
      <c r="BQ109" s="239"/>
      <c r="BR109" s="239"/>
      <c r="BS109" s="239"/>
      <c r="BT109" s="239"/>
      <c r="BU109" s="239"/>
      <c r="BV109" s="239"/>
      <c r="BW109" s="239"/>
      <c r="BX109" s="239"/>
      <c r="BY109" s="239"/>
      <c r="BZ109" s="239"/>
      <c r="CA109" s="239"/>
      <c r="CB109" s="239"/>
      <c r="CC109" s="239"/>
      <c r="CD109" s="239"/>
      <c r="CE109" s="239"/>
    </row>
    <row r="110" spans="1:83" ht="12.95" customHeight="1">
      <c r="A110" s="208"/>
      <c r="B110" s="208"/>
      <c r="C110" s="51" t="s">
        <v>31</v>
      </c>
      <c r="D110" s="52" t="s">
        <v>1871</v>
      </c>
      <c r="E110" s="52" t="s">
        <v>1877</v>
      </c>
      <c r="F110" s="53" t="s">
        <v>146</v>
      </c>
      <c r="G110" s="179"/>
      <c r="H110" s="180" t="s">
        <v>31</v>
      </c>
      <c r="I110" s="55" t="s">
        <v>1429</v>
      </c>
      <c r="J110" s="55" t="s">
        <v>1429</v>
      </c>
      <c r="K110" s="56" t="s">
        <v>1429</v>
      </c>
      <c r="L110" s="54" t="s">
        <v>1580</v>
      </c>
      <c r="M110" s="55" t="s">
        <v>1580</v>
      </c>
      <c r="N110" s="55" t="s">
        <v>1429</v>
      </c>
      <c r="O110" s="55" t="s">
        <v>1429</v>
      </c>
      <c r="P110" s="56" t="s">
        <v>1429</v>
      </c>
      <c r="Q110" s="52" t="s">
        <v>55</v>
      </c>
      <c r="R110" s="52" t="s">
        <v>113</v>
      </c>
      <c r="S110" s="52" t="s">
        <v>99</v>
      </c>
      <c r="T110" s="52" t="s">
        <v>100</v>
      </c>
      <c r="U110" s="57" t="s">
        <v>113</v>
      </c>
      <c r="V110" s="146" t="s">
        <v>1878</v>
      </c>
      <c r="W110" s="51" t="s">
        <v>1866</v>
      </c>
      <c r="X110" s="130" t="s">
        <v>1429</v>
      </c>
      <c r="Y110" s="130" t="s">
        <v>1429</v>
      </c>
      <c r="Z110" s="51" t="s">
        <v>1678</v>
      </c>
      <c r="AA110" s="51" t="s">
        <v>1679</v>
      </c>
      <c r="AB110" s="51" t="s">
        <v>3665</v>
      </c>
      <c r="AC110" s="51" t="s">
        <v>1674</v>
      </c>
      <c r="AD110" s="59" t="str">
        <f t="shared" si="19"/>
        <v>SDMMC3</v>
      </c>
      <c r="AE110" s="61" t="str">
        <f>IF(LEFT($AD110, 5) = "SDMMC","YES","NO")</f>
        <v>YES</v>
      </c>
      <c r="AF110" s="61" t="str">
        <f t="shared" si="20"/>
        <v>PULL_UP</v>
      </c>
      <c r="AG110" s="61" t="str">
        <f t="shared" si="21"/>
        <v>NORMAL</v>
      </c>
      <c r="AH110" s="61" t="str">
        <f>IF(OR($AQ110=$F110,$AR110="Output"),"DISABLE","ENABLE")</f>
        <v>ENABLE</v>
      </c>
      <c r="AI110" s="67" t="str">
        <f t="shared" si="22"/>
        <v>N/A</v>
      </c>
      <c r="AJ110" s="176" t="b">
        <v>1</v>
      </c>
      <c r="AK110" s="176" t="b">
        <v>1</v>
      </c>
      <c r="AL110" s="176" t="b">
        <v>1</v>
      </c>
      <c r="AM110" s="176" t="b">
        <v>1</v>
      </c>
      <c r="AN110" s="176" t="b">
        <v>1</v>
      </c>
      <c r="AO110" s="176" t="b">
        <v>1</v>
      </c>
      <c r="AP110" s="64" t="str">
        <f t="shared" si="23"/>
        <v>VALID</v>
      </c>
      <c r="AQ110" s="211" t="s">
        <v>31</v>
      </c>
      <c r="AR110" s="182" t="s">
        <v>3501</v>
      </c>
      <c r="AS110" s="181" t="s">
        <v>3497</v>
      </c>
      <c r="AT110" s="5"/>
      <c r="AU110" s="5"/>
      <c r="AV110" s="5"/>
      <c r="AW110" s="5"/>
      <c r="AX110" s="284"/>
      <c r="AY110" s="181"/>
      <c r="AZ110" s="181"/>
      <c r="BA110" s="7"/>
      <c r="BB110" s="212"/>
      <c r="BC110" s="10" t="s">
        <v>3726</v>
      </c>
      <c r="BD110" s="238"/>
      <c r="BE110" s="239"/>
      <c r="BF110" s="239"/>
      <c r="BG110" s="239"/>
      <c r="BH110" s="239"/>
      <c r="BI110" s="239"/>
      <c r="BJ110" s="239"/>
      <c r="BK110" s="239"/>
      <c r="BL110" s="239"/>
      <c r="BM110" s="239"/>
      <c r="BN110" s="239"/>
      <c r="BO110" s="239"/>
      <c r="BP110" s="239"/>
      <c r="BQ110" s="239"/>
      <c r="BR110" s="239"/>
      <c r="BS110" s="239"/>
      <c r="BT110" s="239"/>
      <c r="BU110" s="239"/>
      <c r="BV110" s="239"/>
      <c r="BW110" s="239"/>
      <c r="BX110" s="239"/>
      <c r="BY110" s="239"/>
      <c r="BZ110" s="239"/>
      <c r="CA110" s="239"/>
      <c r="CB110" s="239"/>
      <c r="CC110" s="239"/>
      <c r="CD110" s="239"/>
      <c r="CE110" s="239"/>
    </row>
    <row r="111" spans="1:83" ht="12.95" customHeight="1">
      <c r="A111" s="208"/>
      <c r="B111" s="208"/>
      <c r="C111" s="51" t="s">
        <v>32</v>
      </c>
      <c r="D111" s="52" t="s">
        <v>1879</v>
      </c>
      <c r="E111" s="52" t="s">
        <v>1880</v>
      </c>
      <c r="F111" s="53" t="s">
        <v>147</v>
      </c>
      <c r="G111" s="179"/>
      <c r="H111" s="180" t="s">
        <v>32</v>
      </c>
      <c r="I111" s="55" t="s">
        <v>1429</v>
      </c>
      <c r="J111" s="55" t="s">
        <v>1429</v>
      </c>
      <c r="K111" s="56" t="s">
        <v>1429</v>
      </c>
      <c r="L111" s="54" t="s">
        <v>1580</v>
      </c>
      <c r="M111" s="55" t="s">
        <v>1580</v>
      </c>
      <c r="N111" s="55" t="s">
        <v>1429</v>
      </c>
      <c r="O111" s="55" t="s">
        <v>1429</v>
      </c>
      <c r="P111" s="56" t="s">
        <v>1429</v>
      </c>
      <c r="Q111" s="52" t="s">
        <v>55</v>
      </c>
      <c r="R111" s="52" t="s">
        <v>113</v>
      </c>
      <c r="S111" s="52" t="s">
        <v>99</v>
      </c>
      <c r="T111" s="52" t="s">
        <v>100</v>
      </c>
      <c r="U111" s="57" t="s">
        <v>113</v>
      </c>
      <c r="V111" s="146" t="s">
        <v>1881</v>
      </c>
      <c r="W111" s="51" t="s">
        <v>1866</v>
      </c>
      <c r="X111" s="130" t="s">
        <v>1429</v>
      </c>
      <c r="Y111" s="130" t="s">
        <v>1429</v>
      </c>
      <c r="Z111" s="51" t="s">
        <v>1678</v>
      </c>
      <c r="AA111" s="51" t="s">
        <v>1679</v>
      </c>
      <c r="AB111" s="51" t="s">
        <v>3665</v>
      </c>
      <c r="AC111" s="51" t="s">
        <v>1674</v>
      </c>
      <c r="AD111" s="59" t="str">
        <f t="shared" si="19"/>
        <v>SDMMC3</v>
      </c>
      <c r="AE111" s="61" t="str">
        <f>IF($AQ111=$H111,"YES","NO")</f>
        <v>YES</v>
      </c>
      <c r="AF111" s="61" t="str">
        <f t="shared" si="20"/>
        <v>PULL_UP</v>
      </c>
      <c r="AG111" s="61" t="str">
        <f t="shared" si="21"/>
        <v>NORMAL</v>
      </c>
      <c r="AH111" s="61" t="str">
        <f>IF(OR($AQ111=$F111,$AR111="Output"),"DISABLE","ENABLE")</f>
        <v>ENABLE</v>
      </c>
      <c r="AI111" s="67" t="str">
        <f t="shared" si="22"/>
        <v>N/A</v>
      </c>
      <c r="AJ111" s="176" t="b">
        <v>1</v>
      </c>
      <c r="AK111" s="176" t="b">
        <v>1</v>
      </c>
      <c r="AL111" s="176" t="b">
        <v>1</v>
      </c>
      <c r="AM111" s="176" t="b">
        <v>1</v>
      </c>
      <c r="AN111" s="176" t="b">
        <v>1</v>
      </c>
      <c r="AO111" s="176" t="b">
        <v>1</v>
      </c>
      <c r="AP111" s="64" t="str">
        <f t="shared" si="23"/>
        <v>VALID</v>
      </c>
      <c r="AQ111" s="211" t="s">
        <v>32</v>
      </c>
      <c r="AR111" s="182" t="s">
        <v>3501</v>
      </c>
      <c r="AS111" s="181" t="s">
        <v>3497</v>
      </c>
      <c r="AT111" s="5"/>
      <c r="AU111" s="5"/>
      <c r="AV111" s="5"/>
      <c r="AW111" s="5"/>
      <c r="AX111" s="284"/>
      <c r="AY111" s="181"/>
      <c r="AZ111" s="181"/>
      <c r="BA111" s="7"/>
      <c r="BB111" s="212"/>
      <c r="BC111" s="10" t="s">
        <v>3727</v>
      </c>
      <c r="BD111" s="238"/>
      <c r="BE111" s="239"/>
      <c r="BF111" s="239"/>
      <c r="BG111" s="239"/>
      <c r="BH111" s="239"/>
      <c r="BI111" s="239"/>
      <c r="BJ111" s="239"/>
      <c r="BK111" s="239"/>
      <c r="BL111" s="239"/>
      <c r="BM111" s="239"/>
      <c r="BN111" s="239"/>
      <c r="BO111" s="239"/>
      <c r="BP111" s="239"/>
      <c r="BQ111" s="239"/>
      <c r="BR111" s="239"/>
      <c r="BS111" s="239"/>
      <c r="BT111" s="239"/>
      <c r="BU111" s="239"/>
      <c r="BV111" s="239"/>
      <c r="BW111" s="239"/>
      <c r="BX111" s="239"/>
      <c r="BY111" s="239"/>
      <c r="BZ111" s="239"/>
      <c r="CA111" s="239"/>
      <c r="CB111" s="239"/>
      <c r="CC111" s="239"/>
      <c r="CD111" s="239"/>
      <c r="CE111" s="239"/>
    </row>
    <row r="112" spans="1:83" ht="12.95" customHeight="1">
      <c r="A112" s="1"/>
      <c r="B112" s="1"/>
      <c r="C112" s="51" t="s">
        <v>367</v>
      </c>
      <c r="D112" s="52" t="s">
        <v>1882</v>
      </c>
      <c r="E112" s="52" t="s">
        <v>1883</v>
      </c>
      <c r="F112" s="53" t="s">
        <v>532</v>
      </c>
      <c r="G112" s="179" t="s">
        <v>1429</v>
      </c>
      <c r="H112" s="180" t="s">
        <v>367</v>
      </c>
      <c r="I112" s="55" t="s">
        <v>1429</v>
      </c>
      <c r="J112" s="55" t="s">
        <v>1429</v>
      </c>
      <c r="K112" s="56" t="s">
        <v>1429</v>
      </c>
      <c r="L112" s="54" t="s">
        <v>1429</v>
      </c>
      <c r="M112" s="55" t="s">
        <v>1580</v>
      </c>
      <c r="N112" s="55" t="s">
        <v>1429</v>
      </c>
      <c r="O112" s="55" t="s">
        <v>1429</v>
      </c>
      <c r="P112" s="56" t="s">
        <v>1429</v>
      </c>
      <c r="Q112" s="52" t="s">
        <v>55</v>
      </c>
      <c r="R112" s="52" t="s">
        <v>113</v>
      </c>
      <c r="S112" s="52" t="s">
        <v>99</v>
      </c>
      <c r="T112" s="52" t="s">
        <v>100</v>
      </c>
      <c r="U112" s="57" t="s">
        <v>113</v>
      </c>
      <c r="V112" s="189" t="s">
        <v>1884</v>
      </c>
      <c r="W112" s="75"/>
      <c r="X112" s="132"/>
      <c r="Y112" s="132"/>
      <c r="Z112" s="8"/>
      <c r="AA112" s="8"/>
      <c r="AB112" s="8"/>
      <c r="AC112" s="8"/>
      <c r="AD112" s="144"/>
      <c r="AE112" s="76"/>
      <c r="AF112" s="76"/>
      <c r="AG112" s="76"/>
      <c r="AH112" s="76"/>
      <c r="AI112" s="77"/>
      <c r="AJ112" s="176" t="b">
        <v>1</v>
      </c>
      <c r="AK112" s="176" t="b">
        <v>1</v>
      </c>
      <c r="AL112" s="176" t="b">
        <v>1</v>
      </c>
      <c r="AM112" s="176" t="b">
        <v>1</v>
      </c>
      <c r="AN112" s="176" t="b">
        <v>1</v>
      </c>
      <c r="AO112" s="176" t="b">
        <v>1</v>
      </c>
      <c r="AP112" s="64" t="str">
        <f t="shared" si="23"/>
        <v>VALID</v>
      </c>
      <c r="AQ112" s="211" t="s">
        <v>367</v>
      </c>
      <c r="AR112" s="212"/>
      <c r="AS112" s="212"/>
      <c r="AT112" s="212"/>
      <c r="AU112" s="212"/>
      <c r="AV112" s="212"/>
      <c r="AW112" s="212"/>
      <c r="AX112" s="290"/>
      <c r="AY112" s="181"/>
      <c r="AZ112" s="181"/>
      <c r="BA112" s="223"/>
      <c r="BB112" s="212"/>
      <c r="BC112" s="10" t="s">
        <v>3783</v>
      </c>
      <c r="BD112" s="248"/>
      <c r="BE112" s="239"/>
      <c r="BF112" s="239"/>
      <c r="BG112" s="239"/>
      <c r="BH112" s="239"/>
      <c r="BI112" s="239"/>
      <c r="BJ112" s="239"/>
      <c r="BK112" s="239"/>
      <c r="BL112" s="239"/>
      <c r="BM112" s="239"/>
      <c r="BN112" s="239"/>
      <c r="BO112" s="239"/>
      <c r="BP112" s="239"/>
      <c r="BQ112" s="239"/>
      <c r="BR112" s="239"/>
      <c r="BS112" s="239"/>
      <c r="BT112" s="239"/>
      <c r="BU112" s="239"/>
      <c r="BV112" s="239"/>
      <c r="BW112" s="239"/>
      <c r="BX112" s="239"/>
      <c r="BY112" s="239"/>
      <c r="BZ112" s="239"/>
      <c r="CA112" s="239"/>
      <c r="CB112" s="239"/>
      <c r="CC112" s="239"/>
      <c r="CD112" s="239"/>
      <c r="CE112" s="239"/>
    </row>
    <row r="113" spans="1:83" s="50" customFormat="1" ht="18" customHeight="1">
      <c r="A113" s="171" t="s">
        <v>3930</v>
      </c>
      <c r="B113" s="171"/>
      <c r="C113" s="171"/>
      <c r="D113" s="69"/>
      <c r="E113" s="69"/>
      <c r="F113" s="69"/>
      <c r="G113" s="70"/>
      <c r="H113" s="70"/>
      <c r="I113" s="70"/>
      <c r="J113" s="70"/>
      <c r="K113" s="70"/>
      <c r="L113" s="69"/>
      <c r="M113" s="69"/>
      <c r="N113" s="69"/>
      <c r="O113" s="69"/>
      <c r="P113" s="69"/>
      <c r="Q113" s="69"/>
      <c r="R113" s="69"/>
      <c r="S113" s="69"/>
      <c r="T113" s="69"/>
      <c r="U113" s="69"/>
      <c r="V113" s="69"/>
      <c r="W113" s="320"/>
      <c r="X113" s="321"/>
      <c r="Y113" s="321"/>
      <c r="Z113" s="322"/>
      <c r="AA113" s="322"/>
      <c r="AB113" s="322"/>
      <c r="AC113" s="322"/>
      <c r="AD113" s="322"/>
      <c r="AE113" s="322"/>
      <c r="AF113" s="322"/>
      <c r="AG113" s="322"/>
      <c r="AH113" s="322"/>
      <c r="AI113" s="322"/>
      <c r="AJ113" s="47" t="b">
        <v>0</v>
      </c>
      <c r="AK113" s="47"/>
      <c r="AL113" s="47"/>
      <c r="AM113" s="47"/>
      <c r="AN113" s="47"/>
      <c r="AO113" s="47"/>
      <c r="AP113" s="47"/>
      <c r="AQ113" s="332"/>
      <c r="AR113" s="332"/>
      <c r="AS113" s="333"/>
      <c r="AT113" s="333"/>
      <c r="AU113" s="333"/>
      <c r="AV113" s="333"/>
      <c r="AW113" s="333"/>
      <c r="AX113" s="333"/>
      <c r="AY113" s="333"/>
      <c r="AZ113" s="333"/>
      <c r="BA113" s="333"/>
      <c r="BB113" s="334" t="s">
        <v>49</v>
      </c>
      <c r="BC113" s="314"/>
      <c r="BD113" s="184"/>
      <c r="BE113" s="243"/>
      <c r="BF113" s="243"/>
      <c r="BG113" s="243"/>
      <c r="BH113" s="243"/>
      <c r="BI113" s="243"/>
      <c r="BJ113" s="243"/>
      <c r="BK113" s="243"/>
      <c r="BL113" s="243"/>
      <c r="BM113" s="243"/>
      <c r="BN113" s="243"/>
      <c r="BO113" s="243"/>
      <c r="BP113" s="243"/>
      <c r="BQ113" s="243"/>
      <c r="BR113" s="243"/>
      <c r="BS113" s="243"/>
      <c r="BT113" s="243"/>
      <c r="BU113" s="243"/>
      <c r="BV113" s="243"/>
      <c r="BW113" s="243"/>
      <c r="BX113" s="243"/>
      <c r="BY113" s="243"/>
      <c r="BZ113" s="243"/>
      <c r="CA113" s="243"/>
      <c r="CB113" s="243"/>
      <c r="CC113" s="243"/>
      <c r="CD113" s="243"/>
      <c r="CE113" s="243"/>
    </row>
    <row r="114" spans="1:83" ht="12.95" customHeight="1">
      <c r="A114" s="1"/>
      <c r="B114" s="1"/>
      <c r="C114" s="51" t="s">
        <v>3931</v>
      </c>
      <c r="D114" s="52" t="s">
        <v>3591</v>
      </c>
      <c r="E114" s="339" t="s">
        <v>3932</v>
      </c>
      <c r="F114" s="53" t="s">
        <v>3933</v>
      </c>
      <c r="G114" s="180" t="s">
        <v>1429</v>
      </c>
      <c r="H114" s="180" t="s">
        <v>3931</v>
      </c>
      <c r="I114" s="55" t="s">
        <v>1429</v>
      </c>
      <c r="J114" s="55" t="s">
        <v>1429</v>
      </c>
      <c r="K114" s="55" t="s">
        <v>1429</v>
      </c>
      <c r="L114" s="55" t="s">
        <v>1429</v>
      </c>
      <c r="M114" s="55" t="s">
        <v>1581</v>
      </c>
      <c r="N114" s="55" t="s">
        <v>1429</v>
      </c>
      <c r="O114" s="55" t="s">
        <v>1429</v>
      </c>
      <c r="P114" s="55" t="s">
        <v>1429</v>
      </c>
      <c r="Q114" s="52" t="s">
        <v>3930</v>
      </c>
      <c r="R114" s="52" t="s">
        <v>113</v>
      </c>
      <c r="S114" s="52" t="s">
        <v>99</v>
      </c>
      <c r="T114" s="52" t="s">
        <v>100</v>
      </c>
      <c r="U114" s="57" t="s">
        <v>113</v>
      </c>
      <c r="V114" s="113" t="s">
        <v>3934</v>
      </c>
      <c r="W114" s="329" t="s">
        <v>3935</v>
      </c>
      <c r="X114" s="330" t="s">
        <v>1429</v>
      </c>
      <c r="Y114" s="330" t="s">
        <v>1429</v>
      </c>
      <c r="Z114" s="331" t="s">
        <v>3936</v>
      </c>
      <c r="AA114" s="331" t="s">
        <v>3937</v>
      </c>
      <c r="AB114" s="331" t="s">
        <v>3938</v>
      </c>
      <c r="AC114" s="331">
        <v>0</v>
      </c>
      <c r="AD114" s="331" t="s">
        <v>3930</v>
      </c>
      <c r="AE114" s="331"/>
      <c r="AF114" s="331" t="s">
        <v>3836</v>
      </c>
      <c r="AG114" s="331" t="s">
        <v>3836</v>
      </c>
      <c r="AH114" s="331" t="s">
        <v>3877</v>
      </c>
      <c r="AI114" s="331" t="s">
        <v>1476</v>
      </c>
      <c r="AJ114" s="312" t="b">
        <v>1</v>
      </c>
      <c r="AK114" s="312" t="b">
        <v>1</v>
      </c>
      <c r="AL114" s="312" t="b">
        <v>1</v>
      </c>
      <c r="AM114" s="312" t="b">
        <v>1</v>
      </c>
      <c r="AN114" s="312" t="b">
        <v>1</v>
      </c>
      <c r="AO114" s="312" t="b">
        <v>1</v>
      </c>
      <c r="AP114" s="61" t="s">
        <v>3838</v>
      </c>
      <c r="AQ114" s="335" t="s">
        <v>3931</v>
      </c>
      <c r="AR114" s="336" t="s">
        <v>3495</v>
      </c>
      <c r="AS114" s="337" t="s">
        <v>1429</v>
      </c>
      <c r="AT114" s="338"/>
      <c r="AU114" s="338"/>
      <c r="AV114" s="338"/>
      <c r="AW114" s="338"/>
      <c r="AX114" s="338"/>
      <c r="AY114" s="337" t="s">
        <v>1429</v>
      </c>
      <c r="AZ114" s="337" t="s">
        <v>1429</v>
      </c>
      <c r="BA114" s="338" t="s">
        <v>1429</v>
      </c>
      <c r="BB114" s="338"/>
      <c r="BC114" s="181" t="s">
        <v>3931</v>
      </c>
      <c r="BD114" s="313"/>
      <c r="BE114" s="239"/>
      <c r="BF114" s="239"/>
      <c r="BG114" s="239"/>
      <c r="BH114" s="239"/>
      <c r="BI114" s="239"/>
      <c r="BJ114" s="239"/>
      <c r="BK114" s="239"/>
      <c r="BL114" s="239"/>
      <c r="BM114" s="239"/>
      <c r="BN114" s="239"/>
      <c r="BO114" s="239"/>
      <c r="BP114" s="239"/>
      <c r="BQ114" s="239"/>
      <c r="BR114" s="239"/>
      <c r="BS114" s="239"/>
      <c r="BT114" s="239"/>
      <c r="BU114" s="239"/>
      <c r="BV114" s="239"/>
      <c r="BW114" s="239"/>
      <c r="BX114" s="239"/>
      <c r="BY114" s="239"/>
      <c r="BZ114" s="239"/>
      <c r="CA114" s="239"/>
      <c r="CB114" s="239"/>
      <c r="CC114" s="239"/>
      <c r="CD114" s="239"/>
      <c r="CE114" s="239"/>
    </row>
    <row r="115" spans="1:83" ht="12.95" customHeight="1">
      <c r="A115" s="1"/>
      <c r="B115" s="1"/>
      <c r="C115" s="51" t="s">
        <v>3939</v>
      </c>
      <c r="D115" s="52" t="s">
        <v>3592</v>
      </c>
      <c r="E115" s="58" t="s">
        <v>3940</v>
      </c>
      <c r="F115" s="53" t="s">
        <v>3941</v>
      </c>
      <c r="G115" s="180" t="s">
        <v>1429</v>
      </c>
      <c r="H115" s="180" t="s">
        <v>3939</v>
      </c>
      <c r="I115" s="55" t="s">
        <v>1429</v>
      </c>
      <c r="J115" s="55" t="s">
        <v>1429</v>
      </c>
      <c r="K115" s="55" t="s">
        <v>1429</v>
      </c>
      <c r="L115" s="55" t="s">
        <v>1429</v>
      </c>
      <c r="M115" s="55" t="s">
        <v>1580</v>
      </c>
      <c r="N115" s="55" t="s">
        <v>1429</v>
      </c>
      <c r="O115" s="55" t="s">
        <v>1429</v>
      </c>
      <c r="P115" s="55" t="s">
        <v>1429</v>
      </c>
      <c r="Q115" s="52" t="s">
        <v>3930</v>
      </c>
      <c r="R115" s="52" t="s">
        <v>113</v>
      </c>
      <c r="S115" s="52" t="s">
        <v>99</v>
      </c>
      <c r="T115" s="52" t="s">
        <v>100</v>
      </c>
      <c r="U115" s="57" t="s">
        <v>113</v>
      </c>
      <c r="V115" s="113" t="s">
        <v>3942</v>
      </c>
      <c r="W115" s="329" t="s">
        <v>3935</v>
      </c>
      <c r="X115" s="330" t="s">
        <v>1429</v>
      </c>
      <c r="Y115" s="330" t="s">
        <v>1429</v>
      </c>
      <c r="Z115" s="331" t="s">
        <v>3936</v>
      </c>
      <c r="AA115" s="331" t="s">
        <v>3937</v>
      </c>
      <c r="AB115" s="331" t="s">
        <v>3938</v>
      </c>
      <c r="AC115" s="331" t="s">
        <v>1674</v>
      </c>
      <c r="AD115" s="331" t="s">
        <v>3930</v>
      </c>
      <c r="AE115" s="331" t="s">
        <v>3943</v>
      </c>
      <c r="AF115" s="331" t="s">
        <v>3919</v>
      </c>
      <c r="AG115" s="331" t="s">
        <v>3836</v>
      </c>
      <c r="AH115" s="331" t="s">
        <v>3877</v>
      </c>
      <c r="AI115" s="331" t="s">
        <v>1476</v>
      </c>
      <c r="AJ115" s="312" t="b">
        <v>1</v>
      </c>
      <c r="AK115" s="312" t="b">
        <v>1</v>
      </c>
      <c r="AL115" s="312" t="b">
        <v>1</v>
      </c>
      <c r="AM115" s="312" t="b">
        <v>1</v>
      </c>
      <c r="AN115" s="312" t="b">
        <v>1</v>
      </c>
      <c r="AO115" s="312" t="b">
        <v>1</v>
      </c>
      <c r="AP115" s="61" t="s">
        <v>3838</v>
      </c>
      <c r="AQ115" s="335" t="s">
        <v>3939</v>
      </c>
      <c r="AR115" s="336" t="s">
        <v>3501</v>
      </c>
      <c r="AS115" s="337" t="s">
        <v>1429</v>
      </c>
      <c r="AT115" s="338"/>
      <c r="AU115" s="338"/>
      <c r="AV115" s="338"/>
      <c r="AW115" s="338"/>
      <c r="AX115" s="338"/>
      <c r="AY115" s="337" t="s">
        <v>1429</v>
      </c>
      <c r="AZ115" s="337" t="s">
        <v>1429</v>
      </c>
      <c r="BA115" s="338" t="s">
        <v>1429</v>
      </c>
      <c r="BB115" s="338"/>
      <c r="BC115" s="181" t="s">
        <v>3939</v>
      </c>
      <c r="BD115" s="313"/>
      <c r="BE115" s="239"/>
      <c r="BF115" s="239"/>
      <c r="BG115" s="239"/>
      <c r="BH115" s="239"/>
      <c r="BI115" s="239"/>
      <c r="BJ115" s="239"/>
      <c r="BK115" s="239"/>
      <c r="BL115" s="239"/>
      <c r="BM115" s="239"/>
      <c r="BN115" s="239"/>
      <c r="BO115" s="239"/>
      <c r="BP115" s="239"/>
      <c r="BQ115" s="239"/>
      <c r="BR115" s="239"/>
      <c r="BS115" s="239"/>
      <c r="BT115" s="239"/>
      <c r="BU115" s="239"/>
      <c r="BV115" s="239"/>
      <c r="BW115" s="239"/>
      <c r="BX115" s="239"/>
      <c r="BY115" s="239"/>
      <c r="BZ115" s="239"/>
      <c r="CA115" s="239"/>
      <c r="CB115" s="239"/>
      <c r="CC115" s="239"/>
      <c r="CD115" s="239"/>
      <c r="CE115" s="239"/>
    </row>
    <row r="116" spans="1:83" ht="12.95" customHeight="1">
      <c r="A116" s="1"/>
      <c r="B116" s="1"/>
      <c r="C116" s="51" t="s">
        <v>3944</v>
      </c>
      <c r="D116" s="52" t="s">
        <v>3945</v>
      </c>
      <c r="E116" s="58" t="s">
        <v>1885</v>
      </c>
      <c r="F116" s="53" t="s">
        <v>3946</v>
      </c>
      <c r="G116" s="180" t="s">
        <v>1429</v>
      </c>
      <c r="H116" s="180" t="s">
        <v>3944</v>
      </c>
      <c r="I116" s="55" t="s">
        <v>1429</v>
      </c>
      <c r="J116" s="55" t="s">
        <v>1429</v>
      </c>
      <c r="K116" s="55" t="s">
        <v>1429</v>
      </c>
      <c r="L116" s="55" t="s">
        <v>1429</v>
      </c>
      <c r="M116" s="55" t="s">
        <v>1580</v>
      </c>
      <c r="N116" s="55" t="s">
        <v>1429</v>
      </c>
      <c r="O116" s="55" t="s">
        <v>1429</v>
      </c>
      <c r="P116" s="55" t="s">
        <v>1429</v>
      </c>
      <c r="Q116" s="52" t="s">
        <v>3930</v>
      </c>
      <c r="R116" s="52" t="s">
        <v>113</v>
      </c>
      <c r="S116" s="52" t="s">
        <v>99</v>
      </c>
      <c r="T116" s="52" t="s">
        <v>100</v>
      </c>
      <c r="U116" s="57" t="s">
        <v>113</v>
      </c>
      <c r="V116" s="113" t="s">
        <v>3947</v>
      </c>
      <c r="W116" s="329" t="s">
        <v>3935</v>
      </c>
      <c r="X116" s="330" t="s">
        <v>1429</v>
      </c>
      <c r="Y116" s="330" t="s">
        <v>1429</v>
      </c>
      <c r="Z116" s="331" t="s">
        <v>3936</v>
      </c>
      <c r="AA116" s="331" t="s">
        <v>3937</v>
      </c>
      <c r="AB116" s="331" t="s">
        <v>3938</v>
      </c>
      <c r="AC116" s="331" t="s">
        <v>1674</v>
      </c>
      <c r="AD116" s="331" t="s">
        <v>3930</v>
      </c>
      <c r="AE116" s="331" t="s">
        <v>3943</v>
      </c>
      <c r="AF116" s="331" t="s">
        <v>3919</v>
      </c>
      <c r="AG116" s="331" t="s">
        <v>3836</v>
      </c>
      <c r="AH116" s="331" t="s">
        <v>3877</v>
      </c>
      <c r="AI116" s="331" t="s">
        <v>1476</v>
      </c>
      <c r="AJ116" s="312" t="b">
        <v>1</v>
      </c>
      <c r="AK116" s="312" t="b">
        <v>1</v>
      </c>
      <c r="AL116" s="312" t="b">
        <v>1</v>
      </c>
      <c r="AM116" s="312" t="b">
        <v>1</v>
      </c>
      <c r="AN116" s="312" t="b">
        <v>1</v>
      </c>
      <c r="AO116" s="312" t="b">
        <v>1</v>
      </c>
      <c r="AP116" s="61" t="s">
        <v>3838</v>
      </c>
      <c r="AQ116" s="335" t="s">
        <v>3944</v>
      </c>
      <c r="AR116" s="336" t="s">
        <v>3501</v>
      </c>
      <c r="AS116" s="337" t="s">
        <v>3497</v>
      </c>
      <c r="AT116" s="338"/>
      <c r="AU116" s="338"/>
      <c r="AV116" s="338"/>
      <c r="AW116" s="338"/>
      <c r="AX116" s="338"/>
      <c r="AY116" s="337" t="s">
        <v>1429</v>
      </c>
      <c r="AZ116" s="337" t="s">
        <v>1429</v>
      </c>
      <c r="BA116" s="338" t="s">
        <v>1429</v>
      </c>
      <c r="BB116" s="338"/>
      <c r="BC116" s="181" t="s">
        <v>3944</v>
      </c>
      <c r="BD116" s="313"/>
      <c r="BE116" s="239"/>
      <c r="BF116" s="239"/>
      <c r="BG116" s="239"/>
      <c r="BH116" s="239"/>
      <c r="BI116" s="239"/>
      <c r="BJ116" s="239"/>
      <c r="BK116" s="239"/>
      <c r="BL116" s="239"/>
      <c r="BM116" s="239"/>
      <c r="BN116" s="239"/>
      <c r="BO116" s="239"/>
      <c r="BP116" s="239"/>
      <c r="BQ116" s="239"/>
      <c r="BR116" s="239"/>
      <c r="BS116" s="239"/>
      <c r="BT116" s="239"/>
      <c r="BU116" s="239"/>
      <c r="BV116" s="239"/>
      <c r="BW116" s="239"/>
      <c r="BX116" s="239"/>
      <c r="BY116" s="239"/>
      <c r="BZ116" s="239"/>
      <c r="CA116" s="239"/>
      <c r="CB116" s="239"/>
      <c r="CC116" s="239"/>
      <c r="CD116" s="239"/>
      <c r="CE116" s="239"/>
    </row>
    <row r="117" spans="1:83" ht="12.95" customHeight="1">
      <c r="A117" s="1"/>
      <c r="B117" s="1"/>
      <c r="C117" s="51" t="s">
        <v>3948</v>
      </c>
      <c r="D117" s="52" t="s">
        <v>3949</v>
      </c>
      <c r="E117" s="58" t="s">
        <v>3950</v>
      </c>
      <c r="F117" s="53" t="s">
        <v>3951</v>
      </c>
      <c r="G117" s="180" t="s">
        <v>1429</v>
      </c>
      <c r="H117" s="180" t="s">
        <v>3948</v>
      </c>
      <c r="I117" s="55" t="s">
        <v>1429</v>
      </c>
      <c r="J117" s="55" t="s">
        <v>1429</v>
      </c>
      <c r="K117" s="55" t="s">
        <v>1429</v>
      </c>
      <c r="L117" s="55" t="s">
        <v>1429</v>
      </c>
      <c r="M117" s="55" t="s">
        <v>1580</v>
      </c>
      <c r="N117" s="55" t="s">
        <v>1429</v>
      </c>
      <c r="O117" s="55" t="s">
        <v>1429</v>
      </c>
      <c r="P117" s="55" t="s">
        <v>1429</v>
      </c>
      <c r="Q117" s="52" t="s">
        <v>3930</v>
      </c>
      <c r="R117" s="52" t="s">
        <v>113</v>
      </c>
      <c r="S117" s="52" t="s">
        <v>99</v>
      </c>
      <c r="T117" s="52" t="s">
        <v>100</v>
      </c>
      <c r="U117" s="57" t="s">
        <v>113</v>
      </c>
      <c r="V117" s="113" t="s">
        <v>3952</v>
      </c>
      <c r="W117" s="329" t="s">
        <v>3935</v>
      </c>
      <c r="X117" s="330" t="s">
        <v>3953</v>
      </c>
      <c r="Y117" s="330" t="s">
        <v>1429</v>
      </c>
      <c r="Z117" s="331" t="s">
        <v>3936</v>
      </c>
      <c r="AA117" s="331" t="s">
        <v>3937</v>
      </c>
      <c r="AB117" s="331" t="s">
        <v>3938</v>
      </c>
      <c r="AC117" s="331" t="s">
        <v>1674</v>
      </c>
      <c r="AD117" s="331" t="s">
        <v>3930</v>
      </c>
      <c r="AE117" s="331" t="s">
        <v>3943</v>
      </c>
      <c r="AF117" s="331" t="s">
        <v>3919</v>
      </c>
      <c r="AG117" s="331" t="s">
        <v>3836</v>
      </c>
      <c r="AH117" s="331" t="s">
        <v>3877</v>
      </c>
      <c r="AI117" s="331" t="s">
        <v>1476</v>
      </c>
      <c r="AJ117" s="312" t="b">
        <v>1</v>
      </c>
      <c r="AK117" s="312" t="b">
        <v>1</v>
      </c>
      <c r="AL117" s="312" t="b">
        <v>1</v>
      </c>
      <c r="AM117" s="312" t="b">
        <v>1</v>
      </c>
      <c r="AN117" s="312" t="b">
        <v>1</v>
      </c>
      <c r="AO117" s="312" t="b">
        <v>1</v>
      </c>
      <c r="AP117" s="61" t="s">
        <v>3838</v>
      </c>
      <c r="AQ117" s="335" t="s">
        <v>3948</v>
      </c>
      <c r="AR117" s="336" t="s">
        <v>3501</v>
      </c>
      <c r="AS117" s="337" t="s">
        <v>3497</v>
      </c>
      <c r="AT117" s="337" t="s">
        <v>104</v>
      </c>
      <c r="AU117" s="338"/>
      <c r="AV117" s="338"/>
      <c r="AW117" s="338"/>
      <c r="AX117" s="338"/>
      <c r="AY117" s="337" t="s">
        <v>1429</v>
      </c>
      <c r="AZ117" s="337" t="s">
        <v>1429</v>
      </c>
      <c r="BA117" s="338" t="s">
        <v>1429</v>
      </c>
      <c r="BB117" s="338"/>
      <c r="BC117" s="181" t="s">
        <v>3948</v>
      </c>
      <c r="BD117" s="313"/>
      <c r="BE117" s="239"/>
      <c r="BF117" s="239"/>
      <c r="BG117" s="239"/>
      <c r="BH117" s="239"/>
      <c r="BI117" s="239"/>
      <c r="BJ117" s="239"/>
      <c r="BK117" s="239"/>
      <c r="BL117" s="239"/>
      <c r="BM117" s="239"/>
      <c r="BN117" s="239"/>
      <c r="BO117" s="239"/>
      <c r="BP117" s="239"/>
      <c r="BQ117" s="239"/>
      <c r="BR117" s="239"/>
      <c r="BS117" s="239"/>
      <c r="BT117" s="239"/>
      <c r="BU117" s="239"/>
      <c r="BV117" s="239"/>
      <c r="BW117" s="239"/>
      <c r="BX117" s="239"/>
      <c r="BY117" s="239"/>
      <c r="BZ117" s="239"/>
      <c r="CA117" s="239"/>
      <c r="CB117" s="239"/>
      <c r="CC117" s="239"/>
      <c r="CD117" s="239"/>
      <c r="CE117" s="239"/>
    </row>
    <row r="118" spans="1:83" ht="12.95" customHeight="1">
      <c r="A118" s="1"/>
      <c r="B118" s="1"/>
      <c r="C118" s="51" t="s">
        <v>3954</v>
      </c>
      <c r="D118" s="52" t="s">
        <v>3955</v>
      </c>
      <c r="E118" s="58" t="s">
        <v>3592</v>
      </c>
      <c r="F118" s="53" t="s">
        <v>3956</v>
      </c>
      <c r="G118" s="180" t="s">
        <v>1429</v>
      </c>
      <c r="H118" s="180" t="s">
        <v>3954</v>
      </c>
      <c r="I118" s="55" t="s">
        <v>1429</v>
      </c>
      <c r="J118" s="55" t="s">
        <v>1429</v>
      </c>
      <c r="K118" s="55" t="s">
        <v>1429</v>
      </c>
      <c r="L118" s="55" t="s">
        <v>1429</v>
      </c>
      <c r="M118" s="55" t="s">
        <v>1580</v>
      </c>
      <c r="N118" s="55" t="s">
        <v>1429</v>
      </c>
      <c r="O118" s="55" t="s">
        <v>1429</v>
      </c>
      <c r="P118" s="55" t="s">
        <v>1429</v>
      </c>
      <c r="Q118" s="52" t="s">
        <v>3930</v>
      </c>
      <c r="R118" s="52" t="s">
        <v>113</v>
      </c>
      <c r="S118" s="52" t="s">
        <v>99</v>
      </c>
      <c r="T118" s="52" t="s">
        <v>100</v>
      </c>
      <c r="U118" s="57" t="s">
        <v>113</v>
      </c>
      <c r="V118" s="113" t="s">
        <v>3957</v>
      </c>
      <c r="W118" s="329" t="s">
        <v>3935</v>
      </c>
      <c r="X118" s="330" t="s">
        <v>1429</v>
      </c>
      <c r="Y118" s="330" t="s">
        <v>1429</v>
      </c>
      <c r="Z118" s="331" t="s">
        <v>3936</v>
      </c>
      <c r="AA118" s="331" t="s">
        <v>3937</v>
      </c>
      <c r="AB118" s="331" t="s">
        <v>3938</v>
      </c>
      <c r="AC118" s="331" t="s">
        <v>1674</v>
      </c>
      <c r="AD118" s="331" t="s">
        <v>3930</v>
      </c>
      <c r="AE118" s="331" t="s">
        <v>3943</v>
      </c>
      <c r="AF118" s="331" t="s">
        <v>3919</v>
      </c>
      <c r="AG118" s="331" t="s">
        <v>3836</v>
      </c>
      <c r="AH118" s="331" t="s">
        <v>3877</v>
      </c>
      <c r="AI118" s="331" t="s">
        <v>1476</v>
      </c>
      <c r="AJ118" s="312" t="b">
        <v>1</v>
      </c>
      <c r="AK118" s="312" t="b">
        <v>1</v>
      </c>
      <c r="AL118" s="312" t="b">
        <v>1</v>
      </c>
      <c r="AM118" s="312" t="b">
        <v>1</v>
      </c>
      <c r="AN118" s="312" t="b">
        <v>1</v>
      </c>
      <c r="AO118" s="312" t="b">
        <v>1</v>
      </c>
      <c r="AP118" s="61" t="s">
        <v>3838</v>
      </c>
      <c r="AQ118" s="335" t="s">
        <v>3954</v>
      </c>
      <c r="AR118" s="336" t="s">
        <v>3501</v>
      </c>
      <c r="AS118" s="337" t="s">
        <v>3497</v>
      </c>
      <c r="AT118" s="338"/>
      <c r="AU118" s="338"/>
      <c r="AV118" s="338"/>
      <c r="AW118" s="338"/>
      <c r="AX118" s="338"/>
      <c r="AY118" s="337" t="s">
        <v>1429</v>
      </c>
      <c r="AZ118" s="337" t="s">
        <v>1429</v>
      </c>
      <c r="BA118" s="338" t="s">
        <v>1429</v>
      </c>
      <c r="BB118" s="338"/>
      <c r="BC118" s="181" t="s">
        <v>3954</v>
      </c>
      <c r="BD118" s="313"/>
      <c r="BE118" s="239"/>
      <c r="BF118" s="239"/>
      <c r="BG118" s="239"/>
      <c r="BH118" s="239"/>
      <c r="BI118" s="239"/>
      <c r="BJ118" s="239"/>
      <c r="BK118" s="239"/>
      <c r="BL118" s="239"/>
      <c r="BM118" s="239"/>
      <c r="BN118" s="239"/>
      <c r="BO118" s="239"/>
      <c r="BP118" s="239"/>
      <c r="BQ118" s="239"/>
      <c r="BR118" s="239"/>
      <c r="BS118" s="239"/>
      <c r="BT118" s="239"/>
      <c r="BU118" s="239"/>
      <c r="BV118" s="239"/>
      <c r="BW118" s="239"/>
      <c r="BX118" s="239"/>
      <c r="BY118" s="239"/>
      <c r="BZ118" s="239"/>
      <c r="CA118" s="239"/>
      <c r="CB118" s="239"/>
      <c r="CC118" s="239"/>
      <c r="CD118" s="239"/>
      <c r="CE118" s="239"/>
    </row>
    <row r="119" spans="1:83" ht="12.95" customHeight="1">
      <c r="A119" s="1"/>
      <c r="B119" s="1"/>
      <c r="C119" s="51" t="s">
        <v>3958</v>
      </c>
      <c r="D119" s="52" t="s">
        <v>3769</v>
      </c>
      <c r="E119" s="58" t="s">
        <v>3585</v>
      </c>
      <c r="F119" s="53" t="s">
        <v>3959</v>
      </c>
      <c r="G119" s="180" t="s">
        <v>1429</v>
      </c>
      <c r="H119" s="180" t="s">
        <v>3958</v>
      </c>
      <c r="I119" s="55" t="s">
        <v>1429</v>
      </c>
      <c r="J119" s="55" t="s">
        <v>1429</v>
      </c>
      <c r="K119" s="55" t="s">
        <v>1429</v>
      </c>
      <c r="L119" s="55" t="s">
        <v>1429</v>
      </c>
      <c r="M119" s="55" t="s">
        <v>1580</v>
      </c>
      <c r="N119" s="55" t="s">
        <v>1429</v>
      </c>
      <c r="O119" s="55" t="s">
        <v>1429</v>
      </c>
      <c r="P119" s="55" t="s">
        <v>1429</v>
      </c>
      <c r="Q119" s="52" t="s">
        <v>3930</v>
      </c>
      <c r="R119" s="52" t="s">
        <v>113</v>
      </c>
      <c r="S119" s="52" t="s">
        <v>99</v>
      </c>
      <c r="T119" s="52" t="s">
        <v>100</v>
      </c>
      <c r="U119" s="57" t="s">
        <v>113</v>
      </c>
      <c r="V119" s="113" t="s">
        <v>3960</v>
      </c>
      <c r="W119" s="329" t="s">
        <v>3935</v>
      </c>
      <c r="X119" s="330" t="s">
        <v>1429</v>
      </c>
      <c r="Y119" s="330" t="s">
        <v>1429</v>
      </c>
      <c r="Z119" s="331" t="s">
        <v>3936</v>
      </c>
      <c r="AA119" s="331" t="s">
        <v>3937</v>
      </c>
      <c r="AB119" s="331" t="s">
        <v>3938</v>
      </c>
      <c r="AC119" s="331" t="s">
        <v>1674</v>
      </c>
      <c r="AD119" s="331" t="s">
        <v>3930</v>
      </c>
      <c r="AE119" s="331" t="s">
        <v>3943</v>
      </c>
      <c r="AF119" s="331" t="s">
        <v>3919</v>
      </c>
      <c r="AG119" s="331" t="s">
        <v>3836</v>
      </c>
      <c r="AH119" s="331" t="s">
        <v>3877</v>
      </c>
      <c r="AI119" s="331" t="s">
        <v>1476</v>
      </c>
      <c r="AJ119" s="312" t="b">
        <v>1</v>
      </c>
      <c r="AK119" s="312" t="b">
        <v>1</v>
      </c>
      <c r="AL119" s="312" t="b">
        <v>1</v>
      </c>
      <c r="AM119" s="312" t="b">
        <v>1</v>
      </c>
      <c r="AN119" s="312" t="b">
        <v>1</v>
      </c>
      <c r="AO119" s="312" t="b">
        <v>1</v>
      </c>
      <c r="AP119" s="61" t="s">
        <v>3838</v>
      </c>
      <c r="AQ119" s="335" t="s">
        <v>3958</v>
      </c>
      <c r="AR119" s="336" t="s">
        <v>3501</v>
      </c>
      <c r="AS119" s="337" t="s">
        <v>3497</v>
      </c>
      <c r="AT119" s="338"/>
      <c r="AU119" s="338"/>
      <c r="AV119" s="338"/>
      <c r="AW119" s="338"/>
      <c r="AX119" s="338"/>
      <c r="AY119" s="337" t="s">
        <v>1429</v>
      </c>
      <c r="AZ119" s="337" t="s">
        <v>1429</v>
      </c>
      <c r="BA119" s="338" t="s">
        <v>1429</v>
      </c>
      <c r="BB119" s="338"/>
      <c r="BC119" s="181" t="s">
        <v>3958</v>
      </c>
      <c r="BD119" s="313"/>
      <c r="BE119" s="239"/>
      <c r="BF119" s="239"/>
      <c r="BG119" s="239"/>
      <c r="BH119" s="239"/>
      <c r="BI119" s="239"/>
      <c r="BJ119" s="239"/>
      <c r="BK119" s="239"/>
      <c r="BL119" s="239"/>
      <c r="BM119" s="239"/>
      <c r="BN119" s="239"/>
      <c r="BO119" s="239"/>
      <c r="BP119" s="239"/>
      <c r="BQ119" s="239"/>
      <c r="BR119" s="239"/>
      <c r="BS119" s="239"/>
      <c r="BT119" s="239"/>
      <c r="BU119" s="239"/>
      <c r="BV119" s="239"/>
      <c r="BW119" s="239"/>
      <c r="BX119" s="239"/>
      <c r="BY119" s="239"/>
      <c r="BZ119" s="239"/>
      <c r="CA119" s="239"/>
      <c r="CB119" s="239"/>
      <c r="CC119" s="239"/>
      <c r="CD119" s="239"/>
      <c r="CE119" s="239"/>
    </row>
    <row r="120" spans="1:83" ht="12.95" customHeight="1">
      <c r="A120" s="1"/>
      <c r="B120" s="1"/>
      <c r="C120" s="51" t="s">
        <v>3961</v>
      </c>
      <c r="D120" s="52" t="s">
        <v>3962</v>
      </c>
      <c r="E120" s="58" t="s">
        <v>3586</v>
      </c>
      <c r="F120" s="53" t="s">
        <v>3963</v>
      </c>
      <c r="G120" s="180" t="s">
        <v>1429</v>
      </c>
      <c r="H120" s="180" t="s">
        <v>3961</v>
      </c>
      <c r="I120" s="55" t="s">
        <v>1429</v>
      </c>
      <c r="J120" s="55" t="s">
        <v>1429</v>
      </c>
      <c r="K120" s="55" t="s">
        <v>1429</v>
      </c>
      <c r="L120" s="55" t="s">
        <v>1429</v>
      </c>
      <c r="M120" s="55" t="s">
        <v>1580</v>
      </c>
      <c r="N120" s="55" t="s">
        <v>1429</v>
      </c>
      <c r="O120" s="55" t="s">
        <v>1429</v>
      </c>
      <c r="P120" s="55" t="s">
        <v>1429</v>
      </c>
      <c r="Q120" s="52" t="s">
        <v>3930</v>
      </c>
      <c r="R120" s="52" t="s">
        <v>113</v>
      </c>
      <c r="S120" s="52" t="s">
        <v>99</v>
      </c>
      <c r="T120" s="52" t="s">
        <v>100</v>
      </c>
      <c r="U120" s="57" t="s">
        <v>113</v>
      </c>
      <c r="V120" s="113" t="s">
        <v>3964</v>
      </c>
      <c r="W120" s="329" t="s">
        <v>3935</v>
      </c>
      <c r="X120" s="330" t="s">
        <v>1429</v>
      </c>
      <c r="Y120" s="330" t="s">
        <v>1429</v>
      </c>
      <c r="Z120" s="331" t="s">
        <v>3936</v>
      </c>
      <c r="AA120" s="331" t="s">
        <v>3937</v>
      </c>
      <c r="AB120" s="331" t="s">
        <v>3938</v>
      </c>
      <c r="AC120" s="331" t="s">
        <v>1674</v>
      </c>
      <c r="AD120" s="331" t="s">
        <v>3930</v>
      </c>
      <c r="AE120" s="331" t="s">
        <v>3943</v>
      </c>
      <c r="AF120" s="331" t="s">
        <v>3919</v>
      </c>
      <c r="AG120" s="331" t="s">
        <v>3836</v>
      </c>
      <c r="AH120" s="331" t="s">
        <v>3877</v>
      </c>
      <c r="AI120" s="331" t="s">
        <v>1476</v>
      </c>
      <c r="AJ120" s="312" t="b">
        <v>1</v>
      </c>
      <c r="AK120" s="312" t="b">
        <v>1</v>
      </c>
      <c r="AL120" s="312" t="b">
        <v>1</v>
      </c>
      <c r="AM120" s="312" t="b">
        <v>1</v>
      </c>
      <c r="AN120" s="312" t="b">
        <v>1</v>
      </c>
      <c r="AO120" s="312" t="b">
        <v>1</v>
      </c>
      <c r="AP120" s="61" t="s">
        <v>3838</v>
      </c>
      <c r="AQ120" s="335" t="s">
        <v>3961</v>
      </c>
      <c r="AR120" s="336" t="s">
        <v>3501</v>
      </c>
      <c r="AS120" s="337" t="s">
        <v>3497</v>
      </c>
      <c r="AT120" s="338"/>
      <c r="AU120" s="338"/>
      <c r="AV120" s="338"/>
      <c r="AW120" s="338"/>
      <c r="AX120" s="338"/>
      <c r="AY120" s="337" t="s">
        <v>1429</v>
      </c>
      <c r="AZ120" s="337" t="s">
        <v>1429</v>
      </c>
      <c r="BA120" s="338" t="s">
        <v>1429</v>
      </c>
      <c r="BB120" s="338"/>
      <c r="BC120" s="181" t="s">
        <v>3961</v>
      </c>
      <c r="BD120" s="313"/>
      <c r="BE120" s="239"/>
      <c r="BF120" s="239"/>
      <c r="BG120" s="239"/>
      <c r="BH120" s="239"/>
      <c r="BI120" s="239"/>
      <c r="BJ120" s="239"/>
      <c r="BK120" s="239"/>
      <c r="BL120" s="239"/>
      <c r="BM120" s="239"/>
      <c r="BN120" s="239"/>
      <c r="BO120" s="239"/>
      <c r="BP120" s="239"/>
      <c r="BQ120" s="239"/>
      <c r="BR120" s="239"/>
      <c r="BS120" s="239"/>
      <c r="BT120" s="239"/>
      <c r="BU120" s="239"/>
      <c r="BV120" s="239"/>
      <c r="BW120" s="239"/>
      <c r="BX120" s="239"/>
      <c r="BY120" s="239"/>
      <c r="BZ120" s="239"/>
      <c r="CA120" s="239"/>
      <c r="CB120" s="239"/>
      <c r="CC120" s="239"/>
      <c r="CD120" s="239"/>
      <c r="CE120" s="239"/>
    </row>
    <row r="121" spans="1:83" ht="12.95" customHeight="1">
      <c r="A121" s="1"/>
      <c r="B121" s="1"/>
      <c r="C121" s="51" t="s">
        <v>3965</v>
      </c>
      <c r="D121" s="52" t="s">
        <v>1832</v>
      </c>
      <c r="E121" s="58" t="s">
        <v>3966</v>
      </c>
      <c r="F121" s="53" t="s">
        <v>3967</v>
      </c>
      <c r="G121" s="180" t="s">
        <v>1429</v>
      </c>
      <c r="H121" s="180" t="s">
        <v>3965</v>
      </c>
      <c r="I121" s="55" t="s">
        <v>1429</v>
      </c>
      <c r="J121" s="55" t="s">
        <v>1429</v>
      </c>
      <c r="K121" s="55" t="s">
        <v>1429</v>
      </c>
      <c r="L121" s="55" t="s">
        <v>1429</v>
      </c>
      <c r="M121" s="55" t="s">
        <v>1580</v>
      </c>
      <c r="N121" s="55" t="s">
        <v>1429</v>
      </c>
      <c r="O121" s="55" t="s">
        <v>1429</v>
      </c>
      <c r="P121" s="55" t="s">
        <v>1429</v>
      </c>
      <c r="Q121" s="52" t="s">
        <v>3930</v>
      </c>
      <c r="R121" s="52" t="s">
        <v>113</v>
      </c>
      <c r="S121" s="52" t="s">
        <v>99</v>
      </c>
      <c r="T121" s="52" t="s">
        <v>100</v>
      </c>
      <c r="U121" s="57" t="s">
        <v>113</v>
      </c>
      <c r="V121" s="113" t="s">
        <v>3968</v>
      </c>
      <c r="W121" s="329" t="s">
        <v>3935</v>
      </c>
      <c r="X121" s="330" t="s">
        <v>1429</v>
      </c>
      <c r="Y121" s="330" t="s">
        <v>1429</v>
      </c>
      <c r="Z121" s="331" t="s">
        <v>3936</v>
      </c>
      <c r="AA121" s="331" t="s">
        <v>3937</v>
      </c>
      <c r="AB121" s="331" t="s">
        <v>3938</v>
      </c>
      <c r="AC121" s="331" t="s">
        <v>1674</v>
      </c>
      <c r="AD121" s="331" t="s">
        <v>3930</v>
      </c>
      <c r="AE121" s="331" t="s">
        <v>3943</v>
      </c>
      <c r="AF121" s="331" t="s">
        <v>3919</v>
      </c>
      <c r="AG121" s="331" t="s">
        <v>3836</v>
      </c>
      <c r="AH121" s="331" t="s">
        <v>3877</v>
      </c>
      <c r="AI121" s="331" t="s">
        <v>1476</v>
      </c>
      <c r="AJ121" s="312" t="b">
        <v>1</v>
      </c>
      <c r="AK121" s="312" t="b">
        <v>1</v>
      </c>
      <c r="AL121" s="312" t="b">
        <v>1</v>
      </c>
      <c r="AM121" s="312" t="b">
        <v>1</v>
      </c>
      <c r="AN121" s="312" t="b">
        <v>1</v>
      </c>
      <c r="AO121" s="312" t="b">
        <v>1</v>
      </c>
      <c r="AP121" s="61" t="s">
        <v>3838</v>
      </c>
      <c r="AQ121" s="335" t="s">
        <v>3965</v>
      </c>
      <c r="AR121" s="336" t="s">
        <v>3501</v>
      </c>
      <c r="AS121" s="337" t="s">
        <v>3497</v>
      </c>
      <c r="AT121" s="338"/>
      <c r="AU121" s="338"/>
      <c r="AV121" s="338"/>
      <c r="AW121" s="338"/>
      <c r="AX121" s="338"/>
      <c r="AY121" s="337" t="s">
        <v>1429</v>
      </c>
      <c r="AZ121" s="337" t="s">
        <v>1429</v>
      </c>
      <c r="BA121" s="338" t="s">
        <v>1429</v>
      </c>
      <c r="BB121" s="338"/>
      <c r="BC121" s="181" t="s">
        <v>3965</v>
      </c>
      <c r="BD121" s="313"/>
      <c r="BE121" s="239"/>
      <c r="BF121" s="239"/>
      <c r="BG121" s="239"/>
      <c r="BH121" s="239"/>
      <c r="BI121" s="239"/>
      <c r="BJ121" s="239"/>
      <c r="BK121" s="239"/>
      <c r="BL121" s="239"/>
      <c r="BM121" s="239"/>
      <c r="BN121" s="239"/>
      <c r="BO121" s="239"/>
      <c r="BP121" s="239"/>
      <c r="BQ121" s="239"/>
      <c r="BR121" s="239"/>
      <c r="BS121" s="239"/>
      <c r="BT121" s="239"/>
      <c r="BU121" s="239"/>
      <c r="BV121" s="239"/>
      <c r="BW121" s="239"/>
      <c r="BX121" s="239"/>
      <c r="BY121" s="239"/>
      <c r="BZ121" s="239"/>
      <c r="CA121" s="239"/>
      <c r="CB121" s="239"/>
      <c r="CC121" s="239"/>
      <c r="CD121" s="239"/>
      <c r="CE121" s="239"/>
    </row>
    <row r="122" spans="1:83" ht="12.95" customHeight="1">
      <c r="A122" s="1"/>
      <c r="B122" s="1"/>
      <c r="C122" s="51" t="s">
        <v>3969</v>
      </c>
      <c r="D122" s="52" t="s">
        <v>3585</v>
      </c>
      <c r="E122" s="58" t="s">
        <v>1611</v>
      </c>
      <c r="F122" s="53" t="s">
        <v>3970</v>
      </c>
      <c r="G122" s="180" t="s">
        <v>1429</v>
      </c>
      <c r="H122" s="180" t="s">
        <v>3969</v>
      </c>
      <c r="I122" s="55" t="s">
        <v>1429</v>
      </c>
      <c r="J122" s="55" t="s">
        <v>1429</v>
      </c>
      <c r="K122" s="55" t="s">
        <v>1429</v>
      </c>
      <c r="L122" s="55" t="s">
        <v>1429</v>
      </c>
      <c r="M122" s="55" t="s">
        <v>1580</v>
      </c>
      <c r="N122" s="55" t="s">
        <v>1429</v>
      </c>
      <c r="O122" s="55" t="s">
        <v>1429</v>
      </c>
      <c r="P122" s="55" t="s">
        <v>1429</v>
      </c>
      <c r="Q122" s="52" t="s">
        <v>3930</v>
      </c>
      <c r="R122" s="52" t="s">
        <v>113</v>
      </c>
      <c r="S122" s="52" t="s">
        <v>99</v>
      </c>
      <c r="T122" s="52" t="s">
        <v>100</v>
      </c>
      <c r="U122" s="57" t="s">
        <v>113</v>
      </c>
      <c r="V122" s="113" t="s">
        <v>3971</v>
      </c>
      <c r="W122" s="329" t="s">
        <v>3935</v>
      </c>
      <c r="X122" s="330" t="s">
        <v>1429</v>
      </c>
      <c r="Y122" s="330" t="s">
        <v>1429</v>
      </c>
      <c r="Z122" s="331" t="s">
        <v>3936</v>
      </c>
      <c r="AA122" s="331" t="s">
        <v>3937</v>
      </c>
      <c r="AB122" s="331" t="s">
        <v>3938</v>
      </c>
      <c r="AC122" s="331" t="s">
        <v>1674</v>
      </c>
      <c r="AD122" s="331" t="s">
        <v>3930</v>
      </c>
      <c r="AE122" s="331" t="s">
        <v>3943</v>
      </c>
      <c r="AF122" s="331" t="s">
        <v>3919</v>
      </c>
      <c r="AG122" s="331" t="s">
        <v>3836</v>
      </c>
      <c r="AH122" s="331" t="s">
        <v>3877</v>
      </c>
      <c r="AI122" s="331" t="s">
        <v>1476</v>
      </c>
      <c r="AJ122" s="312" t="b">
        <v>1</v>
      </c>
      <c r="AK122" s="312" t="b">
        <v>1</v>
      </c>
      <c r="AL122" s="312" t="b">
        <v>1</v>
      </c>
      <c r="AM122" s="312" t="b">
        <v>1</v>
      </c>
      <c r="AN122" s="312" t="b">
        <v>1</v>
      </c>
      <c r="AO122" s="312" t="b">
        <v>1</v>
      </c>
      <c r="AP122" s="61" t="s">
        <v>3838</v>
      </c>
      <c r="AQ122" s="335" t="s">
        <v>3969</v>
      </c>
      <c r="AR122" s="336" t="s">
        <v>3501</v>
      </c>
      <c r="AS122" s="337" t="s">
        <v>3497</v>
      </c>
      <c r="AT122" s="338"/>
      <c r="AU122" s="338"/>
      <c r="AV122" s="338"/>
      <c r="AW122" s="338"/>
      <c r="AX122" s="338"/>
      <c r="AY122" s="337" t="s">
        <v>1429</v>
      </c>
      <c r="AZ122" s="337" t="s">
        <v>1429</v>
      </c>
      <c r="BA122" s="338" t="s">
        <v>1429</v>
      </c>
      <c r="BB122" s="338"/>
      <c r="BC122" s="181" t="s">
        <v>3969</v>
      </c>
      <c r="BD122" s="313"/>
      <c r="BE122" s="239"/>
      <c r="BF122" s="239"/>
      <c r="BG122" s="239"/>
      <c r="BH122" s="239"/>
      <c r="BI122" s="239"/>
      <c r="BJ122" s="239"/>
      <c r="BK122" s="239"/>
      <c r="BL122" s="239"/>
      <c r="BM122" s="239"/>
      <c r="BN122" s="239"/>
      <c r="BO122" s="239"/>
      <c r="BP122" s="239"/>
      <c r="BQ122" s="239"/>
      <c r="BR122" s="239"/>
      <c r="BS122" s="239"/>
      <c r="BT122" s="239"/>
      <c r="BU122" s="239"/>
      <c r="BV122" s="239"/>
      <c r="BW122" s="239"/>
      <c r="BX122" s="239"/>
      <c r="BY122" s="239"/>
      <c r="BZ122" s="239"/>
      <c r="CA122" s="239"/>
      <c r="CB122" s="239"/>
      <c r="CC122" s="239"/>
      <c r="CD122" s="239"/>
      <c r="CE122" s="239"/>
    </row>
    <row r="123" spans="1:83" ht="12.95" customHeight="1">
      <c r="A123" s="1"/>
      <c r="B123" s="1"/>
      <c r="C123" s="51" t="s">
        <v>3972</v>
      </c>
      <c r="D123" s="52" t="s">
        <v>3581</v>
      </c>
      <c r="E123" s="58" t="s">
        <v>1619</v>
      </c>
      <c r="F123" s="53" t="s">
        <v>3973</v>
      </c>
      <c r="G123" s="180" t="s">
        <v>1429</v>
      </c>
      <c r="H123" s="180" t="s">
        <v>3972</v>
      </c>
      <c r="I123" s="55" t="s">
        <v>1429</v>
      </c>
      <c r="J123" s="55" t="s">
        <v>1429</v>
      </c>
      <c r="K123" s="55" t="s">
        <v>1429</v>
      </c>
      <c r="L123" s="55" t="s">
        <v>1429</v>
      </c>
      <c r="M123" s="55" t="s">
        <v>1580</v>
      </c>
      <c r="N123" s="55" t="s">
        <v>1429</v>
      </c>
      <c r="O123" s="55" t="s">
        <v>1429</v>
      </c>
      <c r="P123" s="55" t="s">
        <v>1429</v>
      </c>
      <c r="Q123" s="52" t="s">
        <v>3930</v>
      </c>
      <c r="R123" s="52" t="s">
        <v>113</v>
      </c>
      <c r="S123" s="52" t="s">
        <v>99</v>
      </c>
      <c r="T123" s="52" t="s">
        <v>100</v>
      </c>
      <c r="U123" s="57" t="s">
        <v>113</v>
      </c>
      <c r="V123" s="113" t="s">
        <v>3974</v>
      </c>
      <c r="W123" s="329" t="s">
        <v>3935</v>
      </c>
      <c r="X123" s="330" t="s">
        <v>1429</v>
      </c>
      <c r="Y123" s="330" t="s">
        <v>1429</v>
      </c>
      <c r="Z123" s="331" t="s">
        <v>3936</v>
      </c>
      <c r="AA123" s="331" t="s">
        <v>3937</v>
      </c>
      <c r="AB123" s="331" t="s">
        <v>3938</v>
      </c>
      <c r="AC123" s="331" t="s">
        <v>1674</v>
      </c>
      <c r="AD123" s="331" t="s">
        <v>3930</v>
      </c>
      <c r="AE123" s="331" t="s">
        <v>3943</v>
      </c>
      <c r="AF123" s="331" t="s">
        <v>3919</v>
      </c>
      <c r="AG123" s="331" t="s">
        <v>3836</v>
      </c>
      <c r="AH123" s="331" t="s">
        <v>3877</v>
      </c>
      <c r="AI123" s="331" t="s">
        <v>1476</v>
      </c>
      <c r="AJ123" s="312" t="b">
        <v>1</v>
      </c>
      <c r="AK123" s="312" t="b">
        <v>1</v>
      </c>
      <c r="AL123" s="312" t="b">
        <v>1</v>
      </c>
      <c r="AM123" s="312" t="b">
        <v>1</v>
      </c>
      <c r="AN123" s="312" t="b">
        <v>1</v>
      </c>
      <c r="AO123" s="312" t="b">
        <v>1</v>
      </c>
      <c r="AP123" s="61" t="s">
        <v>3838</v>
      </c>
      <c r="AQ123" s="335" t="s">
        <v>3972</v>
      </c>
      <c r="AR123" s="336" t="s">
        <v>3501</v>
      </c>
      <c r="AS123" s="337" t="s">
        <v>3497</v>
      </c>
      <c r="AT123" s="338"/>
      <c r="AU123" s="338"/>
      <c r="AV123" s="338"/>
      <c r="AW123" s="338"/>
      <c r="AX123" s="338"/>
      <c r="AY123" s="337" t="s">
        <v>1429</v>
      </c>
      <c r="AZ123" s="337" t="s">
        <v>1429</v>
      </c>
      <c r="BA123" s="338" t="s">
        <v>1429</v>
      </c>
      <c r="BB123" s="338"/>
      <c r="BC123" s="181" t="s">
        <v>3972</v>
      </c>
      <c r="BD123" s="313"/>
      <c r="BE123" s="239"/>
      <c r="BF123" s="239"/>
      <c r="BG123" s="239"/>
      <c r="BH123" s="239"/>
      <c r="BI123" s="239"/>
      <c r="BJ123" s="239"/>
      <c r="BK123" s="239"/>
      <c r="BL123" s="239"/>
      <c r="BM123" s="239"/>
      <c r="BN123" s="239"/>
      <c r="BO123" s="239"/>
      <c r="BP123" s="239"/>
      <c r="BQ123" s="239"/>
      <c r="BR123" s="239"/>
      <c r="BS123" s="239"/>
      <c r="BT123" s="239"/>
      <c r="BU123" s="239"/>
      <c r="BV123" s="239"/>
      <c r="BW123" s="239"/>
      <c r="BX123" s="239"/>
      <c r="BY123" s="239"/>
      <c r="BZ123" s="239"/>
      <c r="CA123" s="239"/>
      <c r="CB123" s="239"/>
      <c r="CC123" s="239"/>
      <c r="CD123" s="239"/>
      <c r="CE123" s="239"/>
    </row>
    <row r="124" spans="1:83" ht="12.95" customHeight="1">
      <c r="A124" s="1"/>
      <c r="B124" s="1"/>
      <c r="C124" s="51" t="s">
        <v>3975</v>
      </c>
      <c r="D124" s="52" t="s">
        <v>3950</v>
      </c>
      <c r="E124" s="58" t="s">
        <v>3571</v>
      </c>
      <c r="F124" s="53" t="s">
        <v>3976</v>
      </c>
      <c r="G124" s="180" t="s">
        <v>1429</v>
      </c>
      <c r="H124" s="180" t="s">
        <v>3975</v>
      </c>
      <c r="I124" s="55" t="s">
        <v>1429</v>
      </c>
      <c r="J124" s="55" t="s">
        <v>1429</v>
      </c>
      <c r="K124" s="55" t="s">
        <v>1429</v>
      </c>
      <c r="L124" s="55" t="s">
        <v>1429</v>
      </c>
      <c r="M124" s="55" t="s">
        <v>1580</v>
      </c>
      <c r="N124" s="55" t="s">
        <v>1429</v>
      </c>
      <c r="O124" s="55" t="s">
        <v>1429</v>
      </c>
      <c r="P124" s="55" t="s">
        <v>1429</v>
      </c>
      <c r="Q124" s="52" t="s">
        <v>3930</v>
      </c>
      <c r="R124" s="52" t="s">
        <v>113</v>
      </c>
      <c r="S124" s="52" t="s">
        <v>99</v>
      </c>
      <c r="T124" s="52" t="s">
        <v>100</v>
      </c>
      <c r="U124" s="57" t="s">
        <v>113</v>
      </c>
      <c r="V124" s="113" t="s">
        <v>3977</v>
      </c>
      <c r="W124" s="329" t="s">
        <v>3935</v>
      </c>
      <c r="X124" s="330" t="s">
        <v>1429</v>
      </c>
      <c r="Y124" s="330" t="s">
        <v>1429</v>
      </c>
      <c r="Z124" s="331" t="s">
        <v>3936</v>
      </c>
      <c r="AA124" s="331" t="s">
        <v>3937</v>
      </c>
      <c r="AB124" s="331" t="s">
        <v>3938</v>
      </c>
      <c r="AC124" s="331" t="s">
        <v>1674</v>
      </c>
      <c r="AD124" s="331" t="s">
        <v>3930</v>
      </c>
      <c r="AE124" s="331" t="s">
        <v>3943</v>
      </c>
      <c r="AF124" s="331" t="s">
        <v>3836</v>
      </c>
      <c r="AG124" s="331" t="s">
        <v>3876</v>
      </c>
      <c r="AH124" s="331" t="s">
        <v>3877</v>
      </c>
      <c r="AI124" s="331" t="s">
        <v>1476</v>
      </c>
      <c r="AJ124" s="312" t="b">
        <v>1</v>
      </c>
      <c r="AK124" s="312" t="b">
        <v>1</v>
      </c>
      <c r="AL124" s="312" t="b">
        <v>1</v>
      </c>
      <c r="AM124" s="312" t="b">
        <v>1</v>
      </c>
      <c r="AN124" s="312" t="b">
        <v>1</v>
      </c>
      <c r="AO124" s="312" t="b">
        <v>1</v>
      </c>
      <c r="AP124" s="61" t="s">
        <v>3838</v>
      </c>
      <c r="AQ124" s="335" t="s">
        <v>3975</v>
      </c>
      <c r="AR124" s="336" t="s">
        <v>1476</v>
      </c>
      <c r="AS124" s="337" t="s">
        <v>3667</v>
      </c>
      <c r="AT124" s="338"/>
      <c r="AU124" s="338"/>
      <c r="AV124" s="338"/>
      <c r="AW124" s="338"/>
      <c r="AX124" s="338"/>
      <c r="AY124" s="337" t="s">
        <v>1429</v>
      </c>
      <c r="AZ124" s="337" t="s">
        <v>1429</v>
      </c>
      <c r="BA124" s="338" t="s">
        <v>1429</v>
      </c>
      <c r="BB124" s="338"/>
      <c r="BC124" s="181" t="s">
        <v>3975</v>
      </c>
      <c r="BD124" s="313"/>
      <c r="BE124" s="239"/>
      <c r="BF124" s="239"/>
      <c r="BG124" s="239"/>
      <c r="BH124" s="239"/>
      <c r="BI124" s="239"/>
      <c r="BJ124" s="239"/>
      <c r="BK124" s="239"/>
      <c r="BL124" s="239"/>
      <c r="BM124" s="239"/>
      <c r="BN124" s="239"/>
      <c r="BO124" s="239"/>
      <c r="BP124" s="239"/>
      <c r="BQ124" s="239"/>
      <c r="BR124" s="239"/>
      <c r="BS124" s="239"/>
      <c r="BT124" s="239"/>
      <c r="BU124" s="239"/>
      <c r="BV124" s="239"/>
      <c r="BW124" s="239"/>
      <c r="BX124" s="239"/>
      <c r="BY124" s="239"/>
      <c r="BZ124" s="239"/>
      <c r="CA124" s="239"/>
      <c r="CB124" s="239"/>
      <c r="CC124" s="239"/>
      <c r="CD124" s="239"/>
      <c r="CE124" s="239"/>
    </row>
    <row r="125" spans="1:83" ht="12.95" customHeight="1">
      <c r="A125" s="1"/>
      <c r="B125" s="1"/>
      <c r="C125" s="51" t="s">
        <v>3978</v>
      </c>
      <c r="D125" s="52" t="s">
        <v>3940</v>
      </c>
      <c r="E125" s="340" t="s">
        <v>1886</v>
      </c>
      <c r="F125" s="53" t="s">
        <v>3979</v>
      </c>
      <c r="G125" s="180" t="s">
        <v>1429</v>
      </c>
      <c r="H125" s="180" t="s">
        <v>3978</v>
      </c>
      <c r="I125" s="55" t="s">
        <v>1429</v>
      </c>
      <c r="J125" s="55" t="s">
        <v>1429</v>
      </c>
      <c r="K125" s="55" t="s">
        <v>1429</v>
      </c>
      <c r="L125" s="55" t="s">
        <v>1429</v>
      </c>
      <c r="M125" s="55" t="s">
        <v>1580</v>
      </c>
      <c r="N125" s="55" t="s">
        <v>1429</v>
      </c>
      <c r="O125" s="55" t="s">
        <v>1429</v>
      </c>
      <c r="P125" s="55" t="s">
        <v>1429</v>
      </c>
      <c r="Q125" s="52" t="s">
        <v>3930</v>
      </c>
      <c r="R125" s="52" t="s">
        <v>113</v>
      </c>
      <c r="S125" s="52" t="s">
        <v>99</v>
      </c>
      <c r="T125" s="52" t="s">
        <v>100</v>
      </c>
      <c r="U125" s="57" t="s">
        <v>113</v>
      </c>
      <c r="V125" s="113" t="s">
        <v>3980</v>
      </c>
      <c r="W125" s="329"/>
      <c r="X125" s="330"/>
      <c r="Y125" s="330"/>
      <c r="Z125" s="331"/>
      <c r="AA125" s="331"/>
      <c r="AB125" s="331"/>
      <c r="AC125" s="331"/>
      <c r="AD125" s="331"/>
      <c r="AE125" s="331"/>
      <c r="AF125" s="331"/>
      <c r="AG125" s="331"/>
      <c r="AH125" s="331"/>
      <c r="AI125" s="331"/>
      <c r="AJ125" s="312" t="b">
        <v>1</v>
      </c>
      <c r="AK125" s="312" t="b">
        <v>1</v>
      </c>
      <c r="AL125" s="312" t="b">
        <v>1</v>
      </c>
      <c r="AM125" s="312" t="b">
        <v>1</v>
      </c>
      <c r="AN125" s="312" t="b">
        <v>1</v>
      </c>
      <c r="AO125" s="312" t="b">
        <v>1</v>
      </c>
      <c r="AP125" s="61" t="s">
        <v>3838</v>
      </c>
      <c r="AQ125" s="335" t="s">
        <v>3978</v>
      </c>
      <c r="AR125" s="336"/>
      <c r="AS125" s="337"/>
      <c r="AT125" s="338"/>
      <c r="AU125" s="338"/>
      <c r="AV125" s="338"/>
      <c r="AW125" s="338"/>
      <c r="AX125" s="338"/>
      <c r="AY125" s="337"/>
      <c r="AZ125" s="337"/>
      <c r="BA125" s="338"/>
      <c r="BB125" s="338"/>
      <c r="BC125" s="181"/>
      <c r="BD125" s="313"/>
      <c r="BE125" s="239"/>
      <c r="BF125" s="239"/>
      <c r="BG125" s="239"/>
      <c r="BH125" s="239"/>
      <c r="BI125" s="239"/>
      <c r="BJ125" s="239"/>
      <c r="BK125" s="239"/>
      <c r="BL125" s="239"/>
      <c r="BM125" s="239"/>
      <c r="BN125" s="239"/>
      <c r="BO125" s="239"/>
      <c r="BP125" s="239"/>
      <c r="BQ125" s="239"/>
      <c r="BR125" s="239"/>
      <c r="BS125" s="239"/>
      <c r="BT125" s="239"/>
      <c r="BU125" s="239"/>
      <c r="BV125" s="239"/>
      <c r="BW125" s="239"/>
      <c r="BX125" s="239"/>
      <c r="BY125" s="239"/>
      <c r="BZ125" s="239"/>
      <c r="CA125" s="239"/>
      <c r="CB125" s="239"/>
      <c r="CC125" s="239"/>
      <c r="CD125" s="239"/>
      <c r="CE125" s="239"/>
    </row>
    <row r="126" spans="1:83" s="50" customFormat="1" ht="18" customHeight="1">
      <c r="A126" s="68" t="s">
        <v>54</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t="b">
        <v>0</v>
      </c>
      <c r="AK126" s="47"/>
      <c r="AL126" s="47"/>
      <c r="AM126" s="47"/>
      <c r="AN126" s="47"/>
      <c r="AO126" s="47"/>
      <c r="AP126" s="47"/>
      <c r="AQ126" s="72"/>
      <c r="AR126" s="72"/>
      <c r="AS126" s="73"/>
      <c r="AT126" s="73"/>
      <c r="AU126" s="73"/>
      <c r="AV126" s="73"/>
      <c r="AW126" s="73"/>
      <c r="AX126" s="288"/>
      <c r="AY126" s="73"/>
      <c r="AZ126" s="73"/>
      <c r="BA126" s="73"/>
      <c r="BB126" s="168" t="s">
        <v>49</v>
      </c>
      <c r="BC126" s="73"/>
      <c r="BD126" s="184"/>
      <c r="BE126" s="308"/>
      <c r="BF126" s="243"/>
      <c r="BG126" s="243"/>
      <c r="BH126" s="243"/>
      <c r="BI126" s="243"/>
      <c r="BJ126" s="243"/>
      <c r="BK126" s="243"/>
      <c r="BL126" s="243"/>
      <c r="BM126" s="243"/>
      <c r="BN126" s="243"/>
      <c r="BO126" s="243"/>
      <c r="BP126" s="243"/>
      <c r="BQ126" s="243"/>
      <c r="BR126" s="243"/>
      <c r="BS126" s="243"/>
      <c r="BT126" s="243"/>
      <c r="BU126" s="243"/>
      <c r="BV126" s="243"/>
      <c r="BW126" s="243"/>
      <c r="BX126" s="243"/>
      <c r="BY126" s="243"/>
      <c r="BZ126" s="243"/>
      <c r="CA126" s="243"/>
      <c r="CB126" s="243"/>
      <c r="CC126" s="243"/>
      <c r="CD126" s="243"/>
      <c r="CE126" s="243"/>
    </row>
    <row r="127" spans="1:83" ht="12.95" customHeight="1">
      <c r="A127" s="21" t="s">
        <v>1407</v>
      </c>
      <c r="B127" s="21" t="s">
        <v>2251</v>
      </c>
      <c r="C127" s="51" t="s">
        <v>944</v>
      </c>
      <c r="D127" s="52" t="s">
        <v>1887</v>
      </c>
      <c r="E127" s="52" t="s">
        <v>1888</v>
      </c>
      <c r="F127" s="53" t="s">
        <v>1234</v>
      </c>
      <c r="G127" s="179" t="s">
        <v>1520</v>
      </c>
      <c r="H127" s="180" t="s">
        <v>1429</v>
      </c>
      <c r="I127" s="55" t="s">
        <v>1429</v>
      </c>
      <c r="J127" s="55" t="s">
        <v>1429</v>
      </c>
      <c r="K127" s="56" t="s">
        <v>1429</v>
      </c>
      <c r="L127" s="54" t="s">
        <v>1580</v>
      </c>
      <c r="M127" s="55" t="s">
        <v>1429</v>
      </c>
      <c r="N127" s="55" t="s">
        <v>1429</v>
      </c>
      <c r="O127" s="55" t="s">
        <v>1429</v>
      </c>
      <c r="P127" s="56" t="s">
        <v>1429</v>
      </c>
      <c r="Q127" s="6" t="s">
        <v>755</v>
      </c>
      <c r="R127" s="6" t="s">
        <v>113</v>
      </c>
      <c r="S127" s="52" t="s">
        <v>99</v>
      </c>
      <c r="T127" s="52" t="s">
        <v>100</v>
      </c>
      <c r="U127" s="105" t="s">
        <v>755</v>
      </c>
      <c r="V127" s="146" t="s">
        <v>1889</v>
      </c>
      <c r="W127" s="51" t="s">
        <v>1890</v>
      </c>
      <c r="X127" s="130" t="s">
        <v>1891</v>
      </c>
      <c r="Y127" s="130" t="s">
        <v>1892</v>
      </c>
      <c r="Z127" s="51" t="s">
        <v>1585</v>
      </c>
      <c r="AA127" s="51" t="s">
        <v>1893</v>
      </c>
      <c r="AB127" s="51" t="s">
        <v>1435</v>
      </c>
      <c r="AC127" s="51" t="s">
        <v>1674</v>
      </c>
      <c r="AD127" s="59" t="str">
        <f t="shared" ref="AD127:AD145" si="24">IF(OR($AQ127="",$AQ127=$F127),$U127,IF($AQ127=$G127,SUBSTITUTE(SUBSTITUTE($AQ127,"GPIO3_","GPIO_"),".0",""),IF($AQ127=$H127,$Q127,IF($AQ127=$I127,$R127,IF($AQ127=$J127,$S127,IF($AQ127=$K127,$T127,"INVALID"))))))</f>
        <v>GPIO_PFF1</v>
      </c>
      <c r="AE127" s="66"/>
      <c r="AF127" s="61" t="str">
        <f t="shared" ref="AF127:AF147" si="25">IF(AND(OR($AS127="Int PU",$AS127="Int PD"),OR(AND($AY127&lt;&gt;"",$AY127&lt;&gt;"0"),AND($AZ127&lt;&gt;"",$AZ127&lt;&gt;"0"))),"INVALID",IF(OR($AQ127=$F127,$AS127="Int PD"),"PULL_DOWN",IF(OR($AS127="Int PU",AND($AE127="YES",OR($AY127="",$AY127="0"),OR($AZ127="",$AZ127="0"),OR($AR127="Input",$AR127="Bidirectional"))),"PULL_UP","NORMAL")))</f>
        <v>PULL_UP</v>
      </c>
      <c r="AG127" s="61" t="str">
        <f t="shared" ref="AG127:AG190" si="26">IF($AR127="Input", "TRISTATE", IF($AS127="Z","TRISTATE",IF($AQ127=$F127,"TRISTATE","NORMAL")))</f>
        <v>TRISTATE</v>
      </c>
      <c r="AH127" s="61" t="str">
        <f t="shared" ref="AH127:AH147" si="27">IF(OR($AQ127=$F127,$AR127="Output"),"DISABLE","ENABLE")</f>
        <v>ENABLE</v>
      </c>
      <c r="AI127" s="67" t="str">
        <f t="shared" ref="AI127:AI204" si="28">IF($AQ127&lt;&gt;$G127,"N/A",IF($AS127="Drive 1", "1", IF($AS127="Drive 0", "0", "")))</f>
        <v/>
      </c>
      <c r="AJ127" s="176" t="b">
        <v>1</v>
      </c>
      <c r="AK127" s="176" t="b">
        <v>1</v>
      </c>
      <c r="AL127" s="176" t="b">
        <v>1</v>
      </c>
      <c r="AM127" s="176" t="b">
        <v>1</v>
      </c>
      <c r="AN127" s="176" t="b">
        <v>1</v>
      </c>
      <c r="AO127" s="176" t="b">
        <v>1</v>
      </c>
      <c r="AP127" s="64" t="str">
        <f t="shared" ref="AP127:AP147" si="29">IF(AND($AJ127:$AO127), "VALID", "INVALID")</f>
        <v>VALID</v>
      </c>
      <c r="AQ127" s="213" t="s">
        <v>1520</v>
      </c>
      <c r="AR127" s="3" t="s">
        <v>3496</v>
      </c>
      <c r="AS127" s="181" t="s">
        <v>3497</v>
      </c>
      <c r="AT127" s="181" t="s">
        <v>3499</v>
      </c>
      <c r="AU127" s="5"/>
      <c r="AV127" s="5"/>
      <c r="AW127" s="181" t="s">
        <v>125</v>
      </c>
      <c r="AX127" s="284"/>
      <c r="AY127" s="4"/>
      <c r="AZ127" s="4"/>
      <c r="BA127" s="7"/>
      <c r="BB127" s="212"/>
      <c r="BC127" s="10" t="s">
        <v>3728</v>
      </c>
      <c r="BD127" s="240"/>
      <c r="BE127" s="239"/>
      <c r="BF127" s="239"/>
      <c r="BG127" s="239"/>
      <c r="BH127" s="239"/>
      <c r="BI127" s="239"/>
      <c r="BJ127" s="239"/>
      <c r="BK127" s="239"/>
      <c r="BL127" s="239"/>
      <c r="BM127" s="239"/>
      <c r="BN127" s="239"/>
      <c r="BO127" s="239"/>
      <c r="BP127" s="239"/>
      <c r="BQ127" s="239"/>
      <c r="BR127" s="239"/>
      <c r="BS127" s="239"/>
      <c r="BT127" s="239"/>
      <c r="BU127" s="239"/>
      <c r="BV127" s="239"/>
      <c r="BW127" s="239"/>
      <c r="BX127" s="239"/>
      <c r="BY127" s="239"/>
      <c r="BZ127" s="239"/>
      <c r="CA127" s="239"/>
      <c r="CB127" s="239"/>
      <c r="CC127" s="239"/>
      <c r="CD127" s="239"/>
      <c r="CE127" s="239"/>
    </row>
    <row r="128" spans="1:83" ht="12.75" customHeight="1">
      <c r="A128" s="21" t="s">
        <v>1408</v>
      </c>
      <c r="B128" s="21" t="s">
        <v>2254</v>
      </c>
      <c r="C128" s="51" t="s">
        <v>945</v>
      </c>
      <c r="D128" s="52" t="s">
        <v>1894</v>
      </c>
      <c r="E128" s="52" t="s">
        <v>1895</v>
      </c>
      <c r="F128" s="53" t="s">
        <v>1235</v>
      </c>
      <c r="G128" s="179" t="s">
        <v>1521</v>
      </c>
      <c r="H128" s="180" t="s">
        <v>1429</v>
      </c>
      <c r="I128" s="55" t="s">
        <v>1429</v>
      </c>
      <c r="J128" s="55" t="s">
        <v>1429</v>
      </c>
      <c r="K128" s="56" t="s">
        <v>1429</v>
      </c>
      <c r="L128" s="54" t="s">
        <v>1580</v>
      </c>
      <c r="M128" s="55" t="s">
        <v>1429</v>
      </c>
      <c r="N128" s="55" t="s">
        <v>1429</v>
      </c>
      <c r="O128" s="55" t="s">
        <v>1429</v>
      </c>
      <c r="P128" s="56" t="s">
        <v>1429</v>
      </c>
      <c r="Q128" s="6" t="s">
        <v>755</v>
      </c>
      <c r="R128" s="6" t="s">
        <v>113</v>
      </c>
      <c r="S128" s="52" t="s">
        <v>99</v>
      </c>
      <c r="T128" s="52" t="s">
        <v>100</v>
      </c>
      <c r="U128" s="57" t="s">
        <v>755</v>
      </c>
      <c r="V128" s="146" t="s">
        <v>1896</v>
      </c>
      <c r="W128" s="51" t="s">
        <v>1890</v>
      </c>
      <c r="X128" s="130" t="s">
        <v>1897</v>
      </c>
      <c r="Y128" s="130" t="s">
        <v>1898</v>
      </c>
      <c r="Z128" s="51" t="s">
        <v>1585</v>
      </c>
      <c r="AA128" s="51" t="s">
        <v>1893</v>
      </c>
      <c r="AB128" s="51" t="s">
        <v>1435</v>
      </c>
      <c r="AC128" s="51" t="s">
        <v>1674</v>
      </c>
      <c r="AD128" s="59" t="str">
        <f t="shared" si="24"/>
        <v>GPIO_PFF2</v>
      </c>
      <c r="AE128" s="66"/>
      <c r="AF128" s="61" t="str">
        <f t="shared" si="25"/>
        <v>PULL_UP</v>
      </c>
      <c r="AG128" s="61" t="str">
        <f t="shared" si="26"/>
        <v>TRISTATE</v>
      </c>
      <c r="AH128" s="61" t="str">
        <f t="shared" si="27"/>
        <v>ENABLE</v>
      </c>
      <c r="AI128" s="67" t="str">
        <f t="shared" si="28"/>
        <v/>
      </c>
      <c r="AJ128" s="176" t="b">
        <v>1</v>
      </c>
      <c r="AK128" s="176" t="b">
        <v>1</v>
      </c>
      <c r="AL128" s="176" t="b">
        <v>1</v>
      </c>
      <c r="AM128" s="176" t="b">
        <v>1</v>
      </c>
      <c r="AN128" s="176" t="b">
        <v>1</v>
      </c>
      <c r="AO128" s="176" t="b">
        <v>1</v>
      </c>
      <c r="AP128" s="64" t="str">
        <f t="shared" si="29"/>
        <v>VALID</v>
      </c>
      <c r="AQ128" s="211" t="s">
        <v>1521</v>
      </c>
      <c r="AR128" s="182" t="s">
        <v>3496</v>
      </c>
      <c r="AS128" s="181" t="s">
        <v>3497</v>
      </c>
      <c r="AT128" s="181" t="s">
        <v>3499</v>
      </c>
      <c r="AU128" s="5"/>
      <c r="AV128" s="5"/>
      <c r="AW128" s="181" t="s">
        <v>125</v>
      </c>
      <c r="AX128" s="284"/>
      <c r="AY128" s="181"/>
      <c r="AZ128" s="181"/>
      <c r="BA128" s="7"/>
      <c r="BB128" s="212"/>
      <c r="BC128" s="10" t="s">
        <v>3729</v>
      </c>
      <c r="BD128" s="240"/>
      <c r="BE128" s="239"/>
      <c r="BF128" s="239"/>
      <c r="BG128" s="239"/>
      <c r="BH128" s="239"/>
      <c r="BI128" s="239"/>
      <c r="BJ128" s="239"/>
      <c r="BK128" s="239"/>
      <c r="BL128" s="239"/>
      <c r="BM128" s="239"/>
      <c r="BN128" s="239"/>
      <c r="BO128" s="239"/>
      <c r="BP128" s="239"/>
      <c r="BQ128" s="239"/>
      <c r="BR128" s="239"/>
      <c r="BS128" s="239"/>
      <c r="BT128" s="239"/>
      <c r="BU128" s="239"/>
      <c r="BV128" s="239"/>
      <c r="BW128" s="239"/>
      <c r="BX128" s="239"/>
      <c r="BY128" s="239"/>
      <c r="BZ128" s="239"/>
      <c r="CA128" s="239"/>
      <c r="CB128" s="239"/>
      <c r="CC128" s="239"/>
      <c r="CD128" s="239"/>
      <c r="CE128" s="239"/>
    </row>
    <row r="129" spans="1:83" ht="12.95" customHeight="1">
      <c r="A129" s="1"/>
      <c r="B129" s="1"/>
      <c r="C129" s="51" t="s">
        <v>946</v>
      </c>
      <c r="D129" s="52" t="s">
        <v>1899</v>
      </c>
      <c r="E129" s="52" t="s">
        <v>1900</v>
      </c>
      <c r="F129" s="53" t="s">
        <v>1236</v>
      </c>
      <c r="G129" s="179" t="s">
        <v>1522</v>
      </c>
      <c r="H129" s="180" t="s">
        <v>1429</v>
      </c>
      <c r="I129" s="55" t="s">
        <v>1429</v>
      </c>
      <c r="J129" s="55" t="s">
        <v>1429</v>
      </c>
      <c r="K129" s="56" t="s">
        <v>1429</v>
      </c>
      <c r="L129" s="54" t="s">
        <v>1580</v>
      </c>
      <c r="M129" s="55" t="s">
        <v>1429</v>
      </c>
      <c r="N129" s="55" t="s">
        <v>1429</v>
      </c>
      <c r="O129" s="55" t="s">
        <v>1429</v>
      </c>
      <c r="P129" s="56" t="s">
        <v>1429</v>
      </c>
      <c r="Q129" s="6" t="s">
        <v>755</v>
      </c>
      <c r="R129" s="6" t="s">
        <v>113</v>
      </c>
      <c r="S129" s="52" t="s">
        <v>99</v>
      </c>
      <c r="T129" s="52" t="s">
        <v>100</v>
      </c>
      <c r="U129" s="57" t="s">
        <v>755</v>
      </c>
      <c r="V129" s="146" t="s">
        <v>1901</v>
      </c>
      <c r="W129" s="51" t="s">
        <v>1890</v>
      </c>
      <c r="X129" s="130" t="s">
        <v>1902</v>
      </c>
      <c r="Y129" s="130" t="s">
        <v>1429</v>
      </c>
      <c r="Z129" s="51" t="s">
        <v>1585</v>
      </c>
      <c r="AA129" s="51" t="s">
        <v>1893</v>
      </c>
      <c r="AB129" s="51" t="s">
        <v>1435</v>
      </c>
      <c r="AC129" s="51" t="s">
        <v>1587</v>
      </c>
      <c r="AD129" s="59" t="str">
        <f t="shared" si="24"/>
        <v>GPIO_PFF3</v>
      </c>
      <c r="AE129" s="66"/>
      <c r="AF129" s="61" t="str">
        <f t="shared" si="25"/>
        <v>PULL_UP</v>
      </c>
      <c r="AG129" s="61" t="str">
        <f t="shared" si="26"/>
        <v>TRISTATE</v>
      </c>
      <c r="AH129" s="61" t="str">
        <f t="shared" si="27"/>
        <v>ENABLE</v>
      </c>
      <c r="AI129" s="67" t="str">
        <f t="shared" si="28"/>
        <v/>
      </c>
      <c r="AJ129" s="176" t="b">
        <v>1</v>
      </c>
      <c r="AK129" s="176" t="b">
        <v>1</v>
      </c>
      <c r="AL129" s="176" t="b">
        <v>1</v>
      </c>
      <c r="AM129" s="176" t="b">
        <v>1</v>
      </c>
      <c r="AN129" s="176" t="b">
        <v>1</v>
      </c>
      <c r="AO129" s="176" t="b">
        <v>1</v>
      </c>
      <c r="AP129" s="64" t="str">
        <f t="shared" si="29"/>
        <v>VALID</v>
      </c>
      <c r="AQ129" s="341" t="s">
        <v>1522</v>
      </c>
      <c r="AR129" s="336" t="s">
        <v>3496</v>
      </c>
      <c r="AS129" s="337" t="s">
        <v>3497</v>
      </c>
      <c r="AT129" s="337" t="s">
        <v>3499</v>
      </c>
      <c r="AU129" s="342"/>
      <c r="AV129" s="342"/>
      <c r="AW129" s="337" t="s">
        <v>125</v>
      </c>
      <c r="AX129" s="342"/>
      <c r="AY129" s="337"/>
      <c r="AZ129" s="337"/>
      <c r="BA129" s="343"/>
      <c r="BB129" s="338"/>
      <c r="BC129" s="344" t="s">
        <v>3730</v>
      </c>
      <c r="BD129" s="248"/>
      <c r="BE129" s="239"/>
      <c r="BF129" s="239"/>
      <c r="BG129" s="239"/>
      <c r="BH129" s="239"/>
      <c r="BI129" s="239"/>
      <c r="BJ129" s="239"/>
      <c r="BK129" s="239"/>
      <c r="BL129" s="239"/>
      <c r="BM129" s="239"/>
      <c r="BN129" s="239"/>
      <c r="BO129" s="239"/>
      <c r="BP129" s="239"/>
      <c r="BQ129" s="239"/>
      <c r="BR129" s="239"/>
      <c r="BS129" s="239"/>
      <c r="BT129" s="239"/>
      <c r="BU129" s="239"/>
      <c r="BV129" s="239"/>
      <c r="BW129" s="239"/>
      <c r="BX129" s="239"/>
      <c r="BY129" s="239"/>
      <c r="BZ129" s="239"/>
      <c r="CA129" s="239"/>
      <c r="CB129" s="239"/>
      <c r="CC129" s="239"/>
      <c r="CD129" s="239"/>
      <c r="CE129" s="239"/>
    </row>
    <row r="130" spans="1:83" ht="12.95" customHeight="1">
      <c r="A130" s="1"/>
      <c r="B130" s="1"/>
      <c r="C130" s="51" t="s">
        <v>947</v>
      </c>
      <c r="D130" s="52" t="s">
        <v>1903</v>
      </c>
      <c r="E130" s="52" t="s">
        <v>1904</v>
      </c>
      <c r="F130" s="53" t="s">
        <v>1237</v>
      </c>
      <c r="G130" s="179" t="s">
        <v>1523</v>
      </c>
      <c r="H130" s="180" t="s">
        <v>1429</v>
      </c>
      <c r="I130" s="55" t="s">
        <v>1429</v>
      </c>
      <c r="J130" s="55" t="s">
        <v>1429</v>
      </c>
      <c r="K130" s="56" t="s">
        <v>1429</v>
      </c>
      <c r="L130" s="54" t="s">
        <v>1580</v>
      </c>
      <c r="M130" s="55" t="s">
        <v>1429</v>
      </c>
      <c r="N130" s="55" t="s">
        <v>1429</v>
      </c>
      <c r="O130" s="55" t="s">
        <v>1429</v>
      </c>
      <c r="P130" s="56" t="s">
        <v>1429</v>
      </c>
      <c r="Q130" s="6" t="s">
        <v>755</v>
      </c>
      <c r="R130" s="6" t="s">
        <v>113</v>
      </c>
      <c r="S130" s="52" t="s">
        <v>99</v>
      </c>
      <c r="T130" s="52" t="s">
        <v>100</v>
      </c>
      <c r="U130" s="57" t="s">
        <v>755</v>
      </c>
      <c r="V130" s="146" t="s">
        <v>1905</v>
      </c>
      <c r="W130" s="51" t="s">
        <v>1890</v>
      </c>
      <c r="X130" s="130" t="s">
        <v>1906</v>
      </c>
      <c r="Y130" s="130" t="s">
        <v>1907</v>
      </c>
      <c r="Z130" s="51" t="s">
        <v>1585</v>
      </c>
      <c r="AA130" s="51" t="s">
        <v>1893</v>
      </c>
      <c r="AB130" s="51" t="s">
        <v>1435</v>
      </c>
      <c r="AC130" s="51" t="s">
        <v>1674</v>
      </c>
      <c r="AD130" s="59" t="str">
        <f t="shared" si="24"/>
        <v>GPIO_PFF4</v>
      </c>
      <c r="AE130" s="66"/>
      <c r="AF130" s="61" t="str">
        <f t="shared" si="25"/>
        <v>PULL_UP</v>
      </c>
      <c r="AG130" s="61" t="str">
        <f t="shared" si="26"/>
        <v>TRISTATE</v>
      </c>
      <c r="AH130" s="61" t="str">
        <f t="shared" si="27"/>
        <v>ENABLE</v>
      </c>
      <c r="AI130" s="67" t="str">
        <f t="shared" si="28"/>
        <v/>
      </c>
      <c r="AJ130" s="176" t="b">
        <v>1</v>
      </c>
      <c r="AK130" s="176" t="b">
        <v>1</v>
      </c>
      <c r="AL130" s="176" t="b">
        <v>1</v>
      </c>
      <c r="AM130" s="176" t="b">
        <v>1</v>
      </c>
      <c r="AN130" s="176" t="b">
        <v>1</v>
      </c>
      <c r="AO130" s="176" t="b">
        <v>1</v>
      </c>
      <c r="AP130" s="64" t="str">
        <f t="shared" si="29"/>
        <v>VALID</v>
      </c>
      <c r="AQ130" s="341" t="s">
        <v>1523</v>
      </c>
      <c r="AR130" s="336" t="s">
        <v>3496</v>
      </c>
      <c r="AS130" s="337" t="s">
        <v>3497</v>
      </c>
      <c r="AT130" s="337" t="s">
        <v>3499</v>
      </c>
      <c r="AU130" s="342"/>
      <c r="AV130" s="342"/>
      <c r="AW130" s="337" t="s">
        <v>125</v>
      </c>
      <c r="AX130" s="342"/>
      <c r="AY130" s="337"/>
      <c r="AZ130" s="337"/>
      <c r="BA130" s="343"/>
      <c r="BB130" s="338"/>
      <c r="BC130" s="344" t="s">
        <v>3731</v>
      </c>
      <c r="BD130" s="248"/>
      <c r="BE130" s="239"/>
      <c r="BF130" s="239"/>
      <c r="BG130" s="239"/>
      <c r="BH130" s="239"/>
      <c r="BI130" s="239"/>
      <c r="BJ130" s="239"/>
      <c r="BK130" s="239"/>
      <c r="BL130" s="239"/>
      <c r="BM130" s="239"/>
      <c r="BN130" s="239"/>
      <c r="BO130" s="239"/>
      <c r="BP130" s="239"/>
      <c r="BQ130" s="239"/>
      <c r="BR130" s="239"/>
      <c r="BS130" s="239"/>
      <c r="BT130" s="239"/>
      <c r="BU130" s="239"/>
      <c r="BV130" s="239"/>
      <c r="BW130" s="239"/>
      <c r="BX130" s="239"/>
      <c r="BY130" s="239"/>
      <c r="BZ130" s="239"/>
      <c r="CA130" s="239"/>
      <c r="CB130" s="239"/>
      <c r="CC130" s="239"/>
      <c r="CD130" s="239"/>
      <c r="CE130" s="239"/>
    </row>
    <row r="131" spans="1:83" ht="15">
      <c r="A131" s="21" t="s">
        <v>3355</v>
      </c>
      <c r="B131" s="21" t="s">
        <v>2120</v>
      </c>
      <c r="C131" s="51" t="s">
        <v>948</v>
      </c>
      <c r="D131" s="52" t="s">
        <v>1908</v>
      </c>
      <c r="E131" s="52" t="s">
        <v>1909</v>
      </c>
      <c r="F131" s="53" t="s">
        <v>1238</v>
      </c>
      <c r="G131" s="179" t="s">
        <v>1524</v>
      </c>
      <c r="H131" s="180"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4"/>
        <v>GP</v>
      </c>
      <c r="AE131" s="66"/>
      <c r="AF131" s="61" t="str">
        <f t="shared" si="25"/>
        <v>NORMAL</v>
      </c>
      <c r="AG131" s="61" t="str">
        <f t="shared" si="26"/>
        <v>NORMAL</v>
      </c>
      <c r="AH131" s="61" t="str">
        <f t="shared" si="27"/>
        <v>DISABLE</v>
      </c>
      <c r="AI131" s="67" t="str">
        <f t="shared" si="28"/>
        <v>N/A</v>
      </c>
      <c r="AJ131" s="176" t="b">
        <v>1</v>
      </c>
      <c r="AK131" s="176" t="b">
        <v>1</v>
      </c>
      <c r="AL131" s="176" t="b">
        <v>1</v>
      </c>
      <c r="AM131" s="176" t="b">
        <v>1</v>
      </c>
      <c r="AN131" s="176" t="b">
        <v>1</v>
      </c>
      <c r="AO131" s="176" t="b">
        <v>1</v>
      </c>
      <c r="AP131" s="64" t="str">
        <f t="shared" si="29"/>
        <v>VALID</v>
      </c>
      <c r="AQ131" s="211" t="s">
        <v>1910</v>
      </c>
      <c r="AR131" s="182" t="s">
        <v>3495</v>
      </c>
      <c r="AS131" s="181"/>
      <c r="AT131" s="5"/>
      <c r="AU131" s="5"/>
      <c r="AV131" s="5"/>
      <c r="AW131" s="181" t="s">
        <v>125</v>
      </c>
      <c r="AX131" s="284"/>
      <c r="AY131" s="181"/>
      <c r="AZ131" s="181"/>
      <c r="BA131" s="7"/>
      <c r="BB131" s="212"/>
      <c r="BC131" s="10" t="s">
        <v>3732</v>
      </c>
      <c r="BD131" s="238"/>
      <c r="BE131" s="239"/>
      <c r="BF131" s="239"/>
      <c r="BG131" s="239"/>
      <c r="BH131" s="239"/>
      <c r="BI131" s="239"/>
      <c r="BJ131" s="239"/>
      <c r="BK131" s="239"/>
      <c r="BL131" s="239"/>
      <c r="BM131" s="239"/>
      <c r="BN131" s="239"/>
      <c r="BO131" s="239"/>
      <c r="BP131" s="239"/>
      <c r="BQ131" s="239"/>
      <c r="BR131" s="239"/>
      <c r="BS131" s="239"/>
      <c r="BT131" s="239"/>
      <c r="BU131" s="239"/>
      <c r="BV131" s="239"/>
      <c r="BW131" s="239"/>
      <c r="BX131" s="239"/>
      <c r="BY131" s="239"/>
      <c r="BZ131" s="239"/>
      <c r="CA131" s="239"/>
      <c r="CB131" s="239"/>
      <c r="CC131" s="239"/>
      <c r="CD131" s="239"/>
      <c r="CE131" s="239"/>
    </row>
    <row r="132" spans="1:83" ht="12.95" customHeight="1">
      <c r="A132" s="21" t="s">
        <v>3354</v>
      </c>
      <c r="B132" s="21" t="s">
        <v>3557</v>
      </c>
      <c r="C132" s="51" t="s">
        <v>949</v>
      </c>
      <c r="D132" s="52" t="s">
        <v>1609</v>
      </c>
      <c r="E132" s="52" t="s">
        <v>1908</v>
      </c>
      <c r="F132" s="53" t="s">
        <v>1239</v>
      </c>
      <c r="G132" s="179" t="s">
        <v>1525</v>
      </c>
      <c r="H132" s="180" t="s">
        <v>1429</v>
      </c>
      <c r="I132" s="55" t="s">
        <v>1429</v>
      </c>
      <c r="J132" s="55" t="s">
        <v>1912</v>
      </c>
      <c r="K132" s="56" t="s">
        <v>1429</v>
      </c>
      <c r="L132" s="54" t="s">
        <v>1580</v>
      </c>
      <c r="M132" s="55" t="s">
        <v>1429</v>
      </c>
      <c r="N132" s="55" t="s">
        <v>1429</v>
      </c>
      <c r="O132" s="55" t="s">
        <v>1590</v>
      </c>
      <c r="P132" s="56" t="s">
        <v>1429</v>
      </c>
      <c r="Q132" s="6" t="s">
        <v>755</v>
      </c>
      <c r="R132" s="6" t="s">
        <v>113</v>
      </c>
      <c r="S132" s="52" t="s">
        <v>116</v>
      </c>
      <c r="T132" s="52" t="s">
        <v>100</v>
      </c>
      <c r="U132" s="57" t="s">
        <v>755</v>
      </c>
      <c r="V132" s="146" t="s">
        <v>1913</v>
      </c>
      <c r="W132" s="51" t="s">
        <v>1890</v>
      </c>
      <c r="X132" s="130" t="s">
        <v>1429</v>
      </c>
      <c r="Y132" s="130" t="s">
        <v>1429</v>
      </c>
      <c r="Z132" s="51" t="s">
        <v>1585</v>
      </c>
      <c r="AA132" s="51" t="s">
        <v>1893</v>
      </c>
      <c r="AB132" s="51" t="s">
        <v>1435</v>
      </c>
      <c r="AC132" s="51" t="s">
        <v>1587</v>
      </c>
      <c r="AD132" s="59" t="str">
        <f t="shared" si="24"/>
        <v>DISPLAYA</v>
      </c>
      <c r="AE132" s="66"/>
      <c r="AF132" s="61" t="str">
        <f t="shared" si="25"/>
        <v>PULL_UP</v>
      </c>
      <c r="AG132" s="61" t="str">
        <f t="shared" si="26"/>
        <v>TRISTATE</v>
      </c>
      <c r="AH132" s="61" t="str">
        <f t="shared" si="27"/>
        <v>ENABLE</v>
      </c>
      <c r="AI132" s="67" t="str">
        <f t="shared" si="28"/>
        <v>N/A</v>
      </c>
      <c r="AJ132" s="176" t="b">
        <v>1</v>
      </c>
      <c r="AK132" s="176" t="b">
        <v>1</v>
      </c>
      <c r="AL132" s="176" t="b">
        <v>1</v>
      </c>
      <c r="AM132" s="176" t="b">
        <v>1</v>
      </c>
      <c r="AN132" s="176" t="b">
        <v>1</v>
      </c>
      <c r="AO132" s="176" t="b">
        <v>1</v>
      </c>
      <c r="AP132" s="64" t="str">
        <f t="shared" si="29"/>
        <v>VALID</v>
      </c>
      <c r="AQ132" s="211" t="s">
        <v>1912</v>
      </c>
      <c r="AR132" s="182" t="s">
        <v>3496</v>
      </c>
      <c r="AS132" s="181" t="s">
        <v>3497</v>
      </c>
      <c r="AT132" s="5"/>
      <c r="AU132" s="5"/>
      <c r="AV132" s="5"/>
      <c r="AW132" s="181" t="s">
        <v>125</v>
      </c>
      <c r="AX132" s="284"/>
      <c r="AY132" s="181"/>
      <c r="AZ132" s="181"/>
      <c r="BA132" s="7"/>
      <c r="BB132" s="212"/>
      <c r="BC132" s="10" t="s">
        <v>3733</v>
      </c>
      <c r="BD132" s="238"/>
      <c r="BE132" s="239"/>
      <c r="BF132" s="239"/>
      <c r="BG132" s="239"/>
      <c r="BH132" s="239"/>
      <c r="BI132" s="239"/>
      <c r="BJ132" s="239"/>
      <c r="BK132" s="239"/>
      <c r="BL132" s="239"/>
      <c r="BM132" s="239"/>
      <c r="BN132" s="239"/>
      <c r="BO132" s="239"/>
      <c r="BP132" s="239"/>
      <c r="BQ132" s="239"/>
      <c r="BR132" s="239"/>
      <c r="BS132" s="239"/>
      <c r="BT132" s="239"/>
      <c r="BU132" s="239"/>
      <c r="BV132" s="239"/>
      <c r="BW132" s="239"/>
      <c r="BX132" s="239"/>
      <c r="BY132" s="239"/>
      <c r="BZ132" s="239"/>
      <c r="CA132" s="239"/>
      <c r="CB132" s="239"/>
      <c r="CC132" s="239"/>
      <c r="CD132" s="239"/>
      <c r="CE132" s="239"/>
    </row>
    <row r="133" spans="1:83" ht="12.95" customHeight="1">
      <c r="A133" s="21" t="s">
        <v>3356</v>
      </c>
      <c r="B133" s="21" t="s">
        <v>2104</v>
      </c>
      <c r="C133" s="51" t="s">
        <v>950</v>
      </c>
      <c r="D133" s="52" t="s">
        <v>1845</v>
      </c>
      <c r="E133" s="52" t="s">
        <v>1914</v>
      </c>
      <c r="F133" s="53" t="s">
        <v>1240</v>
      </c>
      <c r="G133" s="179" t="s">
        <v>1526</v>
      </c>
      <c r="H133" s="180" t="s">
        <v>1429</v>
      </c>
      <c r="I133" s="55"/>
      <c r="J133" s="55" t="s">
        <v>1915</v>
      </c>
      <c r="K133" s="56" t="s">
        <v>1429</v>
      </c>
      <c r="L133" s="54" t="s">
        <v>1580</v>
      </c>
      <c r="M133" s="55" t="s">
        <v>1429</v>
      </c>
      <c r="N133" s="55" t="s">
        <v>1581</v>
      </c>
      <c r="O133" s="55" t="s">
        <v>1581</v>
      </c>
      <c r="P133" s="56" t="s">
        <v>1429</v>
      </c>
      <c r="Q133" s="6" t="s">
        <v>755</v>
      </c>
      <c r="R133" s="6" t="s">
        <v>1362</v>
      </c>
      <c r="S133" s="52" t="s">
        <v>1382</v>
      </c>
      <c r="T133" s="52" t="s">
        <v>100</v>
      </c>
      <c r="U133" s="57" t="s">
        <v>755</v>
      </c>
      <c r="V133" s="146" t="s">
        <v>1916</v>
      </c>
      <c r="W133" s="51" t="s">
        <v>1890</v>
      </c>
      <c r="X133" s="130" t="s">
        <v>1429</v>
      </c>
      <c r="Y133" s="130" t="s">
        <v>1429</v>
      </c>
      <c r="Z133" s="51" t="s">
        <v>1585</v>
      </c>
      <c r="AA133" s="51" t="s">
        <v>1893</v>
      </c>
      <c r="AB133" s="51" t="s">
        <v>1435</v>
      </c>
      <c r="AC133" s="51" t="s">
        <v>1587</v>
      </c>
      <c r="AD133" s="59" t="str">
        <f t="shared" si="24"/>
        <v>DCA</v>
      </c>
      <c r="AE133" s="66"/>
      <c r="AF133" s="61" t="str">
        <f t="shared" si="25"/>
        <v>NORMAL</v>
      </c>
      <c r="AG133" s="61" t="str">
        <f t="shared" si="26"/>
        <v>NORMAL</v>
      </c>
      <c r="AH133" s="61" t="str">
        <f t="shared" si="27"/>
        <v>DISABLE</v>
      </c>
      <c r="AI133" s="67" t="str">
        <f t="shared" si="28"/>
        <v>N/A</v>
      </c>
      <c r="AJ133" s="176" t="b">
        <v>1</v>
      </c>
      <c r="AK133" s="176" t="b">
        <v>1</v>
      </c>
      <c r="AL133" s="176" t="b">
        <v>1</v>
      </c>
      <c r="AM133" s="176" t="b">
        <v>1</v>
      </c>
      <c r="AN133" s="176" t="b">
        <v>1</v>
      </c>
      <c r="AO133" s="176" t="b">
        <v>1</v>
      </c>
      <c r="AP133" s="64" t="str">
        <f t="shared" si="29"/>
        <v>VALID</v>
      </c>
      <c r="AQ133" s="211" t="s">
        <v>1915</v>
      </c>
      <c r="AR133" s="182" t="s">
        <v>3495</v>
      </c>
      <c r="AS133" s="181"/>
      <c r="AT133" s="5"/>
      <c r="AU133" s="5"/>
      <c r="AV133" s="5"/>
      <c r="AW133" s="181" t="s">
        <v>125</v>
      </c>
      <c r="AX133" s="284"/>
      <c r="AY133" s="181"/>
      <c r="AZ133" s="181"/>
      <c r="BA133" s="7"/>
      <c r="BB133" s="212"/>
      <c r="BC133" s="10" t="s">
        <v>3734</v>
      </c>
      <c r="BD133" s="238"/>
      <c r="BE133" s="239"/>
      <c r="BF133" s="239"/>
      <c r="BG133" s="239"/>
      <c r="BH133" s="239"/>
      <c r="BI133" s="239"/>
      <c r="BJ133" s="239"/>
      <c r="BK133" s="239"/>
      <c r="BL133" s="239"/>
      <c r="BM133" s="239"/>
      <c r="BN133" s="239"/>
      <c r="BO133" s="239"/>
      <c r="BP133" s="239"/>
      <c r="BQ133" s="239"/>
      <c r="BR133" s="239"/>
      <c r="BS133" s="239"/>
      <c r="BT133" s="239"/>
      <c r="BU133" s="239"/>
      <c r="BV133" s="239"/>
      <c r="BW133" s="239"/>
      <c r="BX133" s="239"/>
      <c r="BY133" s="239"/>
      <c r="BZ133" s="239"/>
      <c r="CA133" s="239"/>
      <c r="CB133" s="239"/>
      <c r="CC133" s="239"/>
      <c r="CD133" s="239"/>
      <c r="CE133" s="239"/>
    </row>
    <row r="134" spans="1:83" ht="12.95" customHeight="1">
      <c r="A134" s="21" t="s">
        <v>3357</v>
      </c>
      <c r="B134" s="21" t="s">
        <v>3569</v>
      </c>
      <c r="C134" s="51" t="s">
        <v>951</v>
      </c>
      <c r="D134" s="52" t="s">
        <v>1885</v>
      </c>
      <c r="E134" s="52" t="s">
        <v>1894</v>
      </c>
      <c r="F134" s="53" t="s">
        <v>1241</v>
      </c>
      <c r="G134" s="179" t="s">
        <v>1527</v>
      </c>
      <c r="H134" s="180" t="s">
        <v>1429</v>
      </c>
      <c r="I134" s="55" t="s">
        <v>1429</v>
      </c>
      <c r="J134" s="55"/>
      <c r="K134" s="56"/>
      <c r="L134" s="54" t="s">
        <v>1580</v>
      </c>
      <c r="M134" s="55" t="s">
        <v>1429</v>
      </c>
      <c r="N134" s="55" t="s">
        <v>1429</v>
      </c>
      <c r="O134" s="55" t="s">
        <v>1590</v>
      </c>
      <c r="P134" s="56" t="s">
        <v>1581</v>
      </c>
      <c r="Q134" s="178" t="s">
        <v>755</v>
      </c>
      <c r="R134" s="178" t="s">
        <v>113</v>
      </c>
      <c r="S134" s="178" t="s">
        <v>117</v>
      </c>
      <c r="T134" s="178" t="s">
        <v>1364</v>
      </c>
      <c r="U134" s="178" t="s">
        <v>755</v>
      </c>
      <c r="V134" s="146" t="s">
        <v>1917</v>
      </c>
      <c r="W134" s="51" t="s">
        <v>1890</v>
      </c>
      <c r="X134" s="130" t="s">
        <v>1429</v>
      </c>
      <c r="Y134" s="130" t="s">
        <v>1429</v>
      </c>
      <c r="Z134" s="51" t="s">
        <v>1585</v>
      </c>
      <c r="AA134" s="51" t="s">
        <v>1893</v>
      </c>
      <c r="AB134" s="51" t="s">
        <v>1435</v>
      </c>
      <c r="AC134" s="51" t="s">
        <v>1587</v>
      </c>
      <c r="AD134" s="59" t="str">
        <f t="shared" si="24"/>
        <v>GPIO_PU3</v>
      </c>
      <c r="AE134" s="66"/>
      <c r="AF134" s="61" t="str">
        <f t="shared" si="25"/>
        <v>NORMAL</v>
      </c>
      <c r="AG134" s="61" t="str">
        <f t="shared" si="26"/>
        <v>NORMAL</v>
      </c>
      <c r="AH134" s="61" t="str">
        <f t="shared" si="27"/>
        <v>DISABLE</v>
      </c>
      <c r="AI134" s="67" t="str">
        <f t="shared" si="28"/>
        <v>0</v>
      </c>
      <c r="AJ134" s="176" t="b">
        <v>1</v>
      </c>
      <c r="AK134" s="176" t="b">
        <v>1</v>
      </c>
      <c r="AL134" s="176" t="b">
        <v>1</v>
      </c>
      <c r="AM134" s="176" t="b">
        <v>1</v>
      </c>
      <c r="AN134" s="176" t="b">
        <v>1</v>
      </c>
      <c r="AO134" s="176" t="b">
        <v>1</v>
      </c>
      <c r="AP134" s="64" t="str">
        <f t="shared" si="29"/>
        <v>VALID</v>
      </c>
      <c r="AQ134" s="211" t="s">
        <v>1527</v>
      </c>
      <c r="AR134" s="182" t="s">
        <v>3495</v>
      </c>
      <c r="AS134" s="181" t="s">
        <v>3500</v>
      </c>
      <c r="AT134" s="5"/>
      <c r="AU134" s="5"/>
      <c r="AV134" s="5"/>
      <c r="AW134" s="181" t="s">
        <v>125</v>
      </c>
      <c r="AX134" s="284"/>
      <c r="AY134" s="181"/>
      <c r="AZ134" s="181"/>
      <c r="BA134" s="7"/>
      <c r="BB134" s="212"/>
      <c r="BC134" s="10" t="s">
        <v>3735</v>
      </c>
      <c r="BD134" s="240"/>
      <c r="BE134" s="239"/>
      <c r="BF134" s="239"/>
      <c r="BG134" s="239"/>
      <c r="BH134" s="239"/>
      <c r="BI134" s="239"/>
      <c r="BJ134" s="239"/>
      <c r="BK134" s="239"/>
      <c r="BL134" s="239"/>
      <c r="BM134" s="239"/>
      <c r="BN134" s="239"/>
      <c r="BO134" s="239"/>
      <c r="BP134" s="239"/>
      <c r="BQ134" s="239"/>
      <c r="BR134" s="239"/>
      <c r="BS134" s="239"/>
      <c r="BT134" s="239"/>
      <c r="BU134" s="239"/>
      <c r="BV134" s="239"/>
      <c r="BW134" s="239"/>
      <c r="BX134" s="239"/>
      <c r="BY134" s="239"/>
      <c r="BZ134" s="239"/>
      <c r="CA134" s="239"/>
      <c r="CB134" s="239"/>
      <c r="CC134" s="239"/>
      <c r="CD134" s="239"/>
      <c r="CE134" s="239"/>
    </row>
    <row r="135" spans="1:83" ht="12.95" customHeight="1">
      <c r="A135" s="21" t="s">
        <v>3358</v>
      </c>
      <c r="B135" s="21" t="s">
        <v>2128</v>
      </c>
      <c r="C135" s="51" t="s">
        <v>952</v>
      </c>
      <c r="D135" s="52" t="s">
        <v>1623</v>
      </c>
      <c r="E135" s="52" t="s">
        <v>1887</v>
      </c>
      <c r="F135" s="53" t="s">
        <v>1242</v>
      </c>
      <c r="G135" s="179" t="s">
        <v>1528</v>
      </c>
      <c r="H135" s="180" t="s">
        <v>1429</v>
      </c>
      <c r="I135" s="55"/>
      <c r="J135" s="55" t="s">
        <v>1918</v>
      </c>
      <c r="K135" s="56" t="s">
        <v>1429</v>
      </c>
      <c r="L135" s="54" t="s">
        <v>1580</v>
      </c>
      <c r="M135" s="55" t="s">
        <v>1429</v>
      </c>
      <c r="N135" s="55" t="s">
        <v>1590</v>
      </c>
      <c r="O135" s="55" t="s">
        <v>1581</v>
      </c>
      <c r="P135" s="56" t="s">
        <v>1429</v>
      </c>
      <c r="Q135" s="178" t="s">
        <v>755</v>
      </c>
      <c r="R135" s="178" t="s">
        <v>134</v>
      </c>
      <c r="S135" s="178" t="s">
        <v>1382</v>
      </c>
      <c r="T135" s="178" t="s">
        <v>100</v>
      </c>
      <c r="U135" s="178" t="s">
        <v>755</v>
      </c>
      <c r="V135" s="146" t="s">
        <v>1919</v>
      </c>
      <c r="W135" s="51" t="s">
        <v>1890</v>
      </c>
      <c r="X135" s="130" t="s">
        <v>1429</v>
      </c>
      <c r="Y135" s="130" t="s">
        <v>1429</v>
      </c>
      <c r="Z135" s="51" t="s">
        <v>1585</v>
      </c>
      <c r="AA135" s="51" t="s">
        <v>1893</v>
      </c>
      <c r="AB135" s="51" t="s">
        <v>1435</v>
      </c>
      <c r="AC135" s="51" t="s">
        <v>1587</v>
      </c>
      <c r="AD135" s="59" t="str">
        <f t="shared" si="24"/>
        <v>DCA</v>
      </c>
      <c r="AE135" s="66"/>
      <c r="AF135" s="61" t="str">
        <f t="shared" si="25"/>
        <v>NORMAL</v>
      </c>
      <c r="AG135" s="61" t="str">
        <f t="shared" si="26"/>
        <v>NORMAL</v>
      </c>
      <c r="AH135" s="61" t="str">
        <f t="shared" si="27"/>
        <v>DISABLE</v>
      </c>
      <c r="AI135" s="67" t="str">
        <f t="shared" si="28"/>
        <v>N/A</v>
      </c>
      <c r="AJ135" s="176" t="b">
        <v>1</v>
      </c>
      <c r="AK135" s="176" t="b">
        <v>1</v>
      </c>
      <c r="AL135" s="176" t="b">
        <v>1</v>
      </c>
      <c r="AM135" s="176" t="b">
        <v>1</v>
      </c>
      <c r="AN135" s="176" t="b">
        <v>1</v>
      </c>
      <c r="AO135" s="176" t="b">
        <v>1</v>
      </c>
      <c r="AP135" s="64" t="str">
        <f t="shared" si="29"/>
        <v>VALID</v>
      </c>
      <c r="AQ135" s="211" t="s">
        <v>1918</v>
      </c>
      <c r="AR135" s="182" t="s">
        <v>3495</v>
      </c>
      <c r="AS135" s="181"/>
      <c r="AT135" s="5"/>
      <c r="AU135" s="5"/>
      <c r="AV135" s="5"/>
      <c r="AW135" s="181" t="s">
        <v>125</v>
      </c>
      <c r="AX135" s="284"/>
      <c r="AY135" s="181"/>
      <c r="AZ135" s="181"/>
      <c r="BA135" s="7"/>
      <c r="BB135" s="212"/>
      <c r="BC135" s="10" t="s">
        <v>3736</v>
      </c>
      <c r="BD135" s="238"/>
      <c r="BE135" s="239"/>
      <c r="BF135" s="239"/>
      <c r="BG135" s="239"/>
      <c r="BH135" s="239"/>
      <c r="BI135" s="239"/>
      <c r="BJ135" s="239"/>
      <c r="BK135" s="239"/>
      <c r="BL135" s="239"/>
      <c r="BM135" s="239"/>
      <c r="BN135" s="239"/>
      <c r="BO135" s="239"/>
      <c r="BP135" s="239"/>
      <c r="BQ135" s="239"/>
      <c r="BR135" s="239"/>
      <c r="BS135" s="239"/>
      <c r="BT135" s="239"/>
      <c r="BU135" s="239"/>
      <c r="BV135" s="239"/>
      <c r="BW135" s="239"/>
      <c r="BX135" s="239"/>
      <c r="BY135" s="239"/>
      <c r="BZ135" s="239"/>
      <c r="CA135" s="239"/>
      <c r="CB135" s="239"/>
      <c r="CC135" s="239"/>
      <c r="CD135" s="239"/>
      <c r="CE135" s="239"/>
    </row>
    <row r="136" spans="1:83" ht="12.95" customHeight="1">
      <c r="A136" s="21" t="s">
        <v>3359</v>
      </c>
      <c r="B136" s="21" t="s">
        <v>1882</v>
      </c>
      <c r="C136" s="51" t="s">
        <v>953</v>
      </c>
      <c r="D136" s="52" t="s">
        <v>1602</v>
      </c>
      <c r="E136" s="52" t="s">
        <v>1628</v>
      </c>
      <c r="F136" s="53" t="s">
        <v>1243</v>
      </c>
      <c r="G136" s="179" t="s">
        <v>1529</v>
      </c>
      <c r="H136" s="180"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4"/>
        <v>GP</v>
      </c>
      <c r="AE136" s="66"/>
      <c r="AF136" s="61" t="str">
        <f t="shared" si="25"/>
        <v>NORMAL</v>
      </c>
      <c r="AG136" s="61" t="str">
        <f t="shared" si="26"/>
        <v>NORMAL</v>
      </c>
      <c r="AH136" s="61" t="str">
        <f t="shared" si="27"/>
        <v>DISABLE</v>
      </c>
      <c r="AI136" s="67" t="str">
        <f t="shared" si="28"/>
        <v>N/A</v>
      </c>
      <c r="AJ136" s="176" t="b">
        <v>1</v>
      </c>
      <c r="AK136" s="176" t="b">
        <v>1</v>
      </c>
      <c r="AL136" s="176" t="b">
        <v>1</v>
      </c>
      <c r="AM136" s="176" t="b">
        <v>1</v>
      </c>
      <c r="AN136" s="176" t="b">
        <v>1</v>
      </c>
      <c r="AO136" s="176" t="b">
        <v>1</v>
      </c>
      <c r="AP136" s="64" t="str">
        <f t="shared" si="29"/>
        <v>VALID</v>
      </c>
      <c r="AQ136" s="211" t="s">
        <v>1920</v>
      </c>
      <c r="AR136" s="182" t="s">
        <v>3495</v>
      </c>
      <c r="AS136" s="181" t="s">
        <v>3500</v>
      </c>
      <c r="AT136" s="5"/>
      <c r="AU136" s="5"/>
      <c r="AV136" s="5"/>
      <c r="AW136" s="181" t="s">
        <v>125</v>
      </c>
      <c r="AX136" s="284"/>
      <c r="AY136" s="181"/>
      <c r="AZ136" s="181"/>
      <c r="BA136" s="7"/>
      <c r="BB136" s="212"/>
      <c r="BC136" s="10" t="s">
        <v>3737</v>
      </c>
      <c r="BD136" s="238"/>
      <c r="BE136" s="239"/>
      <c r="BF136" s="239"/>
      <c r="BG136" s="239"/>
      <c r="BH136" s="239"/>
      <c r="BI136" s="239"/>
      <c r="BJ136" s="239"/>
      <c r="BK136" s="239"/>
      <c r="BL136" s="239"/>
      <c r="BM136" s="239"/>
      <c r="BN136" s="239"/>
      <c r="BO136" s="239"/>
      <c r="BP136" s="239"/>
      <c r="BQ136" s="239"/>
      <c r="BR136" s="239"/>
      <c r="BS136" s="239"/>
      <c r="BT136" s="239"/>
      <c r="BU136" s="239"/>
      <c r="BV136" s="239"/>
      <c r="BW136" s="239"/>
      <c r="BX136" s="239"/>
      <c r="BY136" s="239"/>
      <c r="BZ136" s="239"/>
      <c r="CA136" s="239"/>
      <c r="CB136" s="239"/>
      <c r="CC136" s="239"/>
      <c r="CD136" s="239"/>
      <c r="CE136" s="239"/>
    </row>
    <row r="137" spans="1:83" ht="12.95" customHeight="1">
      <c r="A137" s="21" t="s">
        <v>1406</v>
      </c>
      <c r="B137" s="21" t="s">
        <v>3577</v>
      </c>
      <c r="C137" s="51" t="s">
        <v>313</v>
      </c>
      <c r="D137" s="52" t="s">
        <v>1922</v>
      </c>
      <c r="E137" s="52" t="s">
        <v>1923</v>
      </c>
      <c r="F137" s="53" t="s">
        <v>1244</v>
      </c>
      <c r="G137" s="179" t="s">
        <v>1530</v>
      </c>
      <c r="H137" s="180" t="s">
        <v>1429</v>
      </c>
      <c r="I137" s="55" t="s">
        <v>1429</v>
      </c>
      <c r="J137" s="55" t="s">
        <v>1429</v>
      </c>
      <c r="K137" s="56" t="s">
        <v>1429</v>
      </c>
      <c r="L137" s="54" t="s">
        <v>1580</v>
      </c>
      <c r="M137" s="55" t="s">
        <v>1429</v>
      </c>
      <c r="N137" s="55" t="s">
        <v>1429</v>
      </c>
      <c r="O137" s="55" t="s">
        <v>1429</v>
      </c>
      <c r="P137" s="56" t="s">
        <v>1429</v>
      </c>
      <c r="Q137" s="6" t="s">
        <v>755</v>
      </c>
      <c r="R137" s="6" t="s">
        <v>113</v>
      </c>
      <c r="S137" s="52" t="s">
        <v>99</v>
      </c>
      <c r="T137" s="52" t="s">
        <v>100</v>
      </c>
      <c r="U137" s="57" t="s">
        <v>755</v>
      </c>
      <c r="V137" s="146" t="s">
        <v>1924</v>
      </c>
      <c r="W137" s="51" t="s">
        <v>1890</v>
      </c>
      <c r="X137" s="130" t="s">
        <v>1925</v>
      </c>
      <c r="Y137" s="130" t="s">
        <v>1429</v>
      </c>
      <c r="Z137" s="51" t="s">
        <v>1585</v>
      </c>
      <c r="AA137" s="51" t="s">
        <v>1893</v>
      </c>
      <c r="AB137" s="51" t="s">
        <v>1435</v>
      </c>
      <c r="AC137" s="51" t="s">
        <v>1587</v>
      </c>
      <c r="AD137" s="59" t="str">
        <f t="shared" si="24"/>
        <v>GPIO_PFF0</v>
      </c>
      <c r="AE137" s="66"/>
      <c r="AF137" s="61" t="str">
        <f t="shared" si="25"/>
        <v>PULL_UP</v>
      </c>
      <c r="AG137" s="61" t="str">
        <f t="shared" si="26"/>
        <v>TRISTATE</v>
      </c>
      <c r="AH137" s="61" t="str">
        <f t="shared" si="27"/>
        <v>ENABLE</v>
      </c>
      <c r="AI137" s="67" t="str">
        <f t="shared" si="28"/>
        <v/>
      </c>
      <c r="AJ137" s="176" t="b">
        <v>1</v>
      </c>
      <c r="AK137" s="176" t="b">
        <v>1</v>
      </c>
      <c r="AL137" s="176" t="b">
        <v>1</v>
      </c>
      <c r="AM137" s="176" t="b">
        <v>1</v>
      </c>
      <c r="AN137" s="176" t="b">
        <v>1</v>
      </c>
      <c r="AO137" s="176" t="b">
        <v>1</v>
      </c>
      <c r="AP137" s="64" t="str">
        <f t="shared" si="29"/>
        <v>VALID</v>
      </c>
      <c r="AQ137" s="211" t="s">
        <v>1530</v>
      </c>
      <c r="AR137" s="182" t="s">
        <v>3496</v>
      </c>
      <c r="AS137" s="181" t="s">
        <v>3497</v>
      </c>
      <c r="AT137" s="181" t="s">
        <v>3499</v>
      </c>
      <c r="AU137" s="5"/>
      <c r="AV137" s="5"/>
      <c r="AW137" s="181" t="s">
        <v>125</v>
      </c>
      <c r="AX137" s="284"/>
      <c r="AY137" s="181"/>
      <c r="AZ137" s="181"/>
      <c r="BA137" s="7"/>
      <c r="BB137" s="212"/>
      <c r="BC137" s="10" t="s">
        <v>3738</v>
      </c>
      <c r="BD137" s="240"/>
      <c r="BE137" s="239"/>
      <c r="BF137" s="239"/>
      <c r="BG137" s="239"/>
      <c r="BH137" s="239"/>
      <c r="BI137" s="239"/>
      <c r="BJ137" s="239"/>
      <c r="BK137" s="239"/>
      <c r="BL137" s="239"/>
      <c r="BM137" s="239"/>
      <c r="BN137" s="239"/>
      <c r="BO137" s="239"/>
      <c r="BP137" s="239"/>
      <c r="BQ137" s="239"/>
      <c r="BR137" s="239"/>
      <c r="BS137" s="239"/>
      <c r="BT137" s="239"/>
      <c r="BU137" s="239"/>
      <c r="BV137" s="239"/>
      <c r="BW137" s="239"/>
      <c r="BX137" s="239"/>
      <c r="BY137" s="239"/>
      <c r="BZ137" s="239"/>
      <c r="CA137" s="239"/>
      <c r="CB137" s="239"/>
      <c r="CC137" s="239"/>
      <c r="CD137" s="239"/>
      <c r="CE137" s="239"/>
    </row>
    <row r="138" spans="1:83" ht="12.95" customHeight="1">
      <c r="A138" s="21" t="s">
        <v>1405</v>
      </c>
      <c r="B138" s="21" t="s">
        <v>3561</v>
      </c>
      <c r="C138" s="51" t="s">
        <v>155</v>
      </c>
      <c r="D138" s="52" t="s">
        <v>1620</v>
      </c>
      <c r="E138" s="52" t="s">
        <v>1926</v>
      </c>
      <c r="F138" s="53" t="s">
        <v>535</v>
      </c>
      <c r="G138" s="179" t="s">
        <v>1429</v>
      </c>
      <c r="H138" s="180" t="s">
        <v>1531</v>
      </c>
      <c r="I138" s="55" t="s">
        <v>1429</v>
      </c>
      <c r="J138" s="55" t="s">
        <v>1429</v>
      </c>
      <c r="K138" s="56" t="s">
        <v>1429</v>
      </c>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7"/>
      <c r="AE138" s="66"/>
      <c r="AF138" s="61" t="str">
        <f t="shared" si="25"/>
        <v>PULL_UP</v>
      </c>
      <c r="AG138" s="61" t="str">
        <f t="shared" si="26"/>
        <v>TRISTATE</v>
      </c>
      <c r="AH138" s="61" t="str">
        <f t="shared" si="27"/>
        <v>ENABLE</v>
      </c>
      <c r="AI138" s="67" t="str">
        <f t="shared" si="28"/>
        <v>N/A</v>
      </c>
      <c r="AJ138" s="176" t="b">
        <v>1</v>
      </c>
      <c r="AK138" s="176" t="b">
        <v>1</v>
      </c>
      <c r="AL138" s="176" t="b">
        <v>1</v>
      </c>
      <c r="AM138" s="176" t="b">
        <v>1</v>
      </c>
      <c r="AN138" s="176" t="b">
        <v>1</v>
      </c>
      <c r="AO138" s="176" t="b">
        <v>1</v>
      </c>
      <c r="AP138" s="64" t="str">
        <f t="shared" si="29"/>
        <v>VALID</v>
      </c>
      <c r="AQ138" s="211" t="s">
        <v>1531</v>
      </c>
      <c r="AR138" s="182" t="s">
        <v>3496</v>
      </c>
      <c r="AS138" s="181" t="s">
        <v>3497</v>
      </c>
      <c r="AT138" s="5"/>
      <c r="AU138" s="5"/>
      <c r="AV138" s="5"/>
      <c r="AW138" s="5"/>
      <c r="AX138" s="284"/>
      <c r="AY138" s="181"/>
      <c r="AZ138" s="181"/>
      <c r="BA138" s="7"/>
      <c r="BB138" s="212"/>
      <c r="BC138" s="10" t="s">
        <v>3739</v>
      </c>
      <c r="BD138" s="238"/>
      <c r="BE138" s="239"/>
      <c r="BF138" s="239"/>
      <c r="BG138" s="239"/>
      <c r="BH138" s="239"/>
      <c r="BI138" s="239"/>
      <c r="BJ138" s="239"/>
      <c r="BK138" s="239"/>
      <c r="BL138" s="239"/>
      <c r="BM138" s="239"/>
      <c r="BN138" s="239"/>
      <c r="BO138" s="239"/>
      <c r="BP138" s="239"/>
      <c r="BQ138" s="239"/>
      <c r="BR138" s="239"/>
      <c r="BS138" s="239"/>
      <c r="BT138" s="239"/>
      <c r="BU138" s="239"/>
      <c r="BV138" s="239"/>
      <c r="BW138" s="239"/>
      <c r="BX138" s="239"/>
      <c r="BY138" s="239"/>
      <c r="BZ138" s="239"/>
      <c r="CA138" s="239"/>
      <c r="CB138" s="239"/>
      <c r="CC138" s="239"/>
      <c r="CD138" s="239"/>
      <c r="CE138" s="239"/>
    </row>
    <row r="139" spans="1:83" ht="12.95" customHeight="1">
      <c r="A139" s="1"/>
      <c r="B139" s="1"/>
      <c r="C139" s="51" t="s">
        <v>300</v>
      </c>
      <c r="D139" s="52" t="s">
        <v>1617</v>
      </c>
      <c r="E139" s="52" t="s">
        <v>1930</v>
      </c>
      <c r="F139" s="53" t="s">
        <v>534</v>
      </c>
      <c r="G139" s="179" t="s">
        <v>1429</v>
      </c>
      <c r="H139" s="180" t="s">
        <v>300</v>
      </c>
      <c r="I139" s="55" t="s">
        <v>1429</v>
      </c>
      <c r="J139" s="55" t="s">
        <v>1429</v>
      </c>
      <c r="K139" s="56" t="s">
        <v>1429</v>
      </c>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7"/>
      <c r="AE139" s="66"/>
      <c r="AF139" s="61" t="str">
        <f t="shared" si="25"/>
        <v>NORMAL</v>
      </c>
      <c r="AG139" s="61" t="str">
        <f t="shared" si="26"/>
        <v>NORMAL</v>
      </c>
      <c r="AH139" s="61" t="str">
        <f t="shared" si="27"/>
        <v>DISABLE</v>
      </c>
      <c r="AI139" s="67" t="str">
        <f t="shared" si="28"/>
        <v>N/A</v>
      </c>
      <c r="AJ139" s="176" t="b">
        <v>1</v>
      </c>
      <c r="AK139" s="176" t="b">
        <v>1</v>
      </c>
      <c r="AL139" s="176" t="b">
        <v>1</v>
      </c>
      <c r="AM139" s="176" t="b">
        <v>1</v>
      </c>
      <c r="AN139" s="176" t="b">
        <v>1</v>
      </c>
      <c r="AO139" s="176" t="b">
        <v>1</v>
      </c>
      <c r="AP139" s="64" t="str">
        <f t="shared" si="29"/>
        <v>VALID</v>
      </c>
      <c r="AQ139" s="341" t="s">
        <v>300</v>
      </c>
      <c r="AR139" s="336" t="s">
        <v>3495</v>
      </c>
      <c r="AS139" s="337"/>
      <c r="AT139" s="342"/>
      <c r="AU139" s="342"/>
      <c r="AV139" s="342"/>
      <c r="AW139" s="337" t="s">
        <v>125</v>
      </c>
      <c r="AX139" s="342"/>
      <c r="AY139" s="337"/>
      <c r="AZ139" s="337"/>
      <c r="BA139" s="343"/>
      <c r="BB139" s="338"/>
      <c r="BC139" s="344" t="s">
        <v>3516</v>
      </c>
      <c r="BD139" s="248"/>
      <c r="BE139" s="239"/>
      <c r="BF139" s="239"/>
      <c r="BG139" s="239"/>
      <c r="BH139" s="239"/>
      <c r="BI139" s="239"/>
      <c r="BJ139" s="239"/>
      <c r="BK139" s="239"/>
      <c r="BL139" s="239"/>
      <c r="BM139" s="239"/>
      <c r="BN139" s="239"/>
      <c r="BO139" s="239"/>
      <c r="BP139" s="239"/>
      <c r="BQ139" s="239"/>
      <c r="BR139" s="239"/>
      <c r="BS139" s="239"/>
      <c r="BT139" s="239"/>
      <c r="BU139" s="239"/>
      <c r="BV139" s="239"/>
      <c r="BW139" s="239"/>
      <c r="BX139" s="239"/>
      <c r="BY139" s="239"/>
      <c r="BZ139" s="239"/>
      <c r="CA139" s="239"/>
      <c r="CB139" s="239"/>
      <c r="CC139" s="239"/>
      <c r="CD139" s="239"/>
      <c r="CE139" s="239"/>
    </row>
    <row r="140" spans="1:83" ht="15">
      <c r="A140" s="21" t="s">
        <v>3804</v>
      </c>
      <c r="B140" s="21" t="s">
        <v>1871</v>
      </c>
      <c r="C140" s="51" t="s">
        <v>941</v>
      </c>
      <c r="D140" s="52" t="s">
        <v>1634</v>
      </c>
      <c r="E140" s="52" t="s">
        <v>1932</v>
      </c>
      <c r="F140" s="53" t="s">
        <v>1245</v>
      </c>
      <c r="G140" s="179" t="s">
        <v>1933</v>
      </c>
      <c r="H140" s="180"/>
      <c r="I140" s="55" t="s">
        <v>1429</v>
      </c>
      <c r="J140" s="55" t="s">
        <v>1429</v>
      </c>
      <c r="K140" s="56" t="s">
        <v>1429</v>
      </c>
      <c r="L140" s="54" t="s">
        <v>1580</v>
      </c>
      <c r="M140" s="55" t="s">
        <v>1581</v>
      </c>
      <c r="N140" s="55" t="s">
        <v>1429</v>
      </c>
      <c r="O140" s="55" t="s">
        <v>1429</v>
      </c>
      <c r="P140" s="56" t="s">
        <v>1429</v>
      </c>
      <c r="Q140" s="6" t="s">
        <v>1363</v>
      </c>
      <c r="R140" s="6" t="s">
        <v>113</v>
      </c>
      <c r="S140" s="52" t="s">
        <v>99</v>
      </c>
      <c r="T140" s="52" t="s">
        <v>100</v>
      </c>
      <c r="U140" s="57" t="s">
        <v>113</v>
      </c>
      <c r="V140" s="146" t="s">
        <v>1934</v>
      </c>
      <c r="W140" s="51" t="s">
        <v>1890</v>
      </c>
      <c r="X140" s="130" t="s">
        <v>1935</v>
      </c>
      <c r="Y140" s="130" t="s">
        <v>1429</v>
      </c>
      <c r="Z140" s="51" t="s">
        <v>1585</v>
      </c>
      <c r="AA140" s="51" t="s">
        <v>1893</v>
      </c>
      <c r="AB140" s="51" t="s">
        <v>1435</v>
      </c>
      <c r="AC140" s="51">
        <v>1</v>
      </c>
      <c r="AD140" s="59" t="str">
        <f t="shared" si="24"/>
        <v>GPIO_PS3</v>
      </c>
      <c r="AE140" s="66"/>
      <c r="AF140" s="61" t="str">
        <f t="shared" si="25"/>
        <v>NORMAL</v>
      </c>
      <c r="AG140" s="61" t="str">
        <f t="shared" si="26"/>
        <v>NORMAL</v>
      </c>
      <c r="AH140" s="61" t="str">
        <f t="shared" si="27"/>
        <v>DISABLE</v>
      </c>
      <c r="AI140" s="67" t="str">
        <f t="shared" si="28"/>
        <v>0</v>
      </c>
      <c r="AJ140" s="176" t="b">
        <v>1</v>
      </c>
      <c r="AK140" s="176" t="b">
        <v>1</v>
      </c>
      <c r="AL140" s="176" t="b">
        <v>1</v>
      </c>
      <c r="AM140" s="176" t="b">
        <v>1</v>
      </c>
      <c r="AN140" s="176" t="b">
        <v>1</v>
      </c>
      <c r="AO140" s="176" t="b">
        <v>1</v>
      </c>
      <c r="AP140" s="64" t="str">
        <f t="shared" si="29"/>
        <v>VALID</v>
      </c>
      <c r="AQ140" s="211" t="s">
        <v>1933</v>
      </c>
      <c r="AR140" s="182" t="s">
        <v>3495</v>
      </c>
      <c r="AS140" s="181" t="s">
        <v>3500</v>
      </c>
      <c r="AT140" s="181" t="s">
        <v>104</v>
      </c>
      <c r="AU140" s="5"/>
      <c r="AV140" s="5"/>
      <c r="AW140" s="181" t="s">
        <v>125</v>
      </c>
      <c r="AX140" s="284"/>
      <c r="AY140" s="181"/>
      <c r="AZ140" s="181"/>
      <c r="BA140" s="7"/>
      <c r="BB140" s="212"/>
      <c r="BC140" s="10" t="s">
        <v>3740</v>
      </c>
      <c r="BD140" s="240"/>
      <c r="BE140" s="239"/>
      <c r="BF140" s="239"/>
      <c r="BG140" s="239"/>
      <c r="BH140" s="239"/>
      <c r="BI140" s="239"/>
      <c r="BJ140" s="239"/>
      <c r="BK140" s="239"/>
      <c r="BL140" s="239"/>
      <c r="BM140" s="239"/>
      <c r="BN140" s="239"/>
      <c r="BO140" s="239"/>
      <c r="BP140" s="239"/>
      <c r="BQ140" s="239"/>
      <c r="BR140" s="239"/>
      <c r="BS140" s="239"/>
      <c r="BT140" s="239"/>
      <c r="BU140" s="239"/>
      <c r="BV140" s="239"/>
      <c r="BW140" s="239"/>
      <c r="BX140" s="239"/>
      <c r="BY140" s="239"/>
      <c r="BZ140" s="239"/>
      <c r="CA140" s="239"/>
      <c r="CB140" s="239"/>
      <c r="CC140" s="239"/>
      <c r="CD140" s="239"/>
      <c r="CE140" s="239"/>
    </row>
    <row r="141" spans="1:83" ht="12.95" customHeight="1">
      <c r="A141" s="1"/>
      <c r="B141" s="1"/>
      <c r="C141" s="51" t="s">
        <v>942</v>
      </c>
      <c r="D141" s="52" t="s">
        <v>1612</v>
      </c>
      <c r="E141" s="52" t="s">
        <v>1936</v>
      </c>
      <c r="F141" s="53" t="s">
        <v>1246</v>
      </c>
      <c r="G141" s="179"/>
      <c r="H141" s="180" t="s">
        <v>1439</v>
      </c>
      <c r="I141" s="55" t="s">
        <v>1429</v>
      </c>
      <c r="J141" s="55" t="s">
        <v>1429</v>
      </c>
      <c r="K141" s="56" t="s">
        <v>1429</v>
      </c>
      <c r="L141" s="54" t="s">
        <v>1580</v>
      </c>
      <c r="M141" s="55" t="s">
        <v>1590</v>
      </c>
      <c r="N141" s="55" t="s">
        <v>1429</v>
      </c>
      <c r="O141" s="55" t="s">
        <v>1429</v>
      </c>
      <c r="P141" s="56" t="s">
        <v>1429</v>
      </c>
      <c r="Q141" s="6" t="s">
        <v>134</v>
      </c>
      <c r="R141" s="6" t="s">
        <v>113</v>
      </c>
      <c r="S141" s="52" t="s">
        <v>99</v>
      </c>
      <c r="T141" s="52" t="s">
        <v>100</v>
      </c>
      <c r="U141" s="57" t="s">
        <v>113</v>
      </c>
      <c r="V141" s="146" t="s">
        <v>1937</v>
      </c>
      <c r="W141" s="51" t="s">
        <v>1890</v>
      </c>
      <c r="X141" s="130" t="s">
        <v>1938</v>
      </c>
      <c r="Y141" s="130" t="s">
        <v>1429</v>
      </c>
      <c r="Z141" s="51" t="s">
        <v>1585</v>
      </c>
      <c r="AA141" s="51" t="s">
        <v>1893</v>
      </c>
      <c r="AB141" s="51" t="s">
        <v>1435</v>
      </c>
      <c r="AC141" s="51" t="s">
        <v>1587</v>
      </c>
      <c r="AD141" s="59" t="str">
        <f t="shared" si="24"/>
        <v>SOC</v>
      </c>
      <c r="AE141" s="66"/>
      <c r="AF141" s="61" t="str">
        <f t="shared" si="25"/>
        <v>PULL_UP</v>
      </c>
      <c r="AG141" s="61" t="str">
        <f t="shared" si="26"/>
        <v>TRISTATE</v>
      </c>
      <c r="AH141" s="61" t="str">
        <f t="shared" si="27"/>
        <v>ENABLE</v>
      </c>
      <c r="AI141" s="67" t="str">
        <f t="shared" si="28"/>
        <v>N/A</v>
      </c>
      <c r="AJ141" s="176" t="b">
        <v>1</v>
      </c>
      <c r="AK141" s="176" t="b">
        <v>1</v>
      </c>
      <c r="AL141" s="176" t="b">
        <v>1</v>
      </c>
      <c r="AM141" s="176" t="b">
        <v>1</v>
      </c>
      <c r="AN141" s="176" t="b">
        <v>1</v>
      </c>
      <c r="AO141" s="176" t="b">
        <v>1</v>
      </c>
      <c r="AP141" s="64" t="str">
        <f t="shared" si="29"/>
        <v>VALID</v>
      </c>
      <c r="AQ141" s="341" t="s">
        <v>1439</v>
      </c>
      <c r="AR141" s="336" t="s">
        <v>3496</v>
      </c>
      <c r="AS141" s="337" t="s">
        <v>3497</v>
      </c>
      <c r="AT141" s="337" t="s">
        <v>3499</v>
      </c>
      <c r="AU141" s="342"/>
      <c r="AV141" s="342"/>
      <c r="AW141" s="337" t="s">
        <v>125</v>
      </c>
      <c r="AX141" s="342"/>
      <c r="AY141" s="337"/>
      <c r="AZ141" s="337"/>
      <c r="BA141" s="343"/>
      <c r="BB141" s="338"/>
      <c r="BC141" s="344" t="s">
        <v>1439</v>
      </c>
      <c r="BD141" s="248"/>
      <c r="BE141" s="239"/>
      <c r="BF141" s="239"/>
      <c r="BG141" s="239"/>
      <c r="BH141" s="239"/>
      <c r="BI141" s="239"/>
      <c r="BJ141" s="239"/>
      <c r="BK141" s="239"/>
      <c r="BL141" s="239"/>
      <c r="BM141" s="239"/>
      <c r="BN141" s="239"/>
      <c r="BO141" s="239"/>
      <c r="BP141" s="239"/>
      <c r="BQ141" s="239"/>
      <c r="BR141" s="239"/>
      <c r="BS141" s="239"/>
      <c r="BT141" s="239"/>
      <c r="BU141" s="239"/>
      <c r="BV141" s="239"/>
      <c r="BW141" s="239"/>
      <c r="BX141" s="239"/>
      <c r="BY141" s="239"/>
      <c r="BZ141" s="239"/>
      <c r="CA141" s="239"/>
      <c r="CB141" s="239"/>
      <c r="CC141" s="239"/>
      <c r="CD141" s="239"/>
      <c r="CE141" s="239"/>
    </row>
    <row r="142" spans="1:83" ht="12.95" customHeight="1">
      <c r="A142" s="1"/>
      <c r="B142" s="1"/>
      <c r="C142" s="51" t="s">
        <v>34</v>
      </c>
      <c r="D142" s="52" t="s">
        <v>1626</v>
      </c>
      <c r="E142" s="52" t="s">
        <v>1939</v>
      </c>
      <c r="F142" s="53" t="s">
        <v>148</v>
      </c>
      <c r="G142" s="179"/>
      <c r="H142" s="180" t="s">
        <v>1532</v>
      </c>
      <c r="I142" s="55" t="s">
        <v>1429</v>
      </c>
      <c r="J142" s="55" t="s">
        <v>1429</v>
      </c>
      <c r="K142" s="56" t="s">
        <v>1429</v>
      </c>
      <c r="L142" s="54" t="s">
        <v>1580</v>
      </c>
      <c r="M142" s="55" t="s">
        <v>1580</v>
      </c>
      <c r="N142" s="55" t="s">
        <v>1429</v>
      </c>
      <c r="O142" s="55" t="s">
        <v>1429</v>
      </c>
      <c r="P142" s="56" t="s">
        <v>1429</v>
      </c>
      <c r="Q142" s="6" t="s">
        <v>1365</v>
      </c>
      <c r="R142" s="6" t="s">
        <v>113</v>
      </c>
      <c r="S142" s="52" t="s">
        <v>99</v>
      </c>
      <c r="T142" s="52" t="s">
        <v>100</v>
      </c>
      <c r="U142" s="57" t="s">
        <v>113</v>
      </c>
      <c r="V142" s="146" t="s">
        <v>1940</v>
      </c>
      <c r="W142" s="51" t="s">
        <v>1890</v>
      </c>
      <c r="X142" s="130" t="s">
        <v>1429</v>
      </c>
      <c r="Y142" s="130" t="s">
        <v>1429</v>
      </c>
      <c r="Z142" s="51" t="s">
        <v>1631</v>
      </c>
      <c r="AA142" s="51" t="s">
        <v>1941</v>
      </c>
      <c r="AB142" s="51" t="s">
        <v>1435</v>
      </c>
      <c r="AC142" s="51" t="s">
        <v>1633</v>
      </c>
      <c r="AD142" s="59" t="str">
        <f t="shared" si="24"/>
        <v>I2C5</v>
      </c>
      <c r="AE142" s="66"/>
      <c r="AF142" s="61" t="str">
        <f t="shared" si="25"/>
        <v>NORMAL</v>
      </c>
      <c r="AG142" s="61" t="str">
        <f t="shared" si="26"/>
        <v>NORMAL</v>
      </c>
      <c r="AH142" s="61" t="str">
        <f t="shared" si="27"/>
        <v>ENABLE</v>
      </c>
      <c r="AI142" s="67" t="str">
        <f t="shared" si="28"/>
        <v>N/A</v>
      </c>
      <c r="AJ142" s="176" t="b">
        <v>1</v>
      </c>
      <c r="AK142" s="176" t="b">
        <v>1</v>
      </c>
      <c r="AL142" s="176" t="b">
        <v>1</v>
      </c>
      <c r="AM142" s="176" t="b">
        <v>1</v>
      </c>
      <c r="AN142" s="176" t="b">
        <v>1</v>
      </c>
      <c r="AO142" s="176" t="b">
        <v>1</v>
      </c>
      <c r="AP142" s="64" t="str">
        <f t="shared" si="29"/>
        <v>VALID</v>
      </c>
      <c r="AQ142" s="341" t="s">
        <v>1532</v>
      </c>
      <c r="AR142" s="336" t="s">
        <v>3501</v>
      </c>
      <c r="AS142" s="337"/>
      <c r="AT142" s="342"/>
      <c r="AU142" s="342"/>
      <c r="AV142" s="337" t="s">
        <v>125</v>
      </c>
      <c r="AW142" s="337" t="s">
        <v>125</v>
      </c>
      <c r="AX142" s="342"/>
      <c r="AY142" s="337"/>
      <c r="AZ142" s="337"/>
      <c r="BA142" s="343"/>
      <c r="BB142" s="338"/>
      <c r="BC142" s="344" t="s">
        <v>3778</v>
      </c>
      <c r="BD142" s="248"/>
      <c r="BE142" s="239"/>
      <c r="BF142" s="239"/>
      <c r="BG142" s="239"/>
      <c r="BH142" s="239"/>
      <c r="BI142" s="239"/>
      <c r="BJ142" s="239"/>
      <c r="BK142" s="239"/>
      <c r="BL142" s="239"/>
      <c r="BM142" s="239"/>
      <c r="BN142" s="239"/>
      <c r="BO142" s="239"/>
      <c r="BP142" s="239"/>
      <c r="BQ142" s="239"/>
      <c r="BR142" s="239"/>
      <c r="BS142" s="239"/>
      <c r="BT142" s="239"/>
      <c r="BU142" s="239"/>
      <c r="BV142" s="239"/>
      <c r="BW142" s="239"/>
      <c r="BX142" s="239"/>
      <c r="BY142" s="239"/>
      <c r="BZ142" s="239"/>
      <c r="CA142" s="239"/>
      <c r="CB142" s="239"/>
      <c r="CC142" s="239"/>
      <c r="CD142" s="239"/>
      <c r="CE142" s="239"/>
    </row>
    <row r="143" spans="1:83" ht="12.95" customHeight="1">
      <c r="A143" s="1"/>
      <c r="B143" s="1"/>
      <c r="C143" s="51" t="s">
        <v>35</v>
      </c>
      <c r="D143" s="52" t="s">
        <v>1579</v>
      </c>
      <c r="E143" s="52" t="s">
        <v>1942</v>
      </c>
      <c r="F143" s="53" t="s">
        <v>149</v>
      </c>
      <c r="G143" s="179"/>
      <c r="H143" s="180" t="s">
        <v>1533</v>
      </c>
      <c r="I143" s="55" t="s">
        <v>1429</v>
      </c>
      <c r="J143" s="55" t="s">
        <v>1429</v>
      </c>
      <c r="K143" s="56" t="s">
        <v>1429</v>
      </c>
      <c r="L143" s="54" t="s">
        <v>1580</v>
      </c>
      <c r="M143" s="55" t="s">
        <v>1580</v>
      </c>
      <c r="N143" s="55" t="s">
        <v>1429</v>
      </c>
      <c r="O143" s="55" t="s">
        <v>1429</v>
      </c>
      <c r="P143" s="56" t="s">
        <v>1429</v>
      </c>
      <c r="Q143" s="6" t="s">
        <v>1365</v>
      </c>
      <c r="R143" s="6" t="s">
        <v>113</v>
      </c>
      <c r="S143" s="52" t="s">
        <v>99</v>
      </c>
      <c r="T143" s="52" t="s">
        <v>100</v>
      </c>
      <c r="U143" s="57" t="s">
        <v>113</v>
      </c>
      <c r="V143" s="146" t="s">
        <v>1943</v>
      </c>
      <c r="W143" s="51" t="s">
        <v>1890</v>
      </c>
      <c r="X143" s="130" t="s">
        <v>1944</v>
      </c>
      <c r="Y143" s="130" t="s">
        <v>1429</v>
      </c>
      <c r="Z143" s="51" t="s">
        <v>1631</v>
      </c>
      <c r="AA143" s="51" t="s">
        <v>1941</v>
      </c>
      <c r="AB143" s="51" t="s">
        <v>1435</v>
      </c>
      <c r="AC143" s="51" t="s">
        <v>1633</v>
      </c>
      <c r="AD143" s="59" t="str">
        <f t="shared" si="24"/>
        <v>I2C5</v>
      </c>
      <c r="AE143" s="66"/>
      <c r="AF143" s="61" t="str">
        <f t="shared" si="25"/>
        <v>NORMAL</v>
      </c>
      <c r="AG143" s="61" t="str">
        <f t="shared" si="26"/>
        <v>NORMAL</v>
      </c>
      <c r="AH143" s="61" t="str">
        <f t="shared" si="27"/>
        <v>ENABLE</v>
      </c>
      <c r="AI143" s="67" t="str">
        <f t="shared" si="28"/>
        <v>N/A</v>
      </c>
      <c r="AJ143" s="176" t="b">
        <v>1</v>
      </c>
      <c r="AK143" s="176" t="b">
        <v>1</v>
      </c>
      <c r="AL143" s="176" t="b">
        <v>1</v>
      </c>
      <c r="AM143" s="176" t="b">
        <v>1</v>
      </c>
      <c r="AN143" s="176" t="b">
        <v>1</v>
      </c>
      <c r="AO143" s="176" t="b">
        <v>1</v>
      </c>
      <c r="AP143" s="64" t="str">
        <f t="shared" si="29"/>
        <v>VALID</v>
      </c>
      <c r="AQ143" s="341" t="s">
        <v>1533</v>
      </c>
      <c r="AR143" s="336" t="s">
        <v>3501</v>
      </c>
      <c r="AS143" s="337"/>
      <c r="AT143" s="337" t="s">
        <v>104</v>
      </c>
      <c r="AU143" s="342"/>
      <c r="AV143" s="337" t="s">
        <v>125</v>
      </c>
      <c r="AW143" s="337" t="s">
        <v>125</v>
      </c>
      <c r="AX143" s="342"/>
      <c r="AY143" s="337"/>
      <c r="AZ143" s="337"/>
      <c r="BA143" s="343"/>
      <c r="BB143" s="338"/>
      <c r="BC143" s="344" t="s">
        <v>3777</v>
      </c>
      <c r="BD143" s="248"/>
      <c r="BE143" s="239"/>
      <c r="BF143" s="239"/>
      <c r="BG143" s="239"/>
      <c r="BH143" s="239"/>
      <c r="BI143" s="239"/>
      <c r="BJ143" s="239"/>
      <c r="BK143" s="239"/>
      <c r="BL143" s="239"/>
      <c r="BM143" s="239"/>
      <c r="BN143" s="239"/>
      <c r="BO143" s="239"/>
      <c r="BP143" s="239"/>
      <c r="BQ143" s="239"/>
      <c r="BR143" s="239"/>
      <c r="BS143" s="239"/>
      <c r="BT143" s="239"/>
      <c r="BU143" s="239"/>
      <c r="BV143" s="239"/>
      <c r="BW143" s="239"/>
      <c r="BX143" s="239"/>
      <c r="BY143" s="239"/>
      <c r="BZ143" s="239"/>
      <c r="CA143" s="239"/>
      <c r="CB143" s="239"/>
      <c r="CC143" s="239"/>
      <c r="CD143" s="239"/>
      <c r="CE143" s="239"/>
    </row>
    <row r="144" spans="1:83" ht="12.95" customHeight="1">
      <c r="A144" s="1"/>
      <c r="B144" s="1"/>
      <c r="C144" s="51" t="s">
        <v>156</v>
      </c>
      <c r="D144" s="52" t="s">
        <v>1886</v>
      </c>
      <c r="E144" s="52" t="s">
        <v>1945</v>
      </c>
      <c r="F144" s="53" t="s">
        <v>536</v>
      </c>
      <c r="G144" s="179" t="s">
        <v>1429</v>
      </c>
      <c r="H144" s="180" t="s">
        <v>156</v>
      </c>
      <c r="I144" s="55" t="s">
        <v>1429</v>
      </c>
      <c r="J144" s="55" t="s">
        <v>1429</v>
      </c>
      <c r="K144" s="56" t="s">
        <v>1429</v>
      </c>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7"/>
      <c r="AE144" s="66"/>
      <c r="AF144" s="61" t="str">
        <f t="shared" si="25"/>
        <v>NORMAL</v>
      </c>
      <c r="AG144" s="61" t="str">
        <f t="shared" si="26"/>
        <v>TRISTATE</v>
      </c>
      <c r="AH144" s="61" t="str">
        <f t="shared" si="27"/>
        <v>ENABLE</v>
      </c>
      <c r="AI144" s="67" t="str">
        <f t="shared" si="28"/>
        <v>N/A</v>
      </c>
      <c r="AJ144" s="176" t="b">
        <v>1</v>
      </c>
      <c r="AK144" s="176" t="b">
        <v>1</v>
      </c>
      <c r="AL144" s="176" t="b">
        <v>1</v>
      </c>
      <c r="AM144" s="176" t="b">
        <v>1</v>
      </c>
      <c r="AN144" s="176" t="b">
        <v>1</v>
      </c>
      <c r="AO144" s="176" t="b">
        <v>1</v>
      </c>
      <c r="AP144" s="64" t="str">
        <f t="shared" si="29"/>
        <v>VALID</v>
      </c>
      <c r="AQ144" s="341" t="s">
        <v>156</v>
      </c>
      <c r="AR144" s="336" t="s">
        <v>3496</v>
      </c>
      <c r="AS144" s="337"/>
      <c r="AT144" s="342"/>
      <c r="AU144" s="342"/>
      <c r="AV144" s="342"/>
      <c r="AW144" s="337" t="s">
        <v>125</v>
      </c>
      <c r="AX144" s="342"/>
      <c r="AY144" s="337"/>
      <c r="AZ144" s="337"/>
      <c r="BA144" s="343"/>
      <c r="BB144" s="338"/>
      <c r="BC144" s="344" t="s">
        <v>156</v>
      </c>
      <c r="BD144" s="248"/>
      <c r="BE144" s="239"/>
      <c r="BF144" s="239"/>
      <c r="BG144" s="239"/>
      <c r="BH144" s="239"/>
      <c r="BI144" s="239"/>
      <c r="BJ144" s="239"/>
      <c r="BK144" s="239"/>
      <c r="BL144" s="239"/>
      <c r="BM144" s="239"/>
      <c r="BN144" s="239"/>
      <c r="BO144" s="239"/>
      <c r="BP144" s="239"/>
      <c r="BQ144" s="239"/>
      <c r="BR144" s="239"/>
      <c r="BS144" s="239"/>
      <c r="BT144" s="239"/>
      <c r="BU144" s="239"/>
      <c r="BV144" s="239"/>
      <c r="BW144" s="239"/>
      <c r="BX144" s="239"/>
      <c r="BY144" s="239"/>
      <c r="BZ144" s="239"/>
      <c r="CA144" s="239"/>
      <c r="CB144" s="239"/>
      <c r="CC144" s="239"/>
      <c r="CD144" s="239"/>
      <c r="CE144" s="239"/>
    </row>
    <row r="145" spans="1:83" ht="12.95" customHeight="1">
      <c r="A145" s="205" t="s">
        <v>943</v>
      </c>
      <c r="B145" s="205" t="s">
        <v>2313</v>
      </c>
      <c r="C145" s="51" t="s">
        <v>943</v>
      </c>
      <c r="D145" s="52" t="s">
        <v>1914</v>
      </c>
      <c r="E145" s="52" t="s">
        <v>1947</v>
      </c>
      <c r="F145" s="53" t="s">
        <v>1247</v>
      </c>
      <c r="G145" s="179" t="s">
        <v>1534</v>
      </c>
      <c r="H145" s="180" t="s">
        <v>1948</v>
      </c>
      <c r="I145" s="55" t="s">
        <v>1429</v>
      </c>
      <c r="J145" s="55" t="s">
        <v>1429</v>
      </c>
      <c r="K145" s="56" t="s">
        <v>1429</v>
      </c>
      <c r="L145" s="54" t="s">
        <v>1580</v>
      </c>
      <c r="M145" s="55" t="s">
        <v>1590</v>
      </c>
      <c r="N145" s="55" t="s">
        <v>1429</v>
      </c>
      <c r="O145" s="55" t="s">
        <v>1429</v>
      </c>
      <c r="P145" s="56" t="s">
        <v>1429</v>
      </c>
      <c r="Q145" s="6" t="s">
        <v>134</v>
      </c>
      <c r="R145" s="6" t="s">
        <v>113</v>
      </c>
      <c r="S145" s="52" t="s">
        <v>99</v>
      </c>
      <c r="T145" s="52" t="s">
        <v>100</v>
      </c>
      <c r="U145" s="57" t="s">
        <v>113</v>
      </c>
      <c r="V145" s="146" t="s">
        <v>1949</v>
      </c>
      <c r="W145" s="51" t="s">
        <v>1890</v>
      </c>
      <c r="X145" s="130" t="s">
        <v>1950</v>
      </c>
      <c r="Y145" s="130" t="s">
        <v>1429</v>
      </c>
      <c r="Z145" s="51" t="s">
        <v>1585</v>
      </c>
      <c r="AA145" s="51" t="s">
        <v>1893</v>
      </c>
      <c r="AB145" s="51" t="s">
        <v>1435</v>
      </c>
      <c r="AC145" s="51" t="s">
        <v>1587</v>
      </c>
      <c r="AD145" s="59" t="str">
        <f t="shared" si="24"/>
        <v>SOC</v>
      </c>
      <c r="AE145" s="66"/>
      <c r="AF145" s="61" t="str">
        <f t="shared" si="25"/>
        <v>PULL_UP</v>
      </c>
      <c r="AG145" s="61" t="str">
        <f t="shared" si="26"/>
        <v>TRISTATE</v>
      </c>
      <c r="AH145" s="61" t="str">
        <f t="shared" si="27"/>
        <v>ENABLE</v>
      </c>
      <c r="AI145" s="67" t="str">
        <f t="shared" si="28"/>
        <v>N/A</v>
      </c>
      <c r="AJ145" s="176" t="b">
        <v>1</v>
      </c>
      <c r="AK145" s="176" t="b">
        <v>1</v>
      </c>
      <c r="AL145" s="176" t="b">
        <v>1</v>
      </c>
      <c r="AM145" s="176" t="b">
        <v>1</v>
      </c>
      <c r="AN145" s="176" t="b">
        <v>1</v>
      </c>
      <c r="AO145" s="176" t="b">
        <v>1</v>
      </c>
      <c r="AP145" s="64" t="str">
        <f t="shared" si="29"/>
        <v>VALID</v>
      </c>
      <c r="AQ145" s="211" t="s">
        <v>1948</v>
      </c>
      <c r="AR145" s="182" t="s">
        <v>3496</v>
      </c>
      <c r="AS145" s="181" t="s">
        <v>3497</v>
      </c>
      <c r="AT145" s="181" t="s">
        <v>3499</v>
      </c>
      <c r="AU145" s="5"/>
      <c r="AV145" s="5"/>
      <c r="AW145" s="181" t="s">
        <v>125</v>
      </c>
      <c r="AX145" s="284"/>
      <c r="AY145" s="181"/>
      <c r="AZ145" s="181"/>
      <c r="BA145" s="7"/>
      <c r="BB145" s="212"/>
      <c r="BC145" s="10" t="s">
        <v>3741</v>
      </c>
      <c r="BD145" s="238"/>
      <c r="BE145" s="239"/>
      <c r="BF145" s="239"/>
      <c r="BG145" s="239"/>
      <c r="BH145" s="239"/>
      <c r="BI145" s="239"/>
      <c r="BJ145" s="239"/>
      <c r="BK145" s="239"/>
      <c r="BL145" s="239"/>
      <c r="BM145" s="239"/>
      <c r="BN145" s="239"/>
      <c r="BO145" s="239"/>
      <c r="BP145" s="239"/>
      <c r="BQ145" s="239"/>
      <c r="BR145" s="239"/>
      <c r="BS145" s="239"/>
      <c r="BT145" s="239"/>
      <c r="BU145" s="239"/>
      <c r="BV145" s="239"/>
      <c r="BW145" s="239"/>
      <c r="BX145" s="239"/>
      <c r="BY145" s="239"/>
      <c r="BZ145" s="239"/>
      <c r="CA145" s="239"/>
      <c r="CB145" s="239"/>
      <c r="CC145" s="239"/>
      <c r="CD145" s="239"/>
      <c r="CE145" s="239"/>
    </row>
    <row r="146" spans="1:83" s="84" customFormat="1" ht="12.95" customHeight="1">
      <c r="A146" s="84" t="s">
        <v>3486</v>
      </c>
      <c r="B146" s="84" t="s">
        <v>3562</v>
      </c>
      <c r="C146" s="79" t="s">
        <v>284</v>
      </c>
      <c r="D146" s="52" t="s">
        <v>1945</v>
      </c>
      <c r="E146" s="52" t="s">
        <v>1899</v>
      </c>
      <c r="F146" s="53" t="s">
        <v>1248</v>
      </c>
      <c r="G146" s="179" t="s">
        <v>1429</v>
      </c>
      <c r="H146" s="180" t="s">
        <v>284</v>
      </c>
      <c r="I146" s="55" t="s">
        <v>1429</v>
      </c>
      <c r="J146" s="55" t="s">
        <v>1429</v>
      </c>
      <c r="K146" s="56" t="s">
        <v>1429</v>
      </c>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7"/>
      <c r="AE146" s="83"/>
      <c r="AF146" s="61" t="str">
        <f t="shared" si="25"/>
        <v>NORMAL</v>
      </c>
      <c r="AG146" s="61" t="str">
        <f t="shared" si="26"/>
        <v>NORMAL</v>
      </c>
      <c r="AH146" s="61" t="str">
        <f t="shared" si="27"/>
        <v>DISABLE</v>
      </c>
      <c r="AI146" s="67" t="str">
        <f t="shared" si="28"/>
        <v>N/A</v>
      </c>
      <c r="AJ146" s="176" t="b">
        <v>1</v>
      </c>
      <c r="AK146" s="176" t="b">
        <v>1</v>
      </c>
      <c r="AL146" s="176" t="b">
        <v>1</v>
      </c>
      <c r="AM146" s="176" t="b">
        <v>1</v>
      </c>
      <c r="AN146" s="176" t="b">
        <v>1</v>
      </c>
      <c r="AO146" s="176" t="b">
        <v>1</v>
      </c>
      <c r="AP146" s="64" t="str">
        <f t="shared" si="29"/>
        <v>VALID</v>
      </c>
      <c r="AQ146" s="224" t="s">
        <v>284</v>
      </c>
      <c r="AR146" s="182" t="s">
        <v>3495</v>
      </c>
      <c r="AS146" s="181"/>
      <c r="AT146" s="5"/>
      <c r="AU146" s="5"/>
      <c r="AV146" s="5"/>
      <c r="AW146" s="181" t="s">
        <v>125</v>
      </c>
      <c r="AX146" s="284"/>
      <c r="AY146" s="181"/>
      <c r="AZ146" s="181"/>
      <c r="BA146" s="7"/>
      <c r="BB146" s="212"/>
      <c r="BC146" s="10" t="s">
        <v>284</v>
      </c>
      <c r="BD146" s="238"/>
      <c r="BE146" s="249"/>
      <c r="BF146" s="249"/>
      <c r="BG146" s="249"/>
      <c r="BH146" s="249"/>
      <c r="BI146" s="249"/>
      <c r="BJ146" s="249"/>
      <c r="BK146" s="249"/>
      <c r="BL146" s="249"/>
      <c r="BM146" s="249"/>
      <c r="BN146" s="249"/>
      <c r="BO146" s="249"/>
      <c r="BP146" s="249"/>
      <c r="BQ146" s="249"/>
      <c r="BR146" s="249"/>
      <c r="BS146" s="249"/>
      <c r="BT146" s="249"/>
      <c r="BU146" s="249"/>
      <c r="BV146" s="249"/>
      <c r="BW146" s="249"/>
      <c r="BX146" s="249"/>
      <c r="BY146" s="249"/>
      <c r="BZ146" s="249"/>
      <c r="CA146" s="249"/>
      <c r="CB146" s="249"/>
      <c r="CC146" s="249"/>
      <c r="CD146" s="249"/>
      <c r="CE146" s="249"/>
    </row>
    <row r="147" spans="1:83" s="84" customFormat="1" ht="12.95" customHeight="1">
      <c r="A147" s="1"/>
      <c r="B147" s="1"/>
      <c r="C147" s="79" t="s">
        <v>940</v>
      </c>
      <c r="D147" s="52" t="s">
        <v>1593</v>
      </c>
      <c r="E147" s="52" t="s">
        <v>1952</v>
      </c>
      <c r="F147" s="53" t="s">
        <v>1249</v>
      </c>
      <c r="G147" s="179" t="s">
        <v>1429</v>
      </c>
      <c r="H147" s="180" t="s">
        <v>1427</v>
      </c>
      <c r="I147" s="55" t="s">
        <v>1429</v>
      </c>
      <c r="J147" s="55" t="s">
        <v>1429</v>
      </c>
      <c r="K147" s="56" t="s">
        <v>1429</v>
      </c>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7"/>
      <c r="AE147" s="83"/>
      <c r="AF147" s="61" t="str">
        <f t="shared" si="25"/>
        <v>PULL_UP</v>
      </c>
      <c r="AG147" s="61" t="str">
        <f t="shared" si="26"/>
        <v>TRISTATE</v>
      </c>
      <c r="AH147" s="61" t="str">
        <f t="shared" si="27"/>
        <v>ENABLE</v>
      </c>
      <c r="AI147" s="67" t="str">
        <f t="shared" si="28"/>
        <v>N/A</v>
      </c>
      <c r="AJ147" s="176" t="b">
        <v>1</v>
      </c>
      <c r="AK147" s="176" t="b">
        <v>1</v>
      </c>
      <c r="AL147" s="176" t="b">
        <v>1</v>
      </c>
      <c r="AM147" s="176" t="b">
        <v>1</v>
      </c>
      <c r="AN147" s="176" t="b">
        <v>1</v>
      </c>
      <c r="AO147" s="176" t="b">
        <v>1</v>
      </c>
      <c r="AP147" s="64" t="str">
        <f t="shared" si="29"/>
        <v>VALID</v>
      </c>
      <c r="AQ147" s="346" t="s">
        <v>1427</v>
      </c>
      <c r="AR147" s="336" t="s">
        <v>3496</v>
      </c>
      <c r="AS147" s="337" t="s">
        <v>3497</v>
      </c>
      <c r="AT147" s="337" t="s">
        <v>3499</v>
      </c>
      <c r="AU147" s="342"/>
      <c r="AV147" s="342"/>
      <c r="AW147" s="337" t="s">
        <v>125</v>
      </c>
      <c r="AX147" s="342"/>
      <c r="AY147" s="337"/>
      <c r="AZ147" s="337"/>
      <c r="BA147" s="343"/>
      <c r="BB147" s="338"/>
      <c r="BC147" s="344" t="s">
        <v>1427</v>
      </c>
      <c r="BD147" s="248"/>
      <c r="BE147" s="249"/>
      <c r="BF147" s="249"/>
      <c r="BG147" s="249"/>
      <c r="BH147" s="249"/>
      <c r="BI147" s="249"/>
      <c r="BJ147" s="249"/>
      <c r="BK147" s="249"/>
      <c r="BL147" s="249"/>
      <c r="BM147" s="249"/>
      <c r="BN147" s="249"/>
      <c r="BO147" s="249"/>
      <c r="BP147" s="249"/>
      <c r="BQ147" s="249"/>
      <c r="BR147" s="249"/>
      <c r="BS147" s="249"/>
      <c r="BT147" s="249"/>
      <c r="BU147" s="249"/>
      <c r="BV147" s="249"/>
      <c r="BW147" s="249"/>
      <c r="BX147" s="249"/>
      <c r="BY147" s="249"/>
      <c r="BZ147" s="249"/>
      <c r="CA147" s="249"/>
      <c r="CB147" s="249"/>
      <c r="CC147" s="249"/>
      <c r="CD147" s="249"/>
      <c r="CE147" s="249"/>
    </row>
    <row r="148" spans="1:83" s="50" customFormat="1" ht="18" customHeight="1">
      <c r="A148" s="68" t="s">
        <v>53</v>
      </c>
      <c r="B148" s="68"/>
      <c r="C148" s="68" t="s">
        <v>53</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8"/>
      <c r="AY148" s="73"/>
      <c r="AZ148" s="73"/>
      <c r="BA148" s="73"/>
      <c r="BB148" s="168" t="s">
        <v>49</v>
      </c>
      <c r="BC148" s="172"/>
      <c r="BD148" s="169"/>
      <c r="BE148" s="308"/>
      <c r="BF148" s="243"/>
      <c r="BG148" s="243"/>
      <c r="BH148" s="243"/>
      <c r="BI148" s="243"/>
      <c r="BJ148" s="243"/>
      <c r="BK148" s="243"/>
      <c r="BL148" s="243"/>
      <c r="BM148" s="243"/>
      <c r="BN148" s="243"/>
      <c r="BO148" s="243"/>
      <c r="BP148" s="243"/>
      <c r="BQ148" s="243"/>
      <c r="BR148" s="243"/>
      <c r="BS148" s="243"/>
      <c r="BT148" s="243"/>
      <c r="BU148" s="243"/>
      <c r="BV148" s="243"/>
      <c r="BW148" s="243"/>
      <c r="BX148" s="243"/>
      <c r="BY148" s="243"/>
      <c r="BZ148" s="243"/>
      <c r="CA148" s="243"/>
      <c r="CB148" s="243"/>
      <c r="CC148" s="243"/>
      <c r="CD148" s="243"/>
      <c r="CE148" s="243"/>
    </row>
    <row r="149" spans="1:83" ht="12.95" customHeight="1">
      <c r="A149" s="21" t="s">
        <v>304</v>
      </c>
      <c r="B149" s="21" t="s">
        <v>3565</v>
      </c>
      <c r="C149" s="51" t="s">
        <v>304</v>
      </c>
      <c r="D149" s="52" t="s">
        <v>1955</v>
      </c>
      <c r="E149" s="52" t="s">
        <v>1956</v>
      </c>
      <c r="F149" s="53" t="s">
        <v>537</v>
      </c>
      <c r="G149" s="179"/>
      <c r="H149" s="180" t="s">
        <v>1535</v>
      </c>
      <c r="I149" s="55" t="s">
        <v>1429</v>
      </c>
      <c r="J149" s="55" t="s">
        <v>1429</v>
      </c>
      <c r="K149" s="56" t="s">
        <v>1429</v>
      </c>
      <c r="L149" s="54" t="s">
        <v>1580</v>
      </c>
      <c r="M149" s="55" t="s">
        <v>1581</v>
      </c>
      <c r="N149" s="55" t="s">
        <v>1429</v>
      </c>
      <c r="O149" s="55" t="s">
        <v>1429</v>
      </c>
      <c r="P149" s="56" t="s">
        <v>1429</v>
      </c>
      <c r="Q149" s="52" t="s">
        <v>165</v>
      </c>
      <c r="R149" s="52" t="s">
        <v>113</v>
      </c>
      <c r="S149" s="52" t="s">
        <v>99</v>
      </c>
      <c r="T149" s="52" t="s">
        <v>100</v>
      </c>
      <c r="U149" s="105" t="s">
        <v>113</v>
      </c>
      <c r="V149" s="146" t="s">
        <v>1957</v>
      </c>
      <c r="W149" s="51" t="s">
        <v>1737</v>
      </c>
      <c r="X149" s="130" t="s">
        <v>1429</v>
      </c>
      <c r="Y149" s="130" t="s">
        <v>1958</v>
      </c>
      <c r="Z149" s="51" t="s">
        <v>1585</v>
      </c>
      <c r="AA149" s="51" t="s">
        <v>1586</v>
      </c>
      <c r="AB149" s="51" t="s">
        <v>1435</v>
      </c>
      <c r="AC149" s="51" t="s">
        <v>1587</v>
      </c>
      <c r="AD149" s="59" t="str">
        <f t="shared" ref="AD149:AD205" si="30">IF(OR($AQ149="",$AQ149=$F149),$U149,IF($AQ149=$G149,SUBSTITUTE(SUBSTITUTE($AQ149,"GPIO3_","GPIO_"),".0",""),IF($AQ149=$H149,$Q149,IF($AQ149=$I149,$R149,IF($AQ149=$J149,$S149,IF($AQ149=$K149,$T149,"INVALID"))))))</f>
        <v>UARTB</v>
      </c>
      <c r="AE149" s="66"/>
      <c r="AF149" s="61" t="str">
        <f t="shared" ref="AF149:AF205" si="31">IF(AND(OR($AS149="Int PU",$AS149="Int PD"),OR(AND($AY149&lt;&gt;"",$AY149&lt;&gt;"0"),AND($AZ149&lt;&gt;"",$AZ149&lt;&gt;"0"))),"INVALID",IF(OR($AQ149=$F149,$AS149="Int PD"),"PULL_DOWN",IF(OR($AS149="Int PU",AND($AE149="YES",OR($AY149="",$AY149="0"),OR($AZ149="",$AZ149="0"),OR($AR149="Input",$AR149="Bidirectional"))),"PULL_UP","NORMAL")))</f>
        <v>NORMAL</v>
      </c>
      <c r="AG149" s="61" t="str">
        <f t="shared" si="26"/>
        <v>NORMAL</v>
      </c>
      <c r="AH149" s="61" t="str">
        <f t="shared" ref="AH149:AH205" si="32">IF(OR($AQ149=$F149,$AR149="Output"),"DISABLE","ENABLE")</f>
        <v>DISABLE</v>
      </c>
      <c r="AI149" s="67" t="str">
        <f t="shared" si="28"/>
        <v>N/A</v>
      </c>
      <c r="AJ149" s="176" t="b">
        <v>1</v>
      </c>
      <c r="AK149" s="176" t="b">
        <v>1</v>
      </c>
      <c r="AL149" s="176" t="b">
        <v>1</v>
      </c>
      <c r="AM149" s="176" t="b">
        <v>1</v>
      </c>
      <c r="AN149" s="176" t="b">
        <v>1</v>
      </c>
      <c r="AO149" s="176" t="b">
        <v>1</v>
      </c>
      <c r="AP149" s="64" t="str">
        <f t="shared" ref="AP149:AP178" si="33">IF(AND($AJ149:$AO149), "VALID", "INVALID")</f>
        <v>VALID</v>
      </c>
      <c r="AQ149" s="225" t="s">
        <v>1535</v>
      </c>
      <c r="AR149" s="3" t="s">
        <v>3495</v>
      </c>
      <c r="AS149" s="181"/>
      <c r="AT149" s="214"/>
      <c r="AU149" s="214"/>
      <c r="AV149" s="214"/>
      <c r="AW149" s="181" t="s">
        <v>125</v>
      </c>
      <c r="AX149" s="286"/>
      <c r="AY149" s="4"/>
      <c r="AZ149" s="4"/>
      <c r="BA149" s="12" t="s">
        <v>101</v>
      </c>
      <c r="BB149" s="216"/>
      <c r="BC149" s="15" t="s">
        <v>3742</v>
      </c>
      <c r="BD149" s="238"/>
      <c r="BE149" s="239"/>
      <c r="BF149" s="239"/>
      <c r="BG149" s="239"/>
      <c r="BH149" s="239"/>
      <c r="BI149" s="239"/>
      <c r="BJ149" s="239"/>
      <c r="BK149" s="239"/>
      <c r="BL149" s="239"/>
      <c r="BM149" s="239"/>
      <c r="BN149" s="239"/>
      <c r="BO149" s="239"/>
      <c r="BP149" s="239"/>
      <c r="BQ149" s="239"/>
      <c r="BR149" s="239"/>
      <c r="BS149" s="239"/>
      <c r="BT149" s="239"/>
      <c r="BU149" s="239"/>
      <c r="BV149" s="239"/>
      <c r="BW149" s="239"/>
      <c r="BX149" s="239"/>
      <c r="BY149" s="239"/>
      <c r="BZ149" s="239"/>
      <c r="CA149" s="239"/>
      <c r="CB149" s="239"/>
      <c r="CC149" s="239"/>
      <c r="CD149" s="239"/>
      <c r="CE149" s="239"/>
    </row>
    <row r="150" spans="1:83" ht="12.95" customHeight="1">
      <c r="A150" s="21" t="s">
        <v>305</v>
      </c>
      <c r="B150" s="21" t="s">
        <v>2370</v>
      </c>
      <c r="C150" s="51" t="s">
        <v>305</v>
      </c>
      <c r="D150" s="52" t="s">
        <v>1956</v>
      </c>
      <c r="E150" s="52" t="s">
        <v>1959</v>
      </c>
      <c r="F150" s="53" t="s">
        <v>763</v>
      </c>
      <c r="G150" s="179"/>
      <c r="H150" s="180" t="s">
        <v>1536</v>
      </c>
      <c r="I150" s="55" t="s">
        <v>1429</v>
      </c>
      <c r="J150" s="55" t="s">
        <v>1429</v>
      </c>
      <c r="K150" s="56" t="s">
        <v>1429</v>
      </c>
      <c r="L150" s="54" t="s">
        <v>1580</v>
      </c>
      <c r="M150" s="55" t="s">
        <v>1590</v>
      </c>
      <c r="N150" s="55" t="s">
        <v>1429</v>
      </c>
      <c r="O150" s="55" t="s">
        <v>1429</v>
      </c>
      <c r="P150" s="56" t="s">
        <v>1429</v>
      </c>
      <c r="Q150" s="52" t="s">
        <v>165</v>
      </c>
      <c r="R150" s="52" t="s">
        <v>113</v>
      </c>
      <c r="S150" s="52" t="s">
        <v>99</v>
      </c>
      <c r="T150" s="52" t="s">
        <v>100</v>
      </c>
      <c r="U150" s="57" t="s">
        <v>113</v>
      </c>
      <c r="V150" s="146" t="s">
        <v>1960</v>
      </c>
      <c r="W150" s="51" t="s">
        <v>1737</v>
      </c>
      <c r="X150" s="130" t="s">
        <v>1429</v>
      </c>
      <c r="Y150" s="130" t="s">
        <v>1429</v>
      </c>
      <c r="Z150" s="51" t="s">
        <v>1585</v>
      </c>
      <c r="AA150" s="51" t="s">
        <v>1586</v>
      </c>
      <c r="AB150" s="51" t="s">
        <v>1435</v>
      </c>
      <c r="AC150" s="51" t="s">
        <v>1587</v>
      </c>
      <c r="AD150" s="59" t="str">
        <f t="shared" si="30"/>
        <v>UARTB</v>
      </c>
      <c r="AE150" s="66"/>
      <c r="AF150" s="61" t="str">
        <f t="shared" si="31"/>
        <v>PULL_UP</v>
      </c>
      <c r="AG150" s="61" t="str">
        <f t="shared" si="26"/>
        <v>TRISTATE</v>
      </c>
      <c r="AH150" s="61" t="str">
        <f t="shared" si="32"/>
        <v>ENABLE</v>
      </c>
      <c r="AI150" s="67" t="str">
        <f t="shared" si="28"/>
        <v>N/A</v>
      </c>
      <c r="AJ150" s="176" t="b">
        <v>1</v>
      </c>
      <c r="AK150" s="176" t="b">
        <v>1</v>
      </c>
      <c r="AL150" s="176" t="b">
        <v>1</v>
      </c>
      <c r="AM150" s="176" t="b">
        <v>1</v>
      </c>
      <c r="AN150" s="176" t="b">
        <v>1</v>
      </c>
      <c r="AO150" s="176" t="b">
        <v>1</v>
      </c>
      <c r="AP150" s="64" t="str">
        <f t="shared" si="33"/>
        <v>VALID</v>
      </c>
      <c r="AQ150" s="226" t="s">
        <v>1536</v>
      </c>
      <c r="AR150" s="182" t="s">
        <v>3496</v>
      </c>
      <c r="AS150" s="181" t="s">
        <v>3497</v>
      </c>
      <c r="AT150" s="5"/>
      <c r="AU150" s="5"/>
      <c r="AV150" s="5"/>
      <c r="AW150" s="181" t="s">
        <v>125</v>
      </c>
      <c r="AX150" s="284"/>
      <c r="AY150" s="181"/>
      <c r="AZ150" s="181"/>
      <c r="BA150" s="7"/>
      <c r="BB150" s="212"/>
      <c r="BC150" s="10" t="s">
        <v>3743</v>
      </c>
      <c r="BD150" s="238"/>
      <c r="BE150" s="239"/>
      <c r="BF150" s="239"/>
      <c r="BG150" s="239"/>
      <c r="BH150" s="239"/>
      <c r="BI150" s="239"/>
      <c r="BJ150" s="239"/>
      <c r="BK150" s="239"/>
      <c r="BL150" s="239"/>
      <c r="BM150" s="239"/>
      <c r="BN150" s="239"/>
      <c r="BO150" s="239"/>
      <c r="BP150" s="239"/>
      <c r="BQ150" s="239"/>
      <c r="BR150" s="239"/>
      <c r="BS150" s="239"/>
      <c r="BT150" s="239"/>
      <c r="BU150" s="239"/>
      <c r="BV150" s="239"/>
      <c r="BW150" s="239"/>
      <c r="BX150" s="239"/>
      <c r="BY150" s="239"/>
      <c r="BZ150" s="239"/>
      <c r="CA150" s="239"/>
      <c r="CB150" s="239"/>
      <c r="CC150" s="239"/>
      <c r="CD150" s="239"/>
      <c r="CE150" s="239"/>
    </row>
    <row r="151" spans="1:83" ht="12.95" customHeight="1">
      <c r="A151" s="21" t="s">
        <v>3494</v>
      </c>
      <c r="B151" s="21" t="s">
        <v>3555</v>
      </c>
      <c r="C151" s="51" t="s">
        <v>279</v>
      </c>
      <c r="D151" s="52" t="s">
        <v>1961</v>
      </c>
      <c r="E151" s="52" t="s">
        <v>1687</v>
      </c>
      <c r="F151" s="53" t="s">
        <v>538</v>
      </c>
      <c r="G151" s="179"/>
      <c r="H151" s="180" t="s">
        <v>1962</v>
      </c>
      <c r="I151" s="55" t="s">
        <v>1429</v>
      </c>
      <c r="J151" s="55" t="s">
        <v>1429</v>
      </c>
      <c r="K151" s="56" t="s">
        <v>1429</v>
      </c>
      <c r="L151" s="54" t="s">
        <v>1580</v>
      </c>
      <c r="M151" s="55" t="s">
        <v>1581</v>
      </c>
      <c r="N151" s="55" t="s">
        <v>1429</v>
      </c>
      <c r="O151" s="55" t="s">
        <v>1429</v>
      </c>
      <c r="P151" s="56" t="s">
        <v>1429</v>
      </c>
      <c r="Q151" s="52" t="s">
        <v>165</v>
      </c>
      <c r="R151" s="52" t="s">
        <v>113</v>
      </c>
      <c r="S151" s="52" t="s">
        <v>99</v>
      </c>
      <c r="T151" s="52" t="s">
        <v>100</v>
      </c>
      <c r="U151" s="57" t="s">
        <v>113</v>
      </c>
      <c r="V151" s="146" t="s">
        <v>1963</v>
      </c>
      <c r="W151" s="51" t="s">
        <v>1737</v>
      </c>
      <c r="X151" s="130" t="s">
        <v>1429</v>
      </c>
      <c r="Y151" s="130" t="s">
        <v>1964</v>
      </c>
      <c r="Z151" s="51" t="s">
        <v>1585</v>
      </c>
      <c r="AA151" s="51" t="s">
        <v>1586</v>
      </c>
      <c r="AB151" s="51" t="s">
        <v>1435</v>
      </c>
      <c r="AC151" s="51" t="s">
        <v>1587</v>
      </c>
      <c r="AD151" s="59" t="str">
        <f t="shared" si="30"/>
        <v>UARTB</v>
      </c>
      <c r="AE151" s="66"/>
      <c r="AF151" s="61" t="str">
        <f t="shared" si="31"/>
        <v>NORMAL</v>
      </c>
      <c r="AG151" s="61" t="str">
        <f t="shared" si="26"/>
        <v>NORMAL</v>
      </c>
      <c r="AH151" s="61" t="str">
        <f t="shared" si="32"/>
        <v>DISABLE</v>
      </c>
      <c r="AI151" s="67" t="str">
        <f t="shared" si="28"/>
        <v>N/A</v>
      </c>
      <c r="AJ151" s="176" t="b">
        <v>1</v>
      </c>
      <c r="AK151" s="176" t="b">
        <v>1</v>
      </c>
      <c r="AL151" s="176" t="b">
        <v>1</v>
      </c>
      <c r="AM151" s="176" t="b">
        <v>1</v>
      </c>
      <c r="AN151" s="176" t="b">
        <v>1</v>
      </c>
      <c r="AO151" s="176" t="b">
        <v>1</v>
      </c>
      <c r="AP151" s="64" t="str">
        <f t="shared" si="33"/>
        <v>VALID</v>
      </c>
      <c r="AQ151" s="226" t="s">
        <v>1962</v>
      </c>
      <c r="AR151" s="182" t="s">
        <v>3495</v>
      </c>
      <c r="AS151" s="181"/>
      <c r="AT151" s="5"/>
      <c r="AU151" s="5"/>
      <c r="AV151" s="5"/>
      <c r="AW151" s="181" t="s">
        <v>125</v>
      </c>
      <c r="AX151" s="284"/>
      <c r="AY151" s="181"/>
      <c r="AZ151" s="181"/>
      <c r="BA151" s="7"/>
      <c r="BB151" s="212"/>
      <c r="BC151" s="10" t="s">
        <v>3744</v>
      </c>
      <c r="BD151" s="238"/>
      <c r="BE151" s="239"/>
      <c r="BF151" s="239"/>
      <c r="BG151" s="239"/>
      <c r="BH151" s="239"/>
      <c r="BI151" s="239"/>
      <c r="BJ151" s="239"/>
      <c r="BK151" s="239"/>
      <c r="BL151" s="239"/>
      <c r="BM151" s="239"/>
      <c r="BN151" s="239"/>
      <c r="BO151" s="239"/>
      <c r="BP151" s="239"/>
      <c r="BQ151" s="239"/>
      <c r="BR151" s="239"/>
      <c r="BS151" s="239"/>
      <c r="BT151" s="239"/>
      <c r="BU151" s="239"/>
      <c r="BV151" s="239"/>
      <c r="BW151" s="239"/>
      <c r="BX151" s="239"/>
      <c r="BY151" s="239"/>
      <c r="BZ151" s="239"/>
      <c r="CA151" s="239"/>
      <c r="CB151" s="239"/>
      <c r="CC151" s="239"/>
      <c r="CD151" s="239"/>
      <c r="CE151" s="239"/>
    </row>
    <row r="152" spans="1:83" ht="12.95" customHeight="1">
      <c r="A152" s="21" t="s">
        <v>3492</v>
      </c>
      <c r="B152" s="21" t="s">
        <v>2359</v>
      </c>
      <c r="C152" s="51" t="s">
        <v>278</v>
      </c>
      <c r="D152" s="52" t="s">
        <v>1965</v>
      </c>
      <c r="E152" s="52" t="s">
        <v>1966</v>
      </c>
      <c r="F152" s="53" t="s">
        <v>539</v>
      </c>
      <c r="G152" s="179"/>
      <c r="H152" s="180" t="s">
        <v>1967</v>
      </c>
      <c r="I152" s="55" t="s">
        <v>1429</v>
      </c>
      <c r="J152" s="55" t="s">
        <v>1429</v>
      </c>
      <c r="K152" s="56" t="s">
        <v>1429</v>
      </c>
      <c r="L152" s="54" t="s">
        <v>1580</v>
      </c>
      <c r="M152" s="55" t="s">
        <v>1590</v>
      </c>
      <c r="N152" s="55" t="s">
        <v>1429</v>
      </c>
      <c r="O152" s="55" t="s">
        <v>1429</v>
      </c>
      <c r="P152" s="56" t="s">
        <v>1429</v>
      </c>
      <c r="Q152" s="52" t="s">
        <v>165</v>
      </c>
      <c r="R152" s="52" t="s">
        <v>113</v>
      </c>
      <c r="S152" s="52" t="s">
        <v>99</v>
      </c>
      <c r="T152" s="52" t="s">
        <v>100</v>
      </c>
      <c r="U152" s="57" t="s">
        <v>113</v>
      </c>
      <c r="V152" s="146" t="s">
        <v>1968</v>
      </c>
      <c r="W152" s="51" t="s">
        <v>1737</v>
      </c>
      <c r="X152" s="130" t="s">
        <v>1969</v>
      </c>
      <c r="Y152" s="130" t="s">
        <v>1429</v>
      </c>
      <c r="Z152" s="51" t="s">
        <v>1585</v>
      </c>
      <c r="AA152" s="51" t="s">
        <v>1600</v>
      </c>
      <c r="AB152" s="51" t="s">
        <v>1435</v>
      </c>
      <c r="AC152" s="51" t="s">
        <v>1587</v>
      </c>
      <c r="AD152" s="59" t="str">
        <f t="shared" si="30"/>
        <v>UARTB</v>
      </c>
      <c r="AE152" s="66"/>
      <c r="AF152" s="61" t="str">
        <f t="shared" si="31"/>
        <v>PULL_UP</v>
      </c>
      <c r="AG152" s="61" t="str">
        <f t="shared" si="26"/>
        <v>TRISTATE</v>
      </c>
      <c r="AH152" s="61" t="str">
        <f t="shared" si="32"/>
        <v>ENABLE</v>
      </c>
      <c r="AI152" s="67" t="str">
        <f t="shared" si="28"/>
        <v>N/A</v>
      </c>
      <c r="AJ152" s="176" t="b">
        <v>1</v>
      </c>
      <c r="AK152" s="176" t="b">
        <v>1</v>
      </c>
      <c r="AL152" s="176" t="b">
        <v>1</v>
      </c>
      <c r="AM152" s="176" t="b">
        <v>1</v>
      </c>
      <c r="AN152" s="176" t="b">
        <v>1</v>
      </c>
      <c r="AO152" s="176" t="b">
        <v>1</v>
      </c>
      <c r="AP152" s="64" t="str">
        <f t="shared" si="33"/>
        <v>VALID</v>
      </c>
      <c r="AQ152" s="226" t="s">
        <v>1967</v>
      </c>
      <c r="AR152" s="182" t="s">
        <v>3496</v>
      </c>
      <c r="AS152" s="181" t="s">
        <v>3497</v>
      </c>
      <c r="AT152" s="181" t="s">
        <v>104</v>
      </c>
      <c r="AU152" s="5"/>
      <c r="AV152" s="5"/>
      <c r="AW152" s="181" t="s">
        <v>125</v>
      </c>
      <c r="AX152" s="284"/>
      <c r="AY152" s="181"/>
      <c r="AZ152" s="181"/>
      <c r="BA152" s="7"/>
      <c r="BB152" s="212"/>
      <c r="BC152" s="10" t="s">
        <v>3745</v>
      </c>
      <c r="BD152" s="238"/>
      <c r="BE152" s="239"/>
      <c r="BF152" s="239"/>
      <c r="BG152" s="239"/>
      <c r="BH152" s="239"/>
      <c r="BI152" s="239"/>
      <c r="BJ152" s="239"/>
      <c r="BK152" s="239"/>
      <c r="BL152" s="239"/>
      <c r="BM152" s="239"/>
      <c r="BN152" s="239"/>
      <c r="BO152" s="239"/>
      <c r="BP152" s="239"/>
      <c r="BQ152" s="239"/>
      <c r="BR152" s="239"/>
      <c r="BS152" s="239"/>
      <c r="BT152" s="239"/>
      <c r="BU152" s="239"/>
      <c r="BV152" s="239"/>
      <c r="BW152" s="239"/>
      <c r="BX152" s="239"/>
      <c r="BY152" s="239"/>
      <c r="BZ152" s="239"/>
      <c r="CA152" s="239"/>
      <c r="CB152" s="239"/>
      <c r="CC152" s="239"/>
      <c r="CD152" s="239"/>
      <c r="CE152" s="239"/>
    </row>
    <row r="153" spans="1:83" ht="12.95" customHeight="1">
      <c r="A153" s="21" t="s">
        <v>1471</v>
      </c>
      <c r="B153" s="21" t="s">
        <v>2380</v>
      </c>
      <c r="C153" s="51" t="s">
        <v>982</v>
      </c>
      <c r="D153" s="52" t="s">
        <v>1970</v>
      </c>
      <c r="E153" s="52" t="s">
        <v>1961</v>
      </c>
      <c r="F153" s="53" t="s">
        <v>1250</v>
      </c>
      <c r="G153" s="179" t="s">
        <v>1971</v>
      </c>
      <c r="H153" s="180"/>
      <c r="I153" s="55"/>
      <c r="J153" s="55" t="s">
        <v>1972</v>
      </c>
      <c r="K153" s="56" t="s">
        <v>1429</v>
      </c>
      <c r="L153" s="54" t="s">
        <v>1580</v>
      </c>
      <c r="M153" s="55" t="s">
        <v>1581</v>
      </c>
      <c r="N153" s="55" t="s">
        <v>1580</v>
      </c>
      <c r="O153" s="55" t="s">
        <v>1590</v>
      </c>
      <c r="P153" s="56" t="s">
        <v>1429</v>
      </c>
      <c r="Q153" s="52" t="s">
        <v>1366</v>
      </c>
      <c r="R153" s="52" t="s">
        <v>120</v>
      </c>
      <c r="S153" s="52" t="s">
        <v>1367</v>
      </c>
      <c r="T153" s="52" t="s">
        <v>100</v>
      </c>
      <c r="U153" s="57" t="s">
        <v>100</v>
      </c>
      <c r="V153" s="146" t="s">
        <v>1973</v>
      </c>
      <c r="W153" s="51" t="s">
        <v>1737</v>
      </c>
      <c r="X153" s="130" t="s">
        <v>1429</v>
      </c>
      <c r="Y153" s="130" t="s">
        <v>1429</v>
      </c>
      <c r="Z153" s="51" t="s">
        <v>1585</v>
      </c>
      <c r="AA153" s="51" t="s">
        <v>1586</v>
      </c>
      <c r="AB153" s="51" t="s">
        <v>1435</v>
      </c>
      <c r="AC153" s="51" t="s">
        <v>1587</v>
      </c>
      <c r="AD153" s="59" t="str">
        <f t="shared" si="30"/>
        <v>NV</v>
      </c>
      <c r="AE153" s="66"/>
      <c r="AF153" s="61" t="str">
        <f t="shared" si="31"/>
        <v>NORMAL</v>
      </c>
      <c r="AG153" s="61" t="str">
        <f t="shared" si="26"/>
        <v>TRISTATE</v>
      </c>
      <c r="AH153" s="61" t="str">
        <f t="shared" si="32"/>
        <v>ENABLE</v>
      </c>
      <c r="AI153" s="67" t="str">
        <f t="shared" si="28"/>
        <v>N/A</v>
      </c>
      <c r="AJ153" s="176" t="b">
        <v>1</v>
      </c>
      <c r="AK153" s="176" t="b">
        <v>1</v>
      </c>
      <c r="AL153" s="176" t="b">
        <v>1</v>
      </c>
      <c r="AM153" s="176" t="b">
        <v>1</v>
      </c>
      <c r="AN153" s="176" t="b">
        <v>1</v>
      </c>
      <c r="AO153" s="176" t="b">
        <v>1</v>
      </c>
      <c r="AP153" s="64" t="str">
        <f t="shared" si="33"/>
        <v>VALID</v>
      </c>
      <c r="AQ153" s="227" t="s">
        <v>1972</v>
      </c>
      <c r="AR153" s="182" t="s">
        <v>3496</v>
      </c>
      <c r="AS153" s="181"/>
      <c r="AT153" s="5"/>
      <c r="AU153" s="5"/>
      <c r="AV153" s="5"/>
      <c r="AW153" s="181" t="s">
        <v>125</v>
      </c>
      <c r="AX153" s="284"/>
      <c r="AY153" s="181"/>
      <c r="AZ153" s="181"/>
      <c r="BA153" s="7"/>
      <c r="BB153" s="212"/>
      <c r="BC153" s="10" t="s">
        <v>3746</v>
      </c>
      <c r="BD153" s="238"/>
      <c r="BE153" s="239"/>
      <c r="BF153" s="239"/>
      <c r="BG153" s="239"/>
      <c r="BH153" s="239"/>
      <c r="BI153" s="239"/>
      <c r="BJ153" s="239"/>
      <c r="BK153" s="239"/>
      <c r="BL153" s="239"/>
      <c r="BM153" s="239"/>
      <c r="BN153" s="239"/>
      <c r="BO153" s="239"/>
      <c r="BP153" s="239"/>
      <c r="BQ153" s="239"/>
      <c r="BR153" s="239"/>
      <c r="BS153" s="239"/>
      <c r="BT153" s="239"/>
      <c r="BU153" s="239"/>
      <c r="BV153" s="239"/>
      <c r="BW153" s="239"/>
      <c r="BX153" s="239"/>
      <c r="BY153" s="239"/>
      <c r="BZ153" s="239"/>
      <c r="CA153" s="239"/>
      <c r="CB153" s="239"/>
      <c r="CC153" s="239"/>
      <c r="CD153" s="239"/>
      <c r="CE153" s="239"/>
    </row>
    <row r="154" spans="1:83" ht="12.95" customHeight="1">
      <c r="A154" s="208"/>
      <c r="B154" s="208"/>
      <c r="C154" s="51" t="s">
        <v>983</v>
      </c>
      <c r="D154" s="52" t="s">
        <v>1974</v>
      </c>
      <c r="E154" s="52" t="s">
        <v>1975</v>
      </c>
      <c r="F154" s="53" t="s">
        <v>1251</v>
      </c>
      <c r="G154" s="179"/>
      <c r="H154" s="180"/>
      <c r="I154" s="55"/>
      <c r="J154" s="55" t="s">
        <v>3669</v>
      </c>
      <c r="K154" s="56" t="s">
        <v>1429</v>
      </c>
      <c r="L154" s="54" t="s">
        <v>1580</v>
      </c>
      <c r="M154" s="55" t="s">
        <v>1590</v>
      </c>
      <c r="N154" s="55" t="s">
        <v>1580</v>
      </c>
      <c r="O154" s="55" t="s">
        <v>1581</v>
      </c>
      <c r="P154" s="56" t="s">
        <v>1429</v>
      </c>
      <c r="Q154" s="52" t="s">
        <v>1366</v>
      </c>
      <c r="R154" s="52" t="s">
        <v>120</v>
      </c>
      <c r="S154" s="52" t="s">
        <v>1362</v>
      </c>
      <c r="T154" s="52" t="s">
        <v>100</v>
      </c>
      <c r="U154" s="57" t="s">
        <v>100</v>
      </c>
      <c r="V154" s="146" t="s">
        <v>1976</v>
      </c>
      <c r="W154" s="51" t="s">
        <v>1737</v>
      </c>
      <c r="X154" s="130" t="s">
        <v>1429</v>
      </c>
      <c r="Y154" s="130" t="s">
        <v>1429</v>
      </c>
      <c r="Z154" s="51" t="s">
        <v>1585</v>
      </c>
      <c r="AA154" s="51" t="s">
        <v>1586</v>
      </c>
      <c r="AB154" s="51" t="s">
        <v>1435</v>
      </c>
      <c r="AC154" s="51" t="s">
        <v>1587</v>
      </c>
      <c r="AD154" s="59" t="str">
        <f t="shared" si="30"/>
        <v>GP</v>
      </c>
      <c r="AE154" s="66"/>
      <c r="AF154" s="61" t="str">
        <f t="shared" si="31"/>
        <v>NORMAL</v>
      </c>
      <c r="AG154" s="61" t="str">
        <f t="shared" si="26"/>
        <v>TRISTATE</v>
      </c>
      <c r="AH154" s="61" t="str">
        <f t="shared" si="32"/>
        <v>DISABLE</v>
      </c>
      <c r="AI154" s="67" t="str">
        <f t="shared" si="28"/>
        <v>N/A</v>
      </c>
      <c r="AJ154" s="176" t="b">
        <v>1</v>
      </c>
      <c r="AK154" s="176" t="b">
        <v>1</v>
      </c>
      <c r="AL154" s="176" t="b">
        <v>1</v>
      </c>
      <c r="AM154" s="176" t="b">
        <v>1</v>
      </c>
      <c r="AN154" s="176" t="b">
        <v>1</v>
      </c>
      <c r="AO154" s="176" t="b">
        <v>1</v>
      </c>
      <c r="AP154" s="64" t="str">
        <f t="shared" si="33"/>
        <v>VALID</v>
      </c>
      <c r="AQ154" s="347" t="s">
        <v>3669</v>
      </c>
      <c r="AR154" s="336" t="s">
        <v>3495</v>
      </c>
      <c r="AS154" s="337" t="s">
        <v>3667</v>
      </c>
      <c r="AT154" s="342"/>
      <c r="AU154" s="342"/>
      <c r="AV154" s="342"/>
      <c r="AW154" s="337" t="s">
        <v>125</v>
      </c>
      <c r="AX154" s="342"/>
      <c r="AY154" s="337"/>
      <c r="AZ154" s="337"/>
      <c r="BA154" s="343"/>
      <c r="BB154" s="338"/>
      <c r="BC154" s="344" t="s">
        <v>3788</v>
      </c>
      <c r="BD154" s="240"/>
      <c r="BE154" s="239"/>
      <c r="BF154" s="239"/>
      <c r="BG154" s="239"/>
      <c r="BH154" s="239"/>
      <c r="BI154" s="239"/>
      <c r="BJ154" s="239"/>
      <c r="BK154" s="239"/>
      <c r="BL154" s="239"/>
      <c r="BM154" s="239"/>
      <c r="BN154" s="239"/>
      <c r="BO154" s="239"/>
      <c r="BP154" s="239"/>
      <c r="BQ154" s="239"/>
      <c r="BR154" s="239"/>
      <c r="BS154" s="239"/>
      <c r="BT154" s="239"/>
      <c r="BU154" s="239"/>
      <c r="BV154" s="239"/>
      <c r="BW154" s="239"/>
      <c r="BX154" s="239"/>
      <c r="BY154" s="239"/>
      <c r="BZ154" s="239"/>
      <c r="CA154" s="239"/>
      <c r="CB154" s="239"/>
      <c r="CC154" s="239"/>
      <c r="CD154" s="239"/>
      <c r="CE154" s="239"/>
    </row>
    <row r="155" spans="1:83" ht="12.95" customHeight="1">
      <c r="A155" s="21" t="s">
        <v>3805</v>
      </c>
      <c r="B155" s="21" t="s">
        <v>3641</v>
      </c>
      <c r="C155" s="51" t="s">
        <v>984</v>
      </c>
      <c r="D155" s="52" t="s">
        <v>1977</v>
      </c>
      <c r="E155" s="52" t="s">
        <v>1978</v>
      </c>
      <c r="F155" s="53" t="s">
        <v>1252</v>
      </c>
      <c r="G155" s="179" t="s">
        <v>1979</v>
      </c>
      <c r="H155" s="180"/>
      <c r="I155" s="55"/>
      <c r="J155" s="55" t="s">
        <v>1429</v>
      </c>
      <c r="K155" s="56" t="s">
        <v>1429</v>
      </c>
      <c r="L155" s="54" t="s">
        <v>1580</v>
      </c>
      <c r="M155" s="55" t="s">
        <v>1581</v>
      </c>
      <c r="N155" s="55" t="s">
        <v>1580</v>
      </c>
      <c r="O155" s="55" t="s">
        <v>1429</v>
      </c>
      <c r="P155" s="56" t="s">
        <v>1429</v>
      </c>
      <c r="Q155" s="6" t="s">
        <v>1366</v>
      </c>
      <c r="R155" s="52" t="s">
        <v>120</v>
      </c>
      <c r="S155" s="52" t="s">
        <v>99</v>
      </c>
      <c r="T155" s="52" t="s">
        <v>100</v>
      </c>
      <c r="U155" s="58" t="s">
        <v>99</v>
      </c>
      <c r="V155" s="146" t="s">
        <v>1980</v>
      </c>
      <c r="W155" s="51" t="s">
        <v>1737</v>
      </c>
      <c r="X155" s="130" t="s">
        <v>1429</v>
      </c>
      <c r="Y155" s="130" t="s">
        <v>1429</v>
      </c>
      <c r="Z155" s="51" t="s">
        <v>1585</v>
      </c>
      <c r="AA155" s="51" t="s">
        <v>1586</v>
      </c>
      <c r="AB155" s="51" t="s">
        <v>1435</v>
      </c>
      <c r="AC155" s="51" t="s">
        <v>1674</v>
      </c>
      <c r="AD155" s="59" t="str">
        <f t="shared" si="30"/>
        <v>GPIO_PX6</v>
      </c>
      <c r="AE155" s="66"/>
      <c r="AF155" s="61" t="str">
        <f t="shared" si="31"/>
        <v>NORMAL</v>
      </c>
      <c r="AG155" s="61" t="str">
        <f t="shared" si="26"/>
        <v>NORMAL</v>
      </c>
      <c r="AH155" s="61" t="str">
        <f t="shared" si="32"/>
        <v>DISABLE</v>
      </c>
      <c r="AI155" s="67" t="str">
        <f t="shared" si="28"/>
        <v>0</v>
      </c>
      <c r="AJ155" s="176" t="b">
        <v>1</v>
      </c>
      <c r="AK155" s="176" t="b">
        <v>1</v>
      </c>
      <c r="AL155" s="176" t="b">
        <v>1</v>
      </c>
      <c r="AM155" s="176" t="b">
        <v>1</v>
      </c>
      <c r="AN155" s="176" t="b">
        <v>1</v>
      </c>
      <c r="AO155" s="176" t="b">
        <v>1</v>
      </c>
      <c r="AP155" s="64" t="str">
        <f t="shared" si="33"/>
        <v>VALID</v>
      </c>
      <c r="AQ155" s="227" t="s">
        <v>1979</v>
      </c>
      <c r="AR155" s="182" t="s">
        <v>3495</v>
      </c>
      <c r="AS155" s="181" t="s">
        <v>3500</v>
      </c>
      <c r="AT155" s="5"/>
      <c r="AU155" s="5"/>
      <c r="AV155" s="5"/>
      <c r="AW155" s="181" t="s">
        <v>125</v>
      </c>
      <c r="AX155" s="284"/>
      <c r="AY155" s="181"/>
      <c r="AZ155" s="181"/>
      <c r="BA155" s="7"/>
      <c r="BB155" s="212"/>
      <c r="BC155" s="10" t="s">
        <v>3747</v>
      </c>
      <c r="BD155" s="240"/>
      <c r="BE155" s="239"/>
      <c r="BF155" s="239"/>
      <c r="BG155" s="239"/>
      <c r="BH155" s="239"/>
      <c r="BI155" s="239"/>
      <c r="BJ155" s="239"/>
      <c r="BK155" s="239"/>
      <c r="BL155" s="239"/>
      <c r="BM155" s="239"/>
      <c r="BN155" s="239"/>
      <c r="BO155" s="239"/>
      <c r="BP155" s="239"/>
      <c r="BQ155" s="239"/>
      <c r="BR155" s="239"/>
      <c r="BS155" s="239"/>
      <c r="BT155" s="239"/>
      <c r="BU155" s="239"/>
      <c r="BV155" s="239"/>
      <c r="BW155" s="239"/>
      <c r="BX155" s="239"/>
      <c r="BY155" s="239"/>
      <c r="BZ155" s="239"/>
      <c r="CA155" s="239"/>
      <c r="CB155" s="239"/>
      <c r="CC155" s="239"/>
      <c r="CD155" s="239"/>
      <c r="CE155" s="239"/>
    </row>
    <row r="156" spans="1:83" ht="12.95" customHeight="1">
      <c r="A156" s="21" t="s">
        <v>1409</v>
      </c>
      <c r="B156" s="21" t="s">
        <v>3571</v>
      </c>
      <c r="C156" s="51" t="s">
        <v>985</v>
      </c>
      <c r="D156" s="52" t="s">
        <v>1981</v>
      </c>
      <c r="E156" s="52" t="s">
        <v>1982</v>
      </c>
      <c r="F156" s="53" t="s">
        <v>1253</v>
      </c>
      <c r="G156" s="179" t="s">
        <v>1983</v>
      </c>
      <c r="H156" s="180"/>
      <c r="I156" s="55"/>
      <c r="J156" s="55" t="s">
        <v>1429</v>
      </c>
      <c r="K156" s="56" t="s">
        <v>1429</v>
      </c>
      <c r="L156" s="54" t="s">
        <v>1580</v>
      </c>
      <c r="M156" s="55" t="s">
        <v>1590</v>
      </c>
      <c r="N156" s="55" t="s">
        <v>1580</v>
      </c>
      <c r="O156" s="55" t="s">
        <v>1429</v>
      </c>
      <c r="P156" s="56" t="s">
        <v>1429</v>
      </c>
      <c r="Q156" s="6" t="s">
        <v>1366</v>
      </c>
      <c r="R156" s="52" t="s">
        <v>120</v>
      </c>
      <c r="S156" s="52" t="s">
        <v>99</v>
      </c>
      <c r="T156" s="52" t="s">
        <v>100</v>
      </c>
      <c r="U156" s="58" t="s">
        <v>99</v>
      </c>
      <c r="V156" s="146" t="s">
        <v>1984</v>
      </c>
      <c r="W156" s="51" t="s">
        <v>1737</v>
      </c>
      <c r="X156" s="130" t="s">
        <v>1985</v>
      </c>
      <c r="Y156" s="130" t="s">
        <v>1429</v>
      </c>
      <c r="Z156" s="51" t="s">
        <v>1585</v>
      </c>
      <c r="AA156" s="51" t="s">
        <v>1600</v>
      </c>
      <c r="AB156" s="51" t="s">
        <v>1435</v>
      </c>
      <c r="AC156" s="51" t="s">
        <v>1674</v>
      </c>
      <c r="AD156" s="59" t="str">
        <f t="shared" si="30"/>
        <v>GPIO_PX7</v>
      </c>
      <c r="AE156" s="66"/>
      <c r="AF156" s="61" t="str">
        <f t="shared" si="31"/>
        <v>PULL_UP</v>
      </c>
      <c r="AG156" s="61" t="str">
        <f t="shared" si="26"/>
        <v>TRISTATE</v>
      </c>
      <c r="AH156" s="61" t="str">
        <f t="shared" si="32"/>
        <v>ENABLE</v>
      </c>
      <c r="AI156" s="67" t="str">
        <f t="shared" si="28"/>
        <v/>
      </c>
      <c r="AJ156" s="176" t="b">
        <v>1</v>
      </c>
      <c r="AK156" s="176" t="b">
        <v>1</v>
      </c>
      <c r="AL156" s="176" t="b">
        <v>1</v>
      </c>
      <c r="AM156" s="176" t="b">
        <v>1</v>
      </c>
      <c r="AN156" s="176" t="b">
        <v>1</v>
      </c>
      <c r="AO156" s="176" t="b">
        <v>1</v>
      </c>
      <c r="AP156" s="64" t="str">
        <f t="shared" si="33"/>
        <v>VALID</v>
      </c>
      <c r="AQ156" s="227" t="s">
        <v>1983</v>
      </c>
      <c r="AR156" s="182" t="s">
        <v>3496</v>
      </c>
      <c r="AS156" s="181" t="s">
        <v>3497</v>
      </c>
      <c r="AT156" s="181" t="s">
        <v>3499</v>
      </c>
      <c r="AU156" s="5"/>
      <c r="AV156" s="5"/>
      <c r="AW156" s="181" t="s">
        <v>125</v>
      </c>
      <c r="AX156" s="284"/>
      <c r="AY156" s="181"/>
      <c r="AZ156" s="181"/>
      <c r="BA156" s="7"/>
      <c r="BB156" s="212"/>
      <c r="BC156" s="10" t="s">
        <v>3748</v>
      </c>
      <c r="BD156" s="240"/>
      <c r="BE156" s="239"/>
      <c r="BF156" s="239"/>
      <c r="BG156" s="239"/>
      <c r="BH156" s="239"/>
      <c r="BI156" s="239"/>
      <c r="BJ156" s="239"/>
      <c r="BK156" s="239"/>
      <c r="BL156" s="239"/>
      <c r="BM156" s="239"/>
      <c r="BN156" s="239"/>
      <c r="BO156" s="239"/>
      <c r="BP156" s="239"/>
      <c r="BQ156" s="239"/>
      <c r="BR156" s="239"/>
      <c r="BS156" s="239"/>
      <c r="BT156" s="239"/>
      <c r="BU156" s="239"/>
      <c r="BV156" s="239"/>
      <c r="BW156" s="239"/>
      <c r="BX156" s="239"/>
      <c r="BY156" s="239"/>
      <c r="BZ156" s="239"/>
      <c r="CA156" s="239"/>
      <c r="CB156" s="239"/>
      <c r="CC156" s="239"/>
      <c r="CD156" s="239"/>
      <c r="CE156" s="239"/>
    </row>
    <row r="157" spans="1:83" ht="12.95" customHeight="1">
      <c r="A157" s="21" t="s">
        <v>1410</v>
      </c>
      <c r="B157" s="21" t="s">
        <v>1863</v>
      </c>
      <c r="C157" s="51" t="s">
        <v>986</v>
      </c>
      <c r="D157" s="52" t="s">
        <v>1986</v>
      </c>
      <c r="E157" s="52" t="s">
        <v>1987</v>
      </c>
      <c r="F157" s="53" t="s">
        <v>1254</v>
      </c>
      <c r="G157" s="179" t="s">
        <v>1537</v>
      </c>
      <c r="H157" s="180" t="s">
        <v>1429</v>
      </c>
      <c r="I157" s="55" t="s">
        <v>1429</v>
      </c>
      <c r="J157" s="55" t="s">
        <v>1429</v>
      </c>
      <c r="K157" s="56" t="s">
        <v>1429</v>
      </c>
      <c r="L157" s="54" t="s">
        <v>1580</v>
      </c>
      <c r="M157" s="55" t="s">
        <v>1429</v>
      </c>
      <c r="N157" s="55" t="s">
        <v>1429</v>
      </c>
      <c r="O157" s="55" t="s">
        <v>1429</v>
      </c>
      <c r="P157" s="56" t="s">
        <v>1429</v>
      </c>
      <c r="Q157" s="52" t="s">
        <v>755</v>
      </c>
      <c r="R157" s="52" t="s">
        <v>113</v>
      </c>
      <c r="S157" s="52" t="s">
        <v>99</v>
      </c>
      <c r="T157" s="52" t="s">
        <v>100</v>
      </c>
      <c r="U157" s="58" t="s">
        <v>755</v>
      </c>
      <c r="V157" s="146" t="s">
        <v>1988</v>
      </c>
      <c r="W157" s="51" t="s">
        <v>1737</v>
      </c>
      <c r="X157" s="130" t="s">
        <v>1989</v>
      </c>
      <c r="Y157" s="130" t="s">
        <v>1429</v>
      </c>
      <c r="Z157" s="51" t="s">
        <v>1585</v>
      </c>
      <c r="AA157" s="51" t="s">
        <v>1600</v>
      </c>
      <c r="AB157" s="51" t="s">
        <v>1435</v>
      </c>
      <c r="AC157" s="51" t="s">
        <v>1587</v>
      </c>
      <c r="AD157" s="59" t="str">
        <f t="shared" si="30"/>
        <v>GPIO_PY0</v>
      </c>
      <c r="AE157" s="66"/>
      <c r="AF157" s="61" t="str">
        <f t="shared" si="31"/>
        <v>PULL_UP</v>
      </c>
      <c r="AG157" s="61" t="str">
        <f t="shared" si="26"/>
        <v>TRISTATE</v>
      </c>
      <c r="AH157" s="61" t="str">
        <f t="shared" si="32"/>
        <v>ENABLE</v>
      </c>
      <c r="AI157" s="67" t="str">
        <f t="shared" si="28"/>
        <v/>
      </c>
      <c r="AJ157" s="176" t="b">
        <v>1</v>
      </c>
      <c r="AK157" s="176" t="b">
        <v>1</v>
      </c>
      <c r="AL157" s="176" t="b">
        <v>1</v>
      </c>
      <c r="AM157" s="176" t="b">
        <v>1</v>
      </c>
      <c r="AN157" s="176" t="b">
        <v>1</v>
      </c>
      <c r="AO157" s="176" t="b">
        <v>1</v>
      </c>
      <c r="AP157" s="64" t="str">
        <f t="shared" si="33"/>
        <v>VALID</v>
      </c>
      <c r="AQ157" s="226" t="s">
        <v>1537</v>
      </c>
      <c r="AR157" s="182" t="s">
        <v>3496</v>
      </c>
      <c r="AS157" s="181" t="s">
        <v>3497</v>
      </c>
      <c r="AT157" s="181" t="s">
        <v>3499</v>
      </c>
      <c r="AU157" s="5"/>
      <c r="AV157" s="5"/>
      <c r="AW157" s="181" t="s">
        <v>125</v>
      </c>
      <c r="AX157" s="284"/>
      <c r="AY157" s="181"/>
      <c r="AZ157" s="181"/>
      <c r="BA157" s="7" t="s">
        <v>101</v>
      </c>
      <c r="BB157" s="212"/>
      <c r="BC157" s="10" t="s">
        <v>3749</v>
      </c>
      <c r="BD157" s="240"/>
      <c r="BE157" s="239"/>
      <c r="BF157" s="239"/>
      <c r="BG157" s="239"/>
      <c r="BH157" s="239"/>
      <c r="BI157" s="239"/>
      <c r="BJ157" s="239"/>
      <c r="BK157" s="239"/>
      <c r="BL157" s="239"/>
      <c r="BM157" s="239"/>
      <c r="BN157" s="239"/>
      <c r="BO157" s="239"/>
      <c r="BP157" s="239"/>
      <c r="BQ157" s="239"/>
      <c r="BR157" s="239"/>
      <c r="BS157" s="239"/>
      <c r="BT157" s="239"/>
      <c r="BU157" s="239"/>
      <c r="BV157" s="239"/>
      <c r="BW157" s="239"/>
      <c r="BX157" s="239"/>
      <c r="BY157" s="239"/>
      <c r="BZ157" s="239"/>
      <c r="CA157" s="239"/>
      <c r="CB157" s="239"/>
      <c r="CC157" s="239"/>
      <c r="CD157" s="239"/>
      <c r="CE157" s="239"/>
    </row>
    <row r="158" spans="1:83" ht="12.95" customHeight="1">
      <c r="A158" s="21" t="s">
        <v>3806</v>
      </c>
      <c r="B158" s="21" t="s">
        <v>3553</v>
      </c>
      <c r="C158" s="51" t="s">
        <v>987</v>
      </c>
      <c r="D158" s="52" t="s">
        <v>1990</v>
      </c>
      <c r="E158" s="52" t="s">
        <v>1981</v>
      </c>
      <c r="F158" s="53" t="s">
        <v>1255</v>
      </c>
      <c r="G158" s="179" t="s">
        <v>1538</v>
      </c>
      <c r="H158" s="180" t="s">
        <v>1429</v>
      </c>
      <c r="I158" s="55" t="s">
        <v>1429</v>
      </c>
      <c r="J158" s="55" t="s">
        <v>1429</v>
      </c>
      <c r="K158" s="56" t="s">
        <v>1429</v>
      </c>
      <c r="L158" s="54" t="s">
        <v>1580</v>
      </c>
      <c r="M158" s="55" t="s">
        <v>1429</v>
      </c>
      <c r="N158" s="55" t="s">
        <v>1429</v>
      </c>
      <c r="O158" s="55" t="s">
        <v>1429</v>
      </c>
      <c r="P158" s="56" t="s">
        <v>1429</v>
      </c>
      <c r="Q158" s="52" t="s">
        <v>755</v>
      </c>
      <c r="R158" s="52" t="s">
        <v>113</v>
      </c>
      <c r="S158" s="52" t="s">
        <v>99</v>
      </c>
      <c r="T158" s="52" t="s">
        <v>100</v>
      </c>
      <c r="U158" s="58" t="s">
        <v>755</v>
      </c>
      <c r="V158" s="146" t="s">
        <v>1991</v>
      </c>
      <c r="W158" s="51" t="s">
        <v>1737</v>
      </c>
      <c r="X158" s="130" t="s">
        <v>1992</v>
      </c>
      <c r="Y158" s="130" t="s">
        <v>1429</v>
      </c>
      <c r="Z158" s="51" t="s">
        <v>1585</v>
      </c>
      <c r="AA158" s="51" t="s">
        <v>1600</v>
      </c>
      <c r="AB158" s="51" t="s">
        <v>1435</v>
      </c>
      <c r="AC158" s="51" t="s">
        <v>1587</v>
      </c>
      <c r="AD158" s="59" t="str">
        <f t="shared" si="30"/>
        <v>GPIO_PY1</v>
      </c>
      <c r="AE158" s="66"/>
      <c r="AF158" s="61" t="str">
        <f t="shared" si="31"/>
        <v>PULL_UP</v>
      </c>
      <c r="AG158" s="61" t="str">
        <f t="shared" si="26"/>
        <v>TRISTATE</v>
      </c>
      <c r="AH158" s="61" t="str">
        <f t="shared" si="32"/>
        <v>ENABLE</v>
      </c>
      <c r="AI158" s="67" t="str">
        <f t="shared" si="28"/>
        <v/>
      </c>
      <c r="AJ158" s="176" t="b">
        <v>1</v>
      </c>
      <c r="AK158" s="176" t="b">
        <v>1</v>
      </c>
      <c r="AL158" s="176" t="b">
        <v>1</v>
      </c>
      <c r="AM158" s="176" t="b">
        <v>1</v>
      </c>
      <c r="AN158" s="176" t="b">
        <v>1</v>
      </c>
      <c r="AO158" s="176" t="b">
        <v>1</v>
      </c>
      <c r="AP158" s="64" t="str">
        <f t="shared" si="33"/>
        <v>VALID</v>
      </c>
      <c r="AQ158" s="226" t="s">
        <v>1538</v>
      </c>
      <c r="AR158" s="182" t="s">
        <v>3496</v>
      </c>
      <c r="AS158" s="181" t="s">
        <v>3497</v>
      </c>
      <c r="AT158" s="181" t="s">
        <v>3499</v>
      </c>
      <c r="AU158" s="5"/>
      <c r="AV158" s="5"/>
      <c r="AW158" s="181" t="s">
        <v>125</v>
      </c>
      <c r="AX158" s="284"/>
      <c r="AY158" s="181"/>
      <c r="AZ158" s="181"/>
      <c r="BA158" s="7"/>
      <c r="BB158" s="212"/>
      <c r="BC158" s="10" t="s">
        <v>1411</v>
      </c>
      <c r="BD158" s="240"/>
      <c r="BE158" s="239"/>
      <c r="BF158" s="239"/>
      <c r="BG158" s="239"/>
      <c r="BH158" s="239"/>
      <c r="BI158" s="239"/>
      <c r="BJ158" s="239"/>
      <c r="BK158" s="239"/>
      <c r="BL158" s="239"/>
      <c r="BM158" s="239"/>
      <c r="BN158" s="239"/>
      <c r="BO158" s="239"/>
      <c r="BP158" s="239"/>
      <c r="BQ158" s="239"/>
      <c r="BR158" s="239"/>
      <c r="BS158" s="239"/>
      <c r="BT158" s="239"/>
      <c r="BU158" s="239"/>
      <c r="BV158" s="239"/>
      <c r="BW158" s="239"/>
      <c r="BX158" s="239"/>
      <c r="BY158" s="239"/>
      <c r="BZ158" s="239"/>
      <c r="CA158" s="239"/>
      <c r="CB158" s="239"/>
      <c r="CC158" s="239"/>
      <c r="CD158" s="239"/>
      <c r="CE158" s="239"/>
    </row>
    <row r="159" spans="1:83" ht="12.95" customHeight="1">
      <c r="A159" s="21" t="s">
        <v>1412</v>
      </c>
      <c r="B159" s="21" t="s">
        <v>3578</v>
      </c>
      <c r="C159" s="51" t="s">
        <v>988</v>
      </c>
      <c r="D159" s="52" t="s">
        <v>1966</v>
      </c>
      <c r="E159" s="52" t="s">
        <v>1986</v>
      </c>
      <c r="F159" s="53" t="s">
        <v>1256</v>
      </c>
      <c r="G159" s="179" t="s">
        <v>1539</v>
      </c>
      <c r="H159" s="180" t="s">
        <v>1429</v>
      </c>
      <c r="I159" s="55" t="s">
        <v>1429</v>
      </c>
      <c r="J159" s="55" t="s">
        <v>1429</v>
      </c>
      <c r="K159" s="56" t="s">
        <v>1429</v>
      </c>
      <c r="L159" s="54" t="s">
        <v>1580</v>
      </c>
      <c r="M159" s="55" t="s">
        <v>1429</v>
      </c>
      <c r="N159" s="55" t="s">
        <v>1429</v>
      </c>
      <c r="O159" s="55" t="s">
        <v>1429</v>
      </c>
      <c r="P159" s="56" t="s">
        <v>1429</v>
      </c>
      <c r="Q159" s="52" t="s">
        <v>755</v>
      </c>
      <c r="R159" s="52" t="s">
        <v>113</v>
      </c>
      <c r="S159" s="52" t="s">
        <v>99</v>
      </c>
      <c r="T159" s="52" t="s">
        <v>100</v>
      </c>
      <c r="U159" s="58" t="s">
        <v>755</v>
      </c>
      <c r="V159" s="146" t="s">
        <v>1993</v>
      </c>
      <c r="W159" s="51" t="s">
        <v>1737</v>
      </c>
      <c r="X159" s="130" t="s">
        <v>1994</v>
      </c>
      <c r="Y159" s="130" t="s">
        <v>1429</v>
      </c>
      <c r="Z159" s="51" t="s">
        <v>1585</v>
      </c>
      <c r="AA159" s="51" t="s">
        <v>1600</v>
      </c>
      <c r="AB159" s="51" t="s">
        <v>1435</v>
      </c>
      <c r="AC159" s="51" t="s">
        <v>1587</v>
      </c>
      <c r="AD159" s="59" t="str">
        <f t="shared" si="30"/>
        <v>GPIO_PY2</v>
      </c>
      <c r="AE159" s="66"/>
      <c r="AF159" s="61" t="str">
        <f t="shared" si="31"/>
        <v>PULL_UP</v>
      </c>
      <c r="AG159" s="61" t="str">
        <f t="shared" si="26"/>
        <v>TRISTATE</v>
      </c>
      <c r="AH159" s="61" t="str">
        <f t="shared" si="32"/>
        <v>ENABLE</v>
      </c>
      <c r="AI159" s="67" t="str">
        <f t="shared" si="28"/>
        <v/>
      </c>
      <c r="AJ159" s="176" t="b">
        <v>1</v>
      </c>
      <c r="AK159" s="176" t="b">
        <v>1</v>
      </c>
      <c r="AL159" s="176" t="b">
        <v>1</v>
      </c>
      <c r="AM159" s="176" t="b">
        <v>1</v>
      </c>
      <c r="AN159" s="176" t="b">
        <v>1</v>
      </c>
      <c r="AO159" s="176" t="b">
        <v>1</v>
      </c>
      <c r="AP159" s="64" t="str">
        <f t="shared" si="33"/>
        <v>VALID</v>
      </c>
      <c r="AQ159" s="226" t="s">
        <v>1539</v>
      </c>
      <c r="AR159" s="182" t="s">
        <v>3496</v>
      </c>
      <c r="AS159" s="181" t="s">
        <v>3497</v>
      </c>
      <c r="AT159" s="181" t="s">
        <v>3499</v>
      </c>
      <c r="AU159" s="5"/>
      <c r="AV159" s="5"/>
      <c r="AW159" s="181" t="s">
        <v>125</v>
      </c>
      <c r="AX159" s="284"/>
      <c r="AY159" s="181"/>
      <c r="AZ159" s="181"/>
      <c r="BA159" s="7"/>
      <c r="BB159" s="212"/>
      <c r="BC159" s="10" t="s">
        <v>3750</v>
      </c>
      <c r="BD159" s="240"/>
      <c r="BE159" s="239"/>
      <c r="BF159" s="239"/>
      <c r="BG159" s="239"/>
      <c r="BH159" s="239"/>
      <c r="BI159" s="239"/>
      <c r="BJ159" s="239"/>
      <c r="BK159" s="239"/>
      <c r="BL159" s="239"/>
      <c r="BM159" s="239"/>
      <c r="BN159" s="239"/>
      <c r="BO159" s="239"/>
      <c r="BP159" s="239"/>
      <c r="BQ159" s="239"/>
      <c r="BR159" s="239"/>
      <c r="BS159" s="239"/>
      <c r="BT159" s="239"/>
      <c r="BU159" s="239"/>
      <c r="BV159" s="239"/>
      <c r="BW159" s="239"/>
      <c r="BX159" s="239"/>
      <c r="BY159" s="239"/>
      <c r="BZ159" s="239"/>
      <c r="CA159" s="239"/>
      <c r="CB159" s="239"/>
      <c r="CC159" s="239"/>
      <c r="CD159" s="239"/>
      <c r="CE159" s="239"/>
    </row>
    <row r="160" spans="1:83" ht="12.95" customHeight="1">
      <c r="A160" s="21" t="s">
        <v>3491</v>
      </c>
      <c r="B160" s="21" t="s">
        <v>3598</v>
      </c>
      <c r="C160" s="51" t="s">
        <v>989</v>
      </c>
      <c r="D160" s="52" t="s">
        <v>1995</v>
      </c>
      <c r="E160" s="52" t="s">
        <v>1996</v>
      </c>
      <c r="F160" s="53" t="s">
        <v>1257</v>
      </c>
      <c r="G160" s="179"/>
      <c r="H160" s="180" t="s">
        <v>1429</v>
      </c>
      <c r="I160" s="55" t="s">
        <v>1540</v>
      </c>
      <c r="J160" s="55"/>
      <c r="K160" s="56" t="s">
        <v>1429</v>
      </c>
      <c r="L160" s="54" t="s">
        <v>1580</v>
      </c>
      <c r="M160" s="55" t="s">
        <v>1429</v>
      </c>
      <c r="N160" s="55" t="s">
        <v>1580</v>
      </c>
      <c r="O160" s="55" t="s">
        <v>1581</v>
      </c>
      <c r="P160" s="56" t="s">
        <v>1429</v>
      </c>
      <c r="Q160" s="52" t="s">
        <v>755</v>
      </c>
      <c r="R160" s="52" t="s">
        <v>111</v>
      </c>
      <c r="S160" s="52" t="s">
        <v>749</v>
      </c>
      <c r="T160" s="52" t="s">
        <v>100</v>
      </c>
      <c r="U160" s="58" t="s">
        <v>755</v>
      </c>
      <c r="V160" s="146" t="s">
        <v>1997</v>
      </c>
      <c r="W160" s="51" t="s">
        <v>1737</v>
      </c>
      <c r="X160" s="130" t="s">
        <v>1429</v>
      </c>
      <c r="Y160" s="130" t="s">
        <v>1429</v>
      </c>
      <c r="Z160" s="51" t="s">
        <v>1585</v>
      </c>
      <c r="AA160" s="51" t="s">
        <v>1586</v>
      </c>
      <c r="AB160" s="51" t="s">
        <v>1435</v>
      </c>
      <c r="AC160" s="51" t="s">
        <v>1674</v>
      </c>
      <c r="AD160" s="59" t="str">
        <f t="shared" si="30"/>
        <v>SPI1</v>
      </c>
      <c r="AE160" s="66"/>
      <c r="AF160" s="61" t="str">
        <f t="shared" si="31"/>
        <v>PULL_UP</v>
      </c>
      <c r="AG160" s="61" t="str">
        <f t="shared" si="26"/>
        <v>NORMAL</v>
      </c>
      <c r="AH160" s="61" t="str">
        <f t="shared" si="32"/>
        <v>DISABLE</v>
      </c>
      <c r="AI160" s="67" t="str">
        <f t="shared" si="28"/>
        <v>N/A</v>
      </c>
      <c r="AJ160" s="176" t="b">
        <v>1</v>
      </c>
      <c r="AK160" s="176" t="b">
        <v>1</v>
      </c>
      <c r="AL160" s="176" t="b">
        <v>1</v>
      </c>
      <c r="AM160" s="176" t="b">
        <v>1</v>
      </c>
      <c r="AN160" s="176" t="b">
        <v>1</v>
      </c>
      <c r="AO160" s="176" t="b">
        <v>1</v>
      </c>
      <c r="AP160" s="64" t="str">
        <f t="shared" si="33"/>
        <v>VALID</v>
      </c>
      <c r="AQ160" s="226" t="s">
        <v>1540</v>
      </c>
      <c r="AR160" s="182" t="s">
        <v>3495</v>
      </c>
      <c r="AS160" s="181" t="s">
        <v>3497</v>
      </c>
      <c r="AT160" s="5"/>
      <c r="AU160" s="5"/>
      <c r="AV160" s="5"/>
      <c r="AW160" s="181" t="s">
        <v>125</v>
      </c>
      <c r="AX160" s="284"/>
      <c r="AY160" s="181"/>
      <c r="AZ160" s="181"/>
      <c r="BA160" s="7"/>
      <c r="BB160" s="212"/>
      <c r="BC160" s="10" t="s">
        <v>3751</v>
      </c>
      <c r="BD160" s="238"/>
      <c r="BE160" s="239"/>
      <c r="BF160" s="239"/>
      <c r="BG160" s="239"/>
      <c r="BH160" s="239"/>
      <c r="BI160" s="239"/>
      <c r="BJ160" s="239"/>
      <c r="BK160" s="239"/>
      <c r="BL160" s="239"/>
      <c r="BM160" s="239"/>
      <c r="BN160" s="239"/>
      <c r="BO160" s="239"/>
      <c r="BP160" s="239"/>
      <c r="BQ160" s="239"/>
      <c r="BR160" s="239"/>
      <c r="BS160" s="239"/>
      <c r="BT160" s="239"/>
      <c r="BU160" s="239"/>
      <c r="BV160" s="239"/>
      <c r="BW160" s="239"/>
      <c r="BX160" s="239"/>
      <c r="BY160" s="239"/>
      <c r="BZ160" s="239"/>
      <c r="CA160" s="239"/>
      <c r="CB160" s="239"/>
      <c r="CC160" s="239"/>
      <c r="CD160" s="239"/>
      <c r="CE160" s="239"/>
    </row>
    <row r="161" spans="1:83" ht="12.95" customHeight="1">
      <c r="A161" s="1"/>
      <c r="B161" s="1"/>
      <c r="C161" s="51" t="s">
        <v>990</v>
      </c>
      <c r="D161" s="52" t="s">
        <v>1998</v>
      </c>
      <c r="E161" s="52" t="s">
        <v>1999</v>
      </c>
      <c r="F161" s="53" t="s">
        <v>1258</v>
      </c>
      <c r="G161" s="179" t="s">
        <v>2000</v>
      </c>
      <c r="H161" s="180" t="s">
        <v>1429</v>
      </c>
      <c r="I161" s="55"/>
      <c r="J161" s="55" t="s">
        <v>1429</v>
      </c>
      <c r="K161" s="56" t="s">
        <v>1429</v>
      </c>
      <c r="L161" s="54" t="s">
        <v>1580</v>
      </c>
      <c r="M161" s="55" t="s">
        <v>1429</v>
      </c>
      <c r="N161" s="55" t="s">
        <v>1580</v>
      </c>
      <c r="O161" s="55" t="s">
        <v>1429</v>
      </c>
      <c r="P161" s="56" t="s">
        <v>1429</v>
      </c>
      <c r="Q161" s="52" t="s">
        <v>755</v>
      </c>
      <c r="R161" s="52" t="s">
        <v>111</v>
      </c>
      <c r="S161" s="52" t="s">
        <v>99</v>
      </c>
      <c r="T161" s="52" t="s">
        <v>100</v>
      </c>
      <c r="U161" s="58" t="s">
        <v>755</v>
      </c>
      <c r="V161" s="146" t="s">
        <v>2001</v>
      </c>
      <c r="W161" s="51" t="s">
        <v>1737</v>
      </c>
      <c r="X161" s="130" t="s">
        <v>1429</v>
      </c>
      <c r="Y161" s="130" t="s">
        <v>1429</v>
      </c>
      <c r="Z161" s="51" t="s">
        <v>1585</v>
      </c>
      <c r="AA161" s="51" t="s">
        <v>1586</v>
      </c>
      <c r="AB161" s="51" t="s">
        <v>1435</v>
      </c>
      <c r="AC161" s="51" t="s">
        <v>1674</v>
      </c>
      <c r="AD161" s="59" t="str">
        <f t="shared" si="30"/>
        <v>GPIO_PY4</v>
      </c>
      <c r="AE161" s="66"/>
      <c r="AF161" s="61" t="str">
        <f t="shared" si="31"/>
        <v>NORMAL</v>
      </c>
      <c r="AG161" s="61" t="str">
        <f t="shared" si="26"/>
        <v>NORMAL</v>
      </c>
      <c r="AH161" s="61" t="str">
        <f t="shared" si="32"/>
        <v>DISABLE</v>
      </c>
      <c r="AI161" s="67" t="str">
        <f t="shared" si="28"/>
        <v>0</v>
      </c>
      <c r="AJ161" s="176" t="b">
        <v>1</v>
      </c>
      <c r="AK161" s="176" t="b">
        <v>1</v>
      </c>
      <c r="AL161" s="176" t="b">
        <v>1</v>
      </c>
      <c r="AM161" s="176" t="b">
        <v>1</v>
      </c>
      <c r="AN161" s="176" t="b">
        <v>1</v>
      </c>
      <c r="AO161" s="176" t="b">
        <v>1</v>
      </c>
      <c r="AP161" s="64" t="str">
        <f t="shared" si="33"/>
        <v>VALID</v>
      </c>
      <c r="AQ161" s="347" t="s">
        <v>2000</v>
      </c>
      <c r="AR161" s="336" t="s">
        <v>3495</v>
      </c>
      <c r="AS161" s="337" t="s">
        <v>3500</v>
      </c>
      <c r="AT161" s="342"/>
      <c r="AU161" s="342"/>
      <c r="AV161" s="342"/>
      <c r="AW161" s="337" t="s">
        <v>125</v>
      </c>
      <c r="AX161" s="342"/>
      <c r="AY161" s="337"/>
      <c r="AZ161" s="337"/>
      <c r="BA161" s="343"/>
      <c r="BB161" s="338"/>
      <c r="BC161" s="344" t="s">
        <v>3752</v>
      </c>
      <c r="BD161" s="248"/>
      <c r="BE161" s="239"/>
      <c r="BF161" s="239"/>
      <c r="BG161" s="239"/>
      <c r="BH161" s="239"/>
      <c r="BI161" s="239"/>
      <c r="BJ161" s="239"/>
      <c r="BK161" s="239"/>
      <c r="BL161" s="239"/>
      <c r="BM161" s="239"/>
      <c r="BN161" s="239"/>
      <c r="BO161" s="239"/>
      <c r="BP161" s="239"/>
      <c r="BQ161" s="239"/>
      <c r="BR161" s="239"/>
      <c r="BS161" s="239"/>
      <c r="BT161" s="239"/>
      <c r="BU161" s="239"/>
      <c r="BV161" s="239"/>
      <c r="BW161" s="239"/>
      <c r="BX161" s="239"/>
      <c r="BY161" s="239"/>
      <c r="BZ161" s="239"/>
      <c r="CA161" s="239"/>
      <c r="CB161" s="239"/>
      <c r="CC161" s="239"/>
      <c r="CD161" s="239"/>
      <c r="CE161" s="239"/>
    </row>
    <row r="162" spans="1:83" ht="12.95" customHeight="1">
      <c r="A162" s="1"/>
      <c r="B162" s="1"/>
      <c r="C162" s="51" t="s">
        <v>991</v>
      </c>
      <c r="D162" s="52" t="s">
        <v>1749</v>
      </c>
      <c r="E162" s="52" t="s">
        <v>2002</v>
      </c>
      <c r="F162" s="53" t="s">
        <v>1259</v>
      </c>
      <c r="G162" s="179" t="s">
        <v>1541</v>
      </c>
      <c r="H162" s="180" t="s">
        <v>2003</v>
      </c>
      <c r="I162" s="55" t="s">
        <v>1429</v>
      </c>
      <c r="J162" s="55" t="s">
        <v>1429</v>
      </c>
      <c r="K162" s="56" t="s">
        <v>1429</v>
      </c>
      <c r="L162" s="54" t="s">
        <v>1580</v>
      </c>
      <c r="M162" s="55" t="s">
        <v>1590</v>
      </c>
      <c r="N162" s="55" t="s">
        <v>1429</v>
      </c>
      <c r="O162" s="55" t="s">
        <v>1429</v>
      </c>
      <c r="P162" s="56" t="s">
        <v>1429</v>
      </c>
      <c r="Q162" s="52" t="s">
        <v>134</v>
      </c>
      <c r="R162" s="52" t="s">
        <v>113</v>
      </c>
      <c r="S162" s="52" t="s">
        <v>99</v>
      </c>
      <c r="T162" s="52" t="s">
        <v>100</v>
      </c>
      <c r="U162" s="58" t="s">
        <v>113</v>
      </c>
      <c r="V162" s="146" t="s">
        <v>2004</v>
      </c>
      <c r="W162" s="51" t="s">
        <v>1737</v>
      </c>
      <c r="X162" s="130" t="s">
        <v>2005</v>
      </c>
      <c r="Y162" s="130" t="s">
        <v>1429</v>
      </c>
      <c r="Z162" s="51" t="s">
        <v>1585</v>
      </c>
      <c r="AA162" s="51" t="s">
        <v>1600</v>
      </c>
      <c r="AB162" s="51" t="s">
        <v>1435</v>
      </c>
      <c r="AC162" s="51" t="s">
        <v>1587</v>
      </c>
      <c r="AD162" s="59" t="str">
        <f t="shared" si="30"/>
        <v>GPIO_PY5</v>
      </c>
      <c r="AE162" s="66"/>
      <c r="AF162" s="61" t="str">
        <f t="shared" si="31"/>
        <v>PULL_UP</v>
      </c>
      <c r="AG162" s="61" t="str">
        <f t="shared" si="26"/>
        <v>TRISTATE</v>
      </c>
      <c r="AH162" s="61" t="str">
        <f t="shared" si="32"/>
        <v>ENABLE</v>
      </c>
      <c r="AI162" s="67" t="str">
        <f t="shared" si="28"/>
        <v/>
      </c>
      <c r="AJ162" s="176" t="b">
        <v>1</v>
      </c>
      <c r="AK162" s="176" t="b">
        <v>1</v>
      </c>
      <c r="AL162" s="176" t="b">
        <v>1</v>
      </c>
      <c r="AM162" s="176" t="b">
        <v>1</v>
      </c>
      <c r="AN162" s="176" t="b">
        <v>1</v>
      </c>
      <c r="AO162" s="176" t="b">
        <v>1</v>
      </c>
      <c r="AP162" s="64" t="str">
        <f t="shared" si="33"/>
        <v>VALID</v>
      </c>
      <c r="AQ162" s="347" t="s">
        <v>1541</v>
      </c>
      <c r="AR162" s="336" t="s">
        <v>3496</v>
      </c>
      <c r="AS162" s="337" t="s">
        <v>3497</v>
      </c>
      <c r="AT162" s="337" t="s">
        <v>3499</v>
      </c>
      <c r="AU162" s="342"/>
      <c r="AV162" s="342"/>
      <c r="AW162" s="337" t="s">
        <v>125</v>
      </c>
      <c r="AX162" s="342"/>
      <c r="AY162" s="337"/>
      <c r="AZ162" s="337"/>
      <c r="BA162" s="343"/>
      <c r="BB162" s="338"/>
      <c r="BC162" s="344" t="s">
        <v>3753</v>
      </c>
      <c r="BD162" s="248"/>
      <c r="BE162" s="239"/>
      <c r="BF162" s="239"/>
      <c r="BG162" s="239"/>
      <c r="BH162" s="239"/>
      <c r="BI162" s="239"/>
      <c r="BJ162" s="239"/>
      <c r="BK162" s="239"/>
      <c r="BL162" s="239"/>
      <c r="BM162" s="239"/>
      <c r="BN162" s="239"/>
      <c r="BO162" s="239"/>
      <c r="BP162" s="239"/>
      <c r="BQ162" s="239"/>
      <c r="BR162" s="239"/>
      <c r="BS162" s="239"/>
      <c r="BT162" s="239"/>
      <c r="BU162" s="239"/>
      <c r="BV162" s="239"/>
      <c r="BW162" s="239"/>
      <c r="BX162" s="239"/>
      <c r="BY162" s="239"/>
      <c r="BZ162" s="239"/>
      <c r="CA162" s="239"/>
      <c r="CB162" s="239"/>
      <c r="CC162" s="239"/>
      <c r="CD162" s="239"/>
      <c r="CE162" s="239"/>
    </row>
    <row r="163" spans="1:83" ht="12.95" customHeight="1">
      <c r="A163" s="21" t="s">
        <v>1413</v>
      </c>
      <c r="B163" s="21" t="s">
        <v>3556</v>
      </c>
      <c r="C163" s="51" t="s">
        <v>992</v>
      </c>
      <c r="D163" s="52" t="s">
        <v>1753</v>
      </c>
      <c r="E163" s="52" t="s">
        <v>2006</v>
      </c>
      <c r="F163" s="53" t="s">
        <v>1260</v>
      </c>
      <c r="G163" s="179" t="s">
        <v>1542</v>
      </c>
      <c r="H163" s="180" t="s">
        <v>1429</v>
      </c>
      <c r="I163" s="55" t="s">
        <v>1429</v>
      </c>
      <c r="J163" s="55" t="s">
        <v>1429</v>
      </c>
      <c r="K163" s="56" t="s">
        <v>1429</v>
      </c>
      <c r="L163" s="54" t="s">
        <v>1580</v>
      </c>
      <c r="M163" s="55" t="s">
        <v>1429</v>
      </c>
      <c r="N163" s="55" t="s">
        <v>1429</v>
      </c>
      <c r="O163" s="55" t="s">
        <v>1429</v>
      </c>
      <c r="P163" s="56" t="s">
        <v>1429</v>
      </c>
      <c r="Q163" s="6" t="s">
        <v>755</v>
      </c>
      <c r="R163" s="52" t="s">
        <v>113</v>
      </c>
      <c r="S163" s="52" t="s">
        <v>99</v>
      </c>
      <c r="T163" s="52" t="s">
        <v>100</v>
      </c>
      <c r="U163" s="58" t="s">
        <v>755</v>
      </c>
      <c r="V163" s="146" t="s">
        <v>2007</v>
      </c>
      <c r="W163" s="51" t="s">
        <v>1737</v>
      </c>
      <c r="X163" s="130" t="s">
        <v>2008</v>
      </c>
      <c r="Y163" s="130" t="s">
        <v>1429</v>
      </c>
      <c r="Z163" s="51" t="s">
        <v>1585</v>
      </c>
      <c r="AA163" s="51" t="s">
        <v>1600</v>
      </c>
      <c r="AB163" s="51" t="s">
        <v>1435</v>
      </c>
      <c r="AC163" s="51" t="s">
        <v>1587</v>
      </c>
      <c r="AD163" s="59" t="str">
        <f t="shared" si="30"/>
        <v>GPIO_PY6</v>
      </c>
      <c r="AE163" s="66"/>
      <c r="AF163" s="61" t="str">
        <f t="shared" si="31"/>
        <v>PULL_UP</v>
      </c>
      <c r="AG163" s="61" t="str">
        <f t="shared" si="26"/>
        <v>TRISTATE</v>
      </c>
      <c r="AH163" s="61" t="str">
        <f t="shared" si="32"/>
        <v>ENABLE</v>
      </c>
      <c r="AI163" s="67" t="str">
        <f t="shared" si="28"/>
        <v/>
      </c>
      <c r="AJ163" s="176" t="b">
        <v>1</v>
      </c>
      <c r="AK163" s="176" t="b">
        <v>1</v>
      </c>
      <c r="AL163" s="176" t="b">
        <v>1</v>
      </c>
      <c r="AM163" s="176" t="b">
        <v>1</v>
      </c>
      <c r="AN163" s="176" t="b">
        <v>1</v>
      </c>
      <c r="AO163" s="176" t="b">
        <v>1</v>
      </c>
      <c r="AP163" s="64" t="str">
        <f t="shared" si="33"/>
        <v>VALID</v>
      </c>
      <c r="AQ163" s="227" t="s">
        <v>1542</v>
      </c>
      <c r="AR163" s="182" t="s">
        <v>3496</v>
      </c>
      <c r="AS163" s="181" t="s">
        <v>3497</v>
      </c>
      <c r="AT163" s="181" t="s">
        <v>3499</v>
      </c>
      <c r="AU163" s="5"/>
      <c r="AV163" s="5"/>
      <c r="AW163" s="181" t="s">
        <v>125</v>
      </c>
      <c r="AX163" s="284"/>
      <c r="AY163" s="181"/>
      <c r="AZ163" s="181"/>
      <c r="BA163" s="7"/>
      <c r="BB163" s="212"/>
      <c r="BC163" s="10" t="s">
        <v>3754</v>
      </c>
      <c r="BD163" s="240"/>
      <c r="BE163" s="239"/>
      <c r="BF163" s="239"/>
      <c r="BG163" s="239"/>
      <c r="BH163" s="239"/>
      <c r="BI163" s="239"/>
      <c r="BJ163" s="239"/>
      <c r="BK163" s="239"/>
      <c r="BL163" s="239"/>
      <c r="BM163" s="239"/>
      <c r="BN163" s="239"/>
      <c r="BO163" s="239"/>
      <c r="BP163" s="239"/>
      <c r="BQ163" s="239"/>
      <c r="BR163" s="239"/>
      <c r="BS163" s="239"/>
      <c r="BT163" s="239"/>
      <c r="BU163" s="239"/>
      <c r="BV163" s="239"/>
      <c r="BW163" s="239"/>
      <c r="BX163" s="239"/>
      <c r="BY163" s="239"/>
      <c r="BZ163" s="239"/>
      <c r="CA163" s="239"/>
      <c r="CB163" s="239"/>
      <c r="CC163" s="239"/>
      <c r="CD163" s="239"/>
      <c r="CE163" s="239"/>
    </row>
    <row r="164" spans="1:83" ht="12.95" customHeight="1">
      <c r="A164" s="21" t="s">
        <v>3489</v>
      </c>
      <c r="B164" s="21" t="s">
        <v>2339</v>
      </c>
      <c r="C164" s="51" t="s">
        <v>993</v>
      </c>
      <c r="D164" s="52" t="s">
        <v>2009</v>
      </c>
      <c r="E164" s="52" t="s">
        <v>2010</v>
      </c>
      <c r="F164" s="53" t="s">
        <v>1261</v>
      </c>
      <c r="G164" s="179" t="s">
        <v>2011</v>
      </c>
      <c r="H164" s="180" t="s">
        <v>2012</v>
      </c>
      <c r="I164" s="55"/>
      <c r="J164" s="55" t="s">
        <v>1429</v>
      </c>
      <c r="K164" s="56" t="s">
        <v>1429</v>
      </c>
      <c r="L164" s="54" t="s">
        <v>1580</v>
      </c>
      <c r="M164" s="55" t="s">
        <v>1580</v>
      </c>
      <c r="N164" s="55" t="s">
        <v>1580</v>
      </c>
      <c r="O164" s="55" t="s">
        <v>1429</v>
      </c>
      <c r="P164" s="56" t="s">
        <v>1429</v>
      </c>
      <c r="Q164" s="6" t="s">
        <v>1368</v>
      </c>
      <c r="R164" s="52" t="s">
        <v>1369</v>
      </c>
      <c r="S164" s="52" t="s">
        <v>99</v>
      </c>
      <c r="T164" s="52" t="s">
        <v>100</v>
      </c>
      <c r="U164" s="58" t="s">
        <v>99</v>
      </c>
      <c r="V164" s="146" t="s">
        <v>2013</v>
      </c>
      <c r="W164" s="51" t="s">
        <v>1737</v>
      </c>
      <c r="X164" s="130" t="s">
        <v>1429</v>
      </c>
      <c r="Y164" s="130" t="s">
        <v>1429</v>
      </c>
      <c r="Z164" s="51" t="s">
        <v>1631</v>
      </c>
      <c r="AA164" s="51" t="s">
        <v>1632</v>
      </c>
      <c r="AB164" s="51" t="s">
        <v>1435</v>
      </c>
      <c r="AC164" s="51" t="s">
        <v>1633</v>
      </c>
      <c r="AD164" s="59" t="str">
        <f t="shared" si="30"/>
        <v>I2C7</v>
      </c>
      <c r="AE164" s="66"/>
      <c r="AF164" s="61" t="str">
        <f t="shared" si="31"/>
        <v>NORMAL</v>
      </c>
      <c r="AG164" s="61" t="str">
        <f t="shared" si="26"/>
        <v>NORMAL</v>
      </c>
      <c r="AH164" s="61" t="str">
        <f t="shared" si="32"/>
        <v>ENABLE</v>
      </c>
      <c r="AI164" s="67" t="str">
        <f t="shared" si="28"/>
        <v>N/A</v>
      </c>
      <c r="AJ164" s="176" t="b">
        <v>1</v>
      </c>
      <c r="AK164" s="176" t="b">
        <v>1</v>
      </c>
      <c r="AL164" s="176" t="b">
        <v>1</v>
      </c>
      <c r="AM164" s="176" t="b">
        <v>1</v>
      </c>
      <c r="AN164" s="176" t="b">
        <v>1</v>
      </c>
      <c r="AO164" s="176" t="b">
        <v>1</v>
      </c>
      <c r="AP164" s="64" t="str">
        <f t="shared" si="33"/>
        <v>VALID</v>
      </c>
      <c r="AQ164" s="227" t="s">
        <v>2012</v>
      </c>
      <c r="AR164" s="182" t="s">
        <v>3501</v>
      </c>
      <c r="AS164" s="181"/>
      <c r="AT164" s="5"/>
      <c r="AU164" s="5"/>
      <c r="AV164" s="181" t="s">
        <v>125</v>
      </c>
      <c r="AW164" s="181" t="s">
        <v>125</v>
      </c>
      <c r="AX164" s="284"/>
      <c r="AY164" s="181" t="s">
        <v>67</v>
      </c>
      <c r="AZ164" s="181"/>
      <c r="BA164" s="7"/>
      <c r="BB164" s="212"/>
      <c r="BC164" s="10" t="s">
        <v>3772</v>
      </c>
      <c r="BD164" s="238"/>
      <c r="BE164" s="239"/>
      <c r="BF164" s="239"/>
      <c r="BG164" s="239"/>
      <c r="BH164" s="239"/>
      <c r="BI164" s="239"/>
      <c r="BJ164" s="239"/>
      <c r="BK164" s="239"/>
      <c r="BL164" s="239"/>
      <c r="BM164" s="239"/>
      <c r="BN164" s="239"/>
      <c r="BO164" s="239"/>
      <c r="BP164" s="239"/>
      <c r="BQ164" s="239"/>
      <c r="BR164" s="239"/>
      <c r="BS164" s="239"/>
      <c r="BT164" s="239"/>
      <c r="BU164" s="239"/>
      <c r="BV164" s="239"/>
      <c r="BW164" s="239"/>
      <c r="BX164" s="239"/>
      <c r="BY164" s="239"/>
      <c r="BZ164" s="239"/>
      <c r="CA164" s="239"/>
      <c r="CB164" s="239"/>
      <c r="CC164" s="239"/>
      <c r="CD164" s="239"/>
      <c r="CE164" s="239"/>
    </row>
    <row r="165" spans="1:83" ht="12.95" customHeight="1">
      <c r="A165" s="21" t="s">
        <v>3490</v>
      </c>
      <c r="B165" s="21" t="s">
        <v>3642</v>
      </c>
      <c r="C165" s="51" t="s">
        <v>994</v>
      </c>
      <c r="D165" s="52" t="s">
        <v>2014</v>
      </c>
      <c r="E165" s="52" t="s">
        <v>2015</v>
      </c>
      <c r="F165" s="53" t="s">
        <v>1262</v>
      </c>
      <c r="G165" s="179" t="s">
        <v>2016</v>
      </c>
      <c r="H165" s="180" t="s">
        <v>2017</v>
      </c>
      <c r="I165" s="55"/>
      <c r="J165" s="55" t="s">
        <v>1429</v>
      </c>
      <c r="K165" s="56" t="s">
        <v>1429</v>
      </c>
      <c r="L165" s="54" t="s">
        <v>1580</v>
      </c>
      <c r="M165" s="55" t="s">
        <v>1580</v>
      </c>
      <c r="N165" s="55" t="s">
        <v>1580</v>
      </c>
      <c r="O165" s="55" t="s">
        <v>1429</v>
      </c>
      <c r="P165" s="56" t="s">
        <v>1429</v>
      </c>
      <c r="Q165" s="6" t="s">
        <v>1368</v>
      </c>
      <c r="R165" s="52" t="s">
        <v>1369</v>
      </c>
      <c r="S165" s="52" t="s">
        <v>99</v>
      </c>
      <c r="T165" s="52" t="s">
        <v>100</v>
      </c>
      <c r="U165" s="58" t="s">
        <v>99</v>
      </c>
      <c r="V165" s="146" t="s">
        <v>2018</v>
      </c>
      <c r="W165" s="51" t="s">
        <v>1737</v>
      </c>
      <c r="X165" s="130" t="s">
        <v>2019</v>
      </c>
      <c r="Y165" s="130" t="s">
        <v>1429</v>
      </c>
      <c r="Z165" s="51" t="s">
        <v>1631</v>
      </c>
      <c r="AA165" s="51" t="s">
        <v>1632</v>
      </c>
      <c r="AB165" s="51" t="s">
        <v>1435</v>
      </c>
      <c r="AC165" s="51" t="s">
        <v>1633</v>
      </c>
      <c r="AD165" s="59" t="str">
        <f t="shared" si="30"/>
        <v>I2C7</v>
      </c>
      <c r="AE165" s="66"/>
      <c r="AF165" s="61" t="str">
        <f t="shared" si="31"/>
        <v>NORMAL</v>
      </c>
      <c r="AG165" s="61" t="str">
        <f t="shared" si="26"/>
        <v>NORMAL</v>
      </c>
      <c r="AH165" s="61" t="str">
        <f t="shared" si="32"/>
        <v>ENABLE</v>
      </c>
      <c r="AI165" s="67" t="str">
        <f t="shared" si="28"/>
        <v>N/A</v>
      </c>
      <c r="AJ165" s="176" t="b">
        <v>1</v>
      </c>
      <c r="AK165" s="176" t="b">
        <v>1</v>
      </c>
      <c r="AL165" s="176" t="b">
        <v>1</v>
      </c>
      <c r="AM165" s="176" t="b">
        <v>1</v>
      </c>
      <c r="AN165" s="176" t="b">
        <v>1</v>
      </c>
      <c r="AO165" s="176" t="b">
        <v>1</v>
      </c>
      <c r="AP165" s="64" t="str">
        <f t="shared" si="33"/>
        <v>VALID</v>
      </c>
      <c r="AQ165" s="227" t="s">
        <v>2017</v>
      </c>
      <c r="AR165" s="182" t="s">
        <v>3501</v>
      </c>
      <c r="AS165" s="181"/>
      <c r="AT165" s="181" t="s">
        <v>104</v>
      </c>
      <c r="AU165" s="5"/>
      <c r="AV165" s="181" t="s">
        <v>125</v>
      </c>
      <c r="AW165" s="181" t="s">
        <v>125</v>
      </c>
      <c r="AX165" s="284"/>
      <c r="AY165" s="181" t="s">
        <v>67</v>
      </c>
      <c r="AZ165" s="181"/>
      <c r="BA165" s="7"/>
      <c r="BB165" s="212"/>
      <c r="BC165" s="10" t="s">
        <v>3773</v>
      </c>
      <c r="BD165" s="238"/>
      <c r="BE165" s="239"/>
      <c r="BF165" s="239"/>
      <c r="BG165" s="239"/>
      <c r="BH165" s="239"/>
      <c r="BI165" s="239"/>
      <c r="BJ165" s="239"/>
      <c r="BK165" s="239"/>
      <c r="BL165" s="239"/>
      <c r="BM165" s="239"/>
      <c r="BN165" s="239"/>
      <c r="BO165" s="239"/>
      <c r="BP165" s="239"/>
      <c r="BQ165" s="239"/>
      <c r="BR165" s="239"/>
      <c r="BS165" s="239"/>
      <c r="BT165" s="239"/>
      <c r="BU165" s="239"/>
      <c r="BV165" s="239"/>
      <c r="BW165" s="239"/>
      <c r="BX165" s="239"/>
      <c r="BY165" s="239"/>
      <c r="BZ165" s="239"/>
      <c r="CA165" s="239"/>
      <c r="CB165" s="239"/>
      <c r="CC165" s="239"/>
      <c r="CD165" s="239"/>
      <c r="CE165" s="239"/>
    </row>
    <row r="166" spans="1:83" ht="12.95" customHeight="1">
      <c r="A166" s="21" t="s">
        <v>1414</v>
      </c>
      <c r="B166" s="21" t="s">
        <v>2342</v>
      </c>
      <c r="C166" s="51" t="s">
        <v>995</v>
      </c>
      <c r="D166" s="52" t="s">
        <v>2020</v>
      </c>
      <c r="E166" s="52" t="s">
        <v>2021</v>
      </c>
      <c r="F166" s="53" t="s">
        <v>1263</v>
      </c>
      <c r="G166" s="179" t="s">
        <v>2022</v>
      </c>
      <c r="H166" s="180" t="s">
        <v>2023</v>
      </c>
      <c r="I166" s="55"/>
      <c r="J166" s="55" t="s">
        <v>1429</v>
      </c>
      <c r="K166" s="56" t="s">
        <v>1429</v>
      </c>
      <c r="L166" s="54" t="s">
        <v>1580</v>
      </c>
      <c r="M166" s="55" t="s">
        <v>1580</v>
      </c>
      <c r="N166" s="55" t="s">
        <v>1590</v>
      </c>
      <c r="O166" s="55" t="s">
        <v>1429</v>
      </c>
      <c r="P166" s="56" t="s">
        <v>1429</v>
      </c>
      <c r="Q166" s="6" t="s">
        <v>1370</v>
      </c>
      <c r="R166" s="52" t="s">
        <v>1369</v>
      </c>
      <c r="S166" s="52" t="s">
        <v>99</v>
      </c>
      <c r="T166" s="52" t="s">
        <v>100</v>
      </c>
      <c r="U166" s="58" t="s">
        <v>99</v>
      </c>
      <c r="V166" s="146" t="s">
        <v>2024</v>
      </c>
      <c r="W166" s="51" t="s">
        <v>1737</v>
      </c>
      <c r="X166" s="130" t="s">
        <v>1429</v>
      </c>
      <c r="Y166" s="130" t="s">
        <v>1429</v>
      </c>
      <c r="Z166" s="51" t="s">
        <v>1631</v>
      </c>
      <c r="AA166" s="51" t="s">
        <v>1632</v>
      </c>
      <c r="AB166" s="51" t="s">
        <v>1435</v>
      </c>
      <c r="AC166" s="51" t="s">
        <v>1633</v>
      </c>
      <c r="AD166" s="59" t="str">
        <f t="shared" si="30"/>
        <v>I2C9</v>
      </c>
      <c r="AE166" s="66"/>
      <c r="AF166" s="61" t="str">
        <f t="shared" si="31"/>
        <v>NORMAL</v>
      </c>
      <c r="AG166" s="61" t="str">
        <f t="shared" si="26"/>
        <v>NORMAL</v>
      </c>
      <c r="AH166" s="61" t="str">
        <f t="shared" si="32"/>
        <v>ENABLE</v>
      </c>
      <c r="AI166" s="67" t="str">
        <f t="shared" si="28"/>
        <v>N/A</v>
      </c>
      <c r="AJ166" s="176" t="b">
        <v>1</v>
      </c>
      <c r="AK166" s="176" t="b">
        <v>1</v>
      </c>
      <c r="AL166" s="176" t="b">
        <v>1</v>
      </c>
      <c r="AM166" s="176" t="b">
        <v>1</v>
      </c>
      <c r="AN166" s="176" t="b">
        <v>1</v>
      </c>
      <c r="AO166" s="176" t="b">
        <v>1</v>
      </c>
      <c r="AP166" s="64" t="str">
        <f t="shared" si="33"/>
        <v>VALID</v>
      </c>
      <c r="AQ166" s="227" t="s">
        <v>2023</v>
      </c>
      <c r="AR166" s="182" t="s">
        <v>3501</v>
      </c>
      <c r="AS166" s="181"/>
      <c r="AT166" s="5"/>
      <c r="AU166" s="5"/>
      <c r="AV166" s="181" t="s">
        <v>125</v>
      </c>
      <c r="AW166" s="181" t="s">
        <v>125</v>
      </c>
      <c r="AX166" s="284"/>
      <c r="AY166" s="181" t="s">
        <v>67</v>
      </c>
      <c r="AZ166" s="181"/>
      <c r="BA166" s="7"/>
      <c r="BB166" s="212"/>
      <c r="BC166" s="10" t="s">
        <v>3774</v>
      </c>
      <c r="BD166" s="238"/>
      <c r="BE166" s="239"/>
      <c r="BF166" s="239"/>
      <c r="BG166" s="239"/>
      <c r="BH166" s="239"/>
      <c r="BI166" s="239"/>
      <c r="BJ166" s="239"/>
      <c r="BK166" s="239"/>
      <c r="BL166" s="239"/>
      <c r="BM166" s="239"/>
      <c r="BN166" s="239"/>
      <c r="BO166" s="239"/>
      <c r="BP166" s="239"/>
      <c r="BQ166" s="239"/>
      <c r="BR166" s="239"/>
      <c r="BS166" s="239"/>
      <c r="BT166" s="239"/>
      <c r="BU166" s="239"/>
      <c r="BV166" s="239"/>
      <c r="BW166" s="239"/>
      <c r="BX166" s="239"/>
      <c r="BY166" s="239"/>
      <c r="BZ166" s="239"/>
      <c r="CA166" s="239"/>
      <c r="CB166" s="239"/>
      <c r="CC166" s="239"/>
      <c r="CD166" s="239"/>
      <c r="CE166" s="239"/>
    </row>
    <row r="167" spans="1:83" ht="12.95" customHeight="1">
      <c r="A167" s="21" t="s">
        <v>1415</v>
      </c>
      <c r="B167" s="21" t="s">
        <v>3643</v>
      </c>
      <c r="C167" s="51" t="s">
        <v>996</v>
      </c>
      <c r="D167" s="52" t="s">
        <v>2025</v>
      </c>
      <c r="E167" s="52" t="s">
        <v>2026</v>
      </c>
      <c r="F167" s="53" t="s">
        <v>1264</v>
      </c>
      <c r="G167" s="179" t="s">
        <v>2027</v>
      </c>
      <c r="H167" s="180" t="s">
        <v>2028</v>
      </c>
      <c r="I167" s="55"/>
      <c r="J167" s="55" t="s">
        <v>1429</v>
      </c>
      <c r="K167" s="56" t="s">
        <v>1429</v>
      </c>
      <c r="L167" s="54" t="s">
        <v>1580</v>
      </c>
      <c r="M167" s="55" t="s">
        <v>1580</v>
      </c>
      <c r="N167" s="55" t="s">
        <v>1580</v>
      </c>
      <c r="O167" s="55" t="s">
        <v>1429</v>
      </c>
      <c r="P167" s="56" t="s">
        <v>1429</v>
      </c>
      <c r="Q167" s="6" t="s">
        <v>1370</v>
      </c>
      <c r="R167" s="52" t="s">
        <v>1369</v>
      </c>
      <c r="S167" s="52" t="s">
        <v>99</v>
      </c>
      <c r="T167" s="52" t="s">
        <v>100</v>
      </c>
      <c r="U167" s="58" t="s">
        <v>99</v>
      </c>
      <c r="V167" s="146" t="s">
        <v>2029</v>
      </c>
      <c r="W167" s="51" t="s">
        <v>1737</v>
      </c>
      <c r="X167" s="130" t="s">
        <v>2030</v>
      </c>
      <c r="Y167" s="130" t="s">
        <v>1429</v>
      </c>
      <c r="Z167" s="51" t="s">
        <v>1631</v>
      </c>
      <c r="AA167" s="51" t="s">
        <v>1632</v>
      </c>
      <c r="AB167" s="51" t="s">
        <v>1435</v>
      </c>
      <c r="AC167" s="51" t="s">
        <v>1633</v>
      </c>
      <c r="AD167" s="59" t="str">
        <f t="shared" si="30"/>
        <v>I2C9</v>
      </c>
      <c r="AE167" s="66"/>
      <c r="AF167" s="61" t="str">
        <f t="shared" si="31"/>
        <v>NORMAL</v>
      </c>
      <c r="AG167" s="61" t="str">
        <f t="shared" si="26"/>
        <v>NORMAL</v>
      </c>
      <c r="AH167" s="61" t="str">
        <f t="shared" si="32"/>
        <v>ENABLE</v>
      </c>
      <c r="AI167" s="67" t="str">
        <f t="shared" si="28"/>
        <v>N/A</v>
      </c>
      <c r="AJ167" s="176" t="b">
        <v>1</v>
      </c>
      <c r="AK167" s="176" t="b">
        <v>1</v>
      </c>
      <c r="AL167" s="176" t="b">
        <v>1</v>
      </c>
      <c r="AM167" s="176" t="b">
        <v>1</v>
      </c>
      <c r="AN167" s="176" t="b">
        <v>1</v>
      </c>
      <c r="AO167" s="176" t="b">
        <v>1</v>
      </c>
      <c r="AP167" s="64" t="str">
        <f t="shared" si="33"/>
        <v>VALID</v>
      </c>
      <c r="AQ167" s="227" t="s">
        <v>2028</v>
      </c>
      <c r="AR167" s="182" t="s">
        <v>3501</v>
      </c>
      <c r="AS167" s="181"/>
      <c r="AT167" s="181" t="s">
        <v>104</v>
      </c>
      <c r="AU167" s="5"/>
      <c r="AV167" s="181" t="s">
        <v>125</v>
      </c>
      <c r="AW167" s="181" t="s">
        <v>125</v>
      </c>
      <c r="AX167" s="284"/>
      <c r="AY167" s="181" t="s">
        <v>67</v>
      </c>
      <c r="AZ167" s="181"/>
      <c r="BA167" s="7"/>
      <c r="BB167" s="212"/>
      <c r="BC167" s="10" t="s">
        <v>3775</v>
      </c>
      <c r="BD167" s="238"/>
      <c r="BE167" s="239"/>
      <c r="BF167" s="239"/>
      <c r="BG167" s="239"/>
      <c r="BH167" s="239"/>
      <c r="BI167" s="239"/>
      <c r="BJ167" s="239"/>
      <c r="BK167" s="239"/>
      <c r="BL167" s="239"/>
      <c r="BM167" s="239"/>
      <c r="BN167" s="239"/>
      <c r="BO167" s="239"/>
      <c r="BP167" s="239"/>
      <c r="BQ167" s="239"/>
      <c r="BR167" s="239"/>
      <c r="BS167" s="239"/>
      <c r="BT167" s="239"/>
      <c r="BU167" s="239"/>
      <c r="BV167" s="239"/>
      <c r="BW167" s="239"/>
      <c r="BX167" s="239"/>
      <c r="BY167" s="239"/>
      <c r="BZ167" s="239"/>
      <c r="CA167" s="239"/>
      <c r="CB167" s="239"/>
      <c r="CC167" s="239"/>
      <c r="CD167" s="239"/>
      <c r="CE167" s="239"/>
    </row>
    <row r="168" spans="1:83" ht="12.95" customHeight="1">
      <c r="A168" s="21" t="s">
        <v>3487</v>
      </c>
      <c r="B168" s="21" t="s">
        <v>2376</v>
      </c>
      <c r="C168" s="51" t="s">
        <v>58</v>
      </c>
      <c r="D168" s="52" t="s">
        <v>1765</v>
      </c>
      <c r="E168" s="52" t="s">
        <v>2031</v>
      </c>
      <c r="F168" s="53" t="s">
        <v>168</v>
      </c>
      <c r="G168" s="179" t="s">
        <v>1543</v>
      </c>
      <c r="H168" s="180" t="s">
        <v>58</v>
      </c>
      <c r="I168" s="55" t="s">
        <v>1429</v>
      </c>
      <c r="J168" s="55" t="s">
        <v>1429</v>
      </c>
      <c r="K168" s="56" t="s">
        <v>1429</v>
      </c>
      <c r="L168" s="54" t="s">
        <v>1580</v>
      </c>
      <c r="M168" s="55" t="s">
        <v>1580</v>
      </c>
      <c r="N168" s="55" t="s">
        <v>1429</v>
      </c>
      <c r="O168" s="55" t="s">
        <v>1429</v>
      </c>
      <c r="P168" s="56" t="s">
        <v>1429</v>
      </c>
      <c r="Q168" s="52" t="s">
        <v>118</v>
      </c>
      <c r="R168" s="52" t="s">
        <v>113</v>
      </c>
      <c r="S168" s="52" t="s">
        <v>99</v>
      </c>
      <c r="T168" s="52" t="s">
        <v>100</v>
      </c>
      <c r="U168" s="58" t="s">
        <v>113</v>
      </c>
      <c r="V168" s="146" t="s">
        <v>2032</v>
      </c>
      <c r="W168" s="51" t="s">
        <v>1737</v>
      </c>
      <c r="X168" s="130" t="s">
        <v>2033</v>
      </c>
      <c r="Y168" s="130" t="s">
        <v>1429</v>
      </c>
      <c r="Z168" s="51" t="s">
        <v>1631</v>
      </c>
      <c r="AA168" s="51" t="s">
        <v>1632</v>
      </c>
      <c r="AB168" s="51" t="s">
        <v>1435</v>
      </c>
      <c r="AC168" s="51">
        <v>0</v>
      </c>
      <c r="AD168" s="59" t="str">
        <f t="shared" si="30"/>
        <v>GPIO_PL4</v>
      </c>
      <c r="AE168" s="66"/>
      <c r="AF168" s="61" t="str">
        <f t="shared" si="31"/>
        <v>NORMAL</v>
      </c>
      <c r="AG168" s="61" t="str">
        <f t="shared" si="26"/>
        <v>NORMAL</v>
      </c>
      <c r="AH168" s="61" t="str">
        <f t="shared" si="32"/>
        <v>DISABLE</v>
      </c>
      <c r="AI168" s="67" t="str">
        <f t="shared" si="28"/>
        <v>0</v>
      </c>
      <c r="AJ168" s="176" t="b">
        <v>1</v>
      </c>
      <c r="AK168" s="176" t="b">
        <v>1</v>
      </c>
      <c r="AL168" s="176" t="b">
        <v>1</v>
      </c>
      <c r="AM168" s="176" t="b">
        <v>1</v>
      </c>
      <c r="AN168" s="176" t="b">
        <v>1</v>
      </c>
      <c r="AO168" s="176" t="b">
        <v>1</v>
      </c>
      <c r="AP168" s="64" t="str">
        <f t="shared" si="33"/>
        <v>VALID</v>
      </c>
      <c r="AQ168" s="226" t="s">
        <v>1543</v>
      </c>
      <c r="AR168" s="182" t="s">
        <v>3495</v>
      </c>
      <c r="AS168" s="181" t="s">
        <v>3500</v>
      </c>
      <c r="AT168" s="181" t="s">
        <v>104</v>
      </c>
      <c r="AU168" s="5"/>
      <c r="AV168" s="181" t="s">
        <v>3502</v>
      </c>
      <c r="AW168" s="181" t="s">
        <v>125</v>
      </c>
      <c r="AX168" s="284"/>
      <c r="AY168" s="181" t="s">
        <v>3504</v>
      </c>
      <c r="AZ168" s="181"/>
      <c r="BA168" s="7"/>
      <c r="BB168" s="212"/>
      <c r="BC168" s="10" t="s">
        <v>3755</v>
      </c>
      <c r="BD168" s="240"/>
      <c r="BE168" s="239"/>
      <c r="BF168" s="239"/>
      <c r="BG168" s="239"/>
      <c r="BH168" s="239"/>
      <c r="BI168" s="239"/>
      <c r="BJ168" s="239"/>
      <c r="BK168" s="239"/>
      <c r="BL168" s="239"/>
      <c r="BM168" s="239"/>
      <c r="BN168" s="239"/>
      <c r="BO168" s="239"/>
      <c r="BP168" s="239"/>
      <c r="BQ168" s="239"/>
      <c r="BR168" s="239"/>
      <c r="BS168" s="239"/>
      <c r="BT168" s="239"/>
      <c r="BU168" s="239"/>
      <c r="BV168" s="239"/>
      <c r="BW168" s="239"/>
      <c r="BX168" s="239"/>
      <c r="BY168" s="239"/>
      <c r="BZ168" s="239"/>
      <c r="CA168" s="239"/>
      <c r="CB168" s="239"/>
      <c r="CC168" s="239"/>
      <c r="CD168" s="239"/>
      <c r="CE168" s="239"/>
    </row>
    <row r="169" spans="1:83" ht="12.95" customHeight="1">
      <c r="A169" s="21" t="s">
        <v>3488</v>
      </c>
      <c r="B169" s="21" t="s">
        <v>2374</v>
      </c>
      <c r="C169" s="51" t="s">
        <v>59</v>
      </c>
      <c r="D169" s="52" t="s">
        <v>1761</v>
      </c>
      <c r="E169" s="52" t="s">
        <v>2034</v>
      </c>
      <c r="F169" s="53" t="s">
        <v>169</v>
      </c>
      <c r="G169" s="179" t="s">
        <v>1544</v>
      </c>
      <c r="H169" s="180" t="s">
        <v>59</v>
      </c>
      <c r="I169" s="55" t="s">
        <v>1429</v>
      </c>
      <c r="J169" s="55" t="s">
        <v>1429</v>
      </c>
      <c r="K169" s="56" t="s">
        <v>1429</v>
      </c>
      <c r="L169" s="54" t="s">
        <v>1580</v>
      </c>
      <c r="M169" s="55" t="s">
        <v>1580</v>
      </c>
      <c r="N169" s="55" t="s">
        <v>1429</v>
      </c>
      <c r="O169" s="55" t="s">
        <v>1429</v>
      </c>
      <c r="P169" s="56" t="s">
        <v>1429</v>
      </c>
      <c r="Q169" s="52" t="s">
        <v>118</v>
      </c>
      <c r="R169" s="52" t="s">
        <v>113</v>
      </c>
      <c r="S169" s="52" t="s">
        <v>99</v>
      </c>
      <c r="T169" s="52" t="s">
        <v>100</v>
      </c>
      <c r="U169" s="58" t="s">
        <v>113</v>
      </c>
      <c r="V169" s="146" t="s">
        <v>2035</v>
      </c>
      <c r="W169" s="51" t="s">
        <v>1737</v>
      </c>
      <c r="X169" s="130" t="s">
        <v>2036</v>
      </c>
      <c r="Y169" s="130" t="s">
        <v>1429</v>
      </c>
      <c r="Z169" s="51" t="s">
        <v>1631</v>
      </c>
      <c r="AA169" s="51" t="s">
        <v>1632</v>
      </c>
      <c r="AB169" s="51" t="s">
        <v>1435</v>
      </c>
      <c r="AC169" s="51">
        <v>0</v>
      </c>
      <c r="AD169" s="59" t="str">
        <f t="shared" si="30"/>
        <v>GPIO_PL5</v>
      </c>
      <c r="AE169" s="66"/>
      <c r="AF169" s="61" t="str">
        <f t="shared" si="31"/>
        <v>NORMAL</v>
      </c>
      <c r="AG169" s="61" t="str">
        <f t="shared" si="26"/>
        <v>NORMAL</v>
      </c>
      <c r="AH169" s="61" t="str">
        <f t="shared" si="32"/>
        <v>DISABLE</v>
      </c>
      <c r="AI169" s="67" t="str">
        <f t="shared" si="28"/>
        <v>0</v>
      </c>
      <c r="AJ169" s="176" t="b">
        <v>1</v>
      </c>
      <c r="AK169" s="176" t="b">
        <v>1</v>
      </c>
      <c r="AL169" s="176" t="b">
        <v>1</v>
      </c>
      <c r="AM169" s="176" t="b">
        <v>1</v>
      </c>
      <c r="AN169" s="176" t="b">
        <v>1</v>
      </c>
      <c r="AO169" s="176" t="b">
        <v>1</v>
      </c>
      <c r="AP169" s="64" t="str">
        <f t="shared" si="33"/>
        <v>VALID</v>
      </c>
      <c r="AQ169" s="226" t="s">
        <v>1544</v>
      </c>
      <c r="AR169" s="182" t="s">
        <v>3495</v>
      </c>
      <c r="AS169" s="181" t="s">
        <v>3500</v>
      </c>
      <c r="AT169" s="181" t="s">
        <v>104</v>
      </c>
      <c r="AU169" s="5"/>
      <c r="AV169" s="181" t="s">
        <v>3502</v>
      </c>
      <c r="AW169" s="181" t="s">
        <v>125</v>
      </c>
      <c r="AX169" s="284"/>
      <c r="AY169" s="181" t="s">
        <v>3504</v>
      </c>
      <c r="AZ169" s="181"/>
      <c r="BA169" s="7"/>
      <c r="BB169" s="212"/>
      <c r="BC169" s="10" t="s">
        <v>3756</v>
      </c>
      <c r="BD169" s="240"/>
      <c r="BE169" s="239"/>
      <c r="BF169" s="239"/>
      <c r="BG169" s="239"/>
      <c r="BH169" s="239"/>
      <c r="BI169" s="239"/>
      <c r="BJ169" s="239"/>
      <c r="BK169" s="239"/>
      <c r="BL169" s="239"/>
      <c r="BM169" s="239"/>
      <c r="BN169" s="239"/>
      <c r="BO169" s="239"/>
      <c r="BP169" s="239"/>
      <c r="BQ169" s="239"/>
      <c r="BR169" s="239"/>
      <c r="BS169" s="239"/>
      <c r="BT169" s="239"/>
      <c r="BU169" s="239"/>
      <c r="BV169" s="239"/>
      <c r="BW169" s="239"/>
      <c r="BX169" s="239"/>
      <c r="BY169" s="239"/>
      <c r="BZ169" s="239"/>
      <c r="CA169" s="239"/>
      <c r="CB169" s="239"/>
      <c r="CC169" s="239"/>
      <c r="CD169" s="239"/>
      <c r="CE169" s="239"/>
    </row>
    <row r="170" spans="1:83" ht="12.95" customHeight="1">
      <c r="A170" s="1"/>
      <c r="B170" s="1"/>
      <c r="C170" s="51" t="s">
        <v>997</v>
      </c>
      <c r="D170" s="52" t="s">
        <v>1745</v>
      </c>
      <c r="E170" s="52" t="s">
        <v>2037</v>
      </c>
      <c r="F170" s="53" t="s">
        <v>1265</v>
      </c>
      <c r="G170" s="179" t="s">
        <v>1546</v>
      </c>
      <c r="H170" s="180" t="s">
        <v>1429</v>
      </c>
      <c r="I170" s="55" t="s">
        <v>1429</v>
      </c>
      <c r="J170" s="55" t="s">
        <v>1429</v>
      </c>
      <c r="K170" s="56" t="s">
        <v>1429</v>
      </c>
      <c r="L170" s="54" t="s">
        <v>1580</v>
      </c>
      <c r="M170" s="55" t="s">
        <v>1429</v>
      </c>
      <c r="N170" s="55" t="s">
        <v>1429</v>
      </c>
      <c r="O170" s="55" t="s">
        <v>1429</v>
      </c>
      <c r="P170" s="56" t="s">
        <v>1429</v>
      </c>
      <c r="Q170" s="52" t="s">
        <v>755</v>
      </c>
      <c r="R170" s="52" t="s">
        <v>113</v>
      </c>
      <c r="S170" s="52" t="s">
        <v>99</v>
      </c>
      <c r="T170" s="52" t="s">
        <v>100</v>
      </c>
      <c r="U170" s="58" t="s">
        <v>755</v>
      </c>
      <c r="V170" s="146" t="s">
        <v>2038</v>
      </c>
      <c r="W170" s="51" t="s">
        <v>1737</v>
      </c>
      <c r="X170" s="130" t="s">
        <v>1429</v>
      </c>
      <c r="Y170" s="130" t="s">
        <v>1429</v>
      </c>
      <c r="Z170" s="51" t="s">
        <v>1585</v>
      </c>
      <c r="AA170" s="51" t="s">
        <v>1586</v>
      </c>
      <c r="AB170" s="51" t="s">
        <v>1435</v>
      </c>
      <c r="AC170" s="51">
        <v>0</v>
      </c>
      <c r="AD170" s="59" t="str">
        <f t="shared" si="30"/>
        <v>GPIO_PH4</v>
      </c>
      <c r="AE170" s="66"/>
      <c r="AF170" s="61" t="str">
        <f t="shared" si="31"/>
        <v>NORMAL</v>
      </c>
      <c r="AG170" s="61" t="str">
        <f t="shared" si="26"/>
        <v>NORMAL</v>
      </c>
      <c r="AH170" s="61" t="str">
        <f t="shared" si="32"/>
        <v>DISABLE</v>
      </c>
      <c r="AI170" s="67" t="str">
        <f t="shared" si="28"/>
        <v>0</v>
      </c>
      <c r="AJ170" s="176" t="b">
        <v>1</v>
      </c>
      <c r="AK170" s="176" t="b">
        <v>1</v>
      </c>
      <c r="AL170" s="176" t="b">
        <v>1</v>
      </c>
      <c r="AM170" s="176" t="b">
        <v>1</v>
      </c>
      <c r="AN170" s="176" t="b">
        <v>1</v>
      </c>
      <c r="AO170" s="176" t="b">
        <v>1</v>
      </c>
      <c r="AP170" s="64" t="str">
        <f t="shared" si="33"/>
        <v>VALID</v>
      </c>
      <c r="AQ170" s="348" t="s">
        <v>1546</v>
      </c>
      <c r="AR170" s="336" t="s">
        <v>3495</v>
      </c>
      <c r="AS170" s="337" t="s">
        <v>3500</v>
      </c>
      <c r="AT170" s="342"/>
      <c r="AU170" s="342"/>
      <c r="AV170" s="342"/>
      <c r="AW170" s="337" t="s">
        <v>125</v>
      </c>
      <c r="AX170" s="342"/>
      <c r="AY170" s="337"/>
      <c r="AZ170" s="337"/>
      <c r="BA170" s="343"/>
      <c r="BB170" s="338"/>
      <c r="BC170" s="344" t="s">
        <v>3517</v>
      </c>
      <c r="BD170" s="240"/>
      <c r="BE170" s="239"/>
      <c r="BF170" s="239"/>
      <c r="BG170" s="239"/>
      <c r="BH170" s="239"/>
      <c r="BI170" s="239"/>
      <c r="BJ170" s="239"/>
      <c r="BK170" s="239"/>
      <c r="BL170" s="239"/>
      <c r="BM170" s="239"/>
      <c r="BN170" s="239"/>
      <c r="BO170" s="239"/>
      <c r="BP170" s="239"/>
      <c r="BQ170" s="239"/>
      <c r="BR170" s="239"/>
      <c r="BS170" s="239"/>
      <c r="BT170" s="239"/>
      <c r="BU170" s="239"/>
      <c r="BV170" s="239"/>
      <c r="BW170" s="239"/>
      <c r="BX170" s="239"/>
      <c r="BY170" s="239"/>
      <c r="BZ170" s="239"/>
      <c r="CA170" s="239"/>
      <c r="CB170" s="239"/>
      <c r="CC170" s="239"/>
      <c r="CD170" s="239"/>
      <c r="CE170" s="239"/>
    </row>
    <row r="171" spans="1:83" ht="12.95" customHeight="1">
      <c r="A171" s="1"/>
      <c r="B171" s="1"/>
      <c r="C171" s="51" t="s">
        <v>998</v>
      </c>
      <c r="D171" s="52" t="s">
        <v>2039</v>
      </c>
      <c r="E171" s="52" t="s">
        <v>2040</v>
      </c>
      <c r="F171" s="53" t="s">
        <v>1266</v>
      </c>
      <c r="G171" s="179" t="s">
        <v>2041</v>
      </c>
      <c r="H171" s="180" t="s">
        <v>1429</v>
      </c>
      <c r="I171" s="55" t="s">
        <v>1429</v>
      </c>
      <c r="J171" s="55" t="s">
        <v>1429</v>
      </c>
      <c r="K171" s="56" t="s">
        <v>1429</v>
      </c>
      <c r="L171" s="54" t="s">
        <v>1580</v>
      </c>
      <c r="M171" s="55" t="s">
        <v>1429</v>
      </c>
      <c r="N171" s="55" t="s">
        <v>1429</v>
      </c>
      <c r="O171" s="55" t="s">
        <v>1429</v>
      </c>
      <c r="P171" s="56" t="s">
        <v>1429</v>
      </c>
      <c r="Q171" s="52" t="s">
        <v>755</v>
      </c>
      <c r="R171" s="52" t="s">
        <v>113</v>
      </c>
      <c r="S171" s="52" t="s">
        <v>99</v>
      </c>
      <c r="T171" s="52" t="s">
        <v>100</v>
      </c>
      <c r="U171" s="58" t="s">
        <v>755</v>
      </c>
      <c r="V171" s="146" t="s">
        <v>2042</v>
      </c>
      <c r="W171" s="51" t="s">
        <v>1737</v>
      </c>
      <c r="X171" s="130" t="s">
        <v>1429</v>
      </c>
      <c r="Y171" s="130" t="s">
        <v>1429</v>
      </c>
      <c r="Z171" s="51" t="s">
        <v>1585</v>
      </c>
      <c r="AA171" s="51" t="s">
        <v>1586</v>
      </c>
      <c r="AB171" s="51" t="s">
        <v>1435</v>
      </c>
      <c r="AC171" s="51">
        <v>0</v>
      </c>
      <c r="AD171" s="59" t="str">
        <f t="shared" si="30"/>
        <v>GPIO_PH5</v>
      </c>
      <c r="AE171" s="66"/>
      <c r="AF171" s="61" t="str">
        <f t="shared" si="31"/>
        <v>NORMAL</v>
      </c>
      <c r="AG171" s="61" t="str">
        <f t="shared" si="26"/>
        <v>NORMAL</v>
      </c>
      <c r="AH171" s="61" t="str">
        <f t="shared" si="32"/>
        <v>DISABLE</v>
      </c>
      <c r="AI171" s="67" t="str">
        <f t="shared" si="28"/>
        <v>0</v>
      </c>
      <c r="AJ171" s="176" t="b">
        <v>1</v>
      </c>
      <c r="AK171" s="176" t="b">
        <v>1</v>
      </c>
      <c r="AL171" s="176" t="b">
        <v>1</v>
      </c>
      <c r="AM171" s="176" t="b">
        <v>1</v>
      </c>
      <c r="AN171" s="176" t="b">
        <v>1</v>
      </c>
      <c r="AO171" s="176" t="b">
        <v>1</v>
      </c>
      <c r="AP171" s="64" t="str">
        <f t="shared" si="33"/>
        <v>VALID</v>
      </c>
      <c r="AQ171" s="347" t="s">
        <v>2041</v>
      </c>
      <c r="AR171" s="336" t="s">
        <v>3495</v>
      </c>
      <c r="AS171" s="337" t="s">
        <v>3500</v>
      </c>
      <c r="AT171" s="342"/>
      <c r="AU171" s="342"/>
      <c r="AV171" s="342"/>
      <c r="AW171" s="337" t="s">
        <v>125</v>
      </c>
      <c r="AX171" s="342"/>
      <c r="AY171" s="337"/>
      <c r="AZ171" s="337"/>
      <c r="BA171" s="343"/>
      <c r="BB171" s="338"/>
      <c r="BC171" s="344" t="s">
        <v>3757</v>
      </c>
      <c r="BD171" s="240"/>
      <c r="BE171" s="239"/>
      <c r="BF171" s="239"/>
      <c r="BG171" s="239"/>
      <c r="BH171" s="239"/>
      <c r="BI171" s="239"/>
      <c r="BJ171" s="239"/>
      <c r="BK171" s="239"/>
      <c r="BL171" s="239"/>
      <c r="BM171" s="239"/>
      <c r="BN171" s="239"/>
      <c r="BO171" s="239"/>
      <c r="BP171" s="239"/>
      <c r="BQ171" s="239"/>
      <c r="BR171" s="239"/>
      <c r="BS171" s="239"/>
      <c r="BT171" s="239"/>
      <c r="BU171" s="239"/>
      <c r="BV171" s="239"/>
      <c r="BW171" s="239"/>
      <c r="BX171" s="239"/>
      <c r="BY171" s="239"/>
      <c r="BZ171" s="239"/>
      <c r="CA171" s="239"/>
      <c r="CB171" s="239"/>
      <c r="CC171" s="239"/>
      <c r="CD171" s="239"/>
      <c r="CE171" s="239"/>
    </row>
    <row r="172" spans="1:83" ht="12.95" customHeight="1">
      <c r="A172" s="1"/>
      <c r="B172" s="1"/>
      <c r="C172" s="51" t="s">
        <v>999</v>
      </c>
      <c r="D172" s="52" t="s">
        <v>2043</v>
      </c>
      <c r="E172" s="52" t="s">
        <v>2044</v>
      </c>
      <c r="F172" s="53" t="s">
        <v>1267</v>
      </c>
      <c r="G172" s="179" t="s">
        <v>1545</v>
      </c>
      <c r="H172" s="180" t="s">
        <v>1429</v>
      </c>
      <c r="I172" s="55" t="s">
        <v>1429</v>
      </c>
      <c r="J172" s="55" t="s">
        <v>1429</v>
      </c>
      <c r="K172" s="56" t="s">
        <v>1429</v>
      </c>
      <c r="L172" s="54" t="s">
        <v>1580</v>
      </c>
      <c r="M172" s="55" t="s">
        <v>1429</v>
      </c>
      <c r="N172" s="55" t="s">
        <v>1429</v>
      </c>
      <c r="O172" s="55" t="s">
        <v>1429</v>
      </c>
      <c r="P172" s="56" t="s">
        <v>1429</v>
      </c>
      <c r="Q172" s="52" t="s">
        <v>755</v>
      </c>
      <c r="R172" s="52" t="s">
        <v>113</v>
      </c>
      <c r="S172" s="52" t="s">
        <v>99</v>
      </c>
      <c r="T172" s="52" t="s">
        <v>100</v>
      </c>
      <c r="U172" s="58" t="s">
        <v>755</v>
      </c>
      <c r="V172" s="146" t="s">
        <v>2045</v>
      </c>
      <c r="W172" s="51" t="s">
        <v>1737</v>
      </c>
      <c r="X172" s="130" t="s">
        <v>1429</v>
      </c>
      <c r="Y172" s="130" t="s">
        <v>1429</v>
      </c>
      <c r="Z172" s="51" t="s">
        <v>1585</v>
      </c>
      <c r="AA172" s="51" t="s">
        <v>1586</v>
      </c>
      <c r="AB172" s="51" t="s">
        <v>1435</v>
      </c>
      <c r="AC172" s="51">
        <v>0</v>
      </c>
      <c r="AD172" s="59" t="str">
        <f t="shared" si="30"/>
        <v>GPIO_PH6</v>
      </c>
      <c r="AE172" s="66"/>
      <c r="AF172" s="61" t="str">
        <f t="shared" si="31"/>
        <v>NORMAL</v>
      </c>
      <c r="AG172" s="61" t="str">
        <f t="shared" si="26"/>
        <v>NORMAL</v>
      </c>
      <c r="AH172" s="61" t="str">
        <f t="shared" si="32"/>
        <v>DISABLE</v>
      </c>
      <c r="AI172" s="67" t="str">
        <f t="shared" si="28"/>
        <v>0</v>
      </c>
      <c r="AJ172" s="176" t="b">
        <v>1</v>
      </c>
      <c r="AK172" s="176" t="b">
        <v>1</v>
      </c>
      <c r="AL172" s="176" t="b">
        <v>1</v>
      </c>
      <c r="AM172" s="176" t="b">
        <v>1</v>
      </c>
      <c r="AN172" s="176" t="b">
        <v>1</v>
      </c>
      <c r="AO172" s="176" t="b">
        <v>1</v>
      </c>
      <c r="AP172" s="64" t="str">
        <f t="shared" si="33"/>
        <v>VALID</v>
      </c>
      <c r="AQ172" s="347" t="s">
        <v>1545</v>
      </c>
      <c r="AR172" s="336" t="s">
        <v>3495</v>
      </c>
      <c r="AS172" s="337" t="s">
        <v>3500</v>
      </c>
      <c r="AT172" s="342"/>
      <c r="AU172" s="342"/>
      <c r="AV172" s="342"/>
      <c r="AW172" s="337" t="s">
        <v>125</v>
      </c>
      <c r="AX172" s="342"/>
      <c r="AY172" s="337"/>
      <c r="AZ172" s="337"/>
      <c r="BA172" s="343"/>
      <c r="BB172" s="338"/>
      <c r="BC172" s="344" t="s">
        <v>3518</v>
      </c>
      <c r="BD172" s="240"/>
      <c r="BE172" s="239"/>
      <c r="BF172" s="239"/>
      <c r="BG172" s="239"/>
      <c r="BH172" s="239"/>
      <c r="BI172" s="239"/>
      <c r="BJ172" s="239"/>
      <c r="BK172" s="239"/>
      <c r="BL172" s="239"/>
      <c r="BM172" s="239"/>
      <c r="BN172" s="239"/>
      <c r="BO172" s="239"/>
      <c r="BP172" s="239"/>
      <c r="BQ172" s="239"/>
      <c r="BR172" s="239"/>
      <c r="BS172" s="239"/>
      <c r="BT172" s="239"/>
      <c r="BU172" s="239"/>
      <c r="BV172" s="239"/>
      <c r="BW172" s="239"/>
      <c r="BX172" s="239"/>
      <c r="BY172" s="239"/>
      <c r="BZ172" s="239"/>
      <c r="CA172" s="239"/>
      <c r="CB172" s="239"/>
      <c r="CC172" s="239"/>
      <c r="CD172" s="239"/>
      <c r="CE172" s="239"/>
    </row>
    <row r="173" spans="1:83" ht="12.95" customHeight="1">
      <c r="A173" s="208"/>
      <c r="B173" s="208"/>
      <c r="C173" s="51" t="s">
        <v>1000</v>
      </c>
      <c r="D173" s="52" t="s">
        <v>2046</v>
      </c>
      <c r="E173" s="52" t="s">
        <v>2047</v>
      </c>
      <c r="F173" s="53" t="s">
        <v>1268</v>
      </c>
      <c r="G173" s="179"/>
      <c r="H173" s="180" t="s">
        <v>1000</v>
      </c>
      <c r="I173" s="55" t="s">
        <v>1429</v>
      </c>
      <c r="J173" s="55" t="s">
        <v>1429</v>
      </c>
      <c r="K173" s="56" t="s">
        <v>1429</v>
      </c>
      <c r="L173" s="54" t="s">
        <v>1580</v>
      </c>
      <c r="M173" s="55" t="s">
        <v>1581</v>
      </c>
      <c r="N173" s="55" t="s">
        <v>1429</v>
      </c>
      <c r="O173" s="55" t="s">
        <v>1429</v>
      </c>
      <c r="P173" s="56" t="s">
        <v>1429</v>
      </c>
      <c r="Q173" s="6" t="s">
        <v>1362</v>
      </c>
      <c r="R173" s="52" t="s">
        <v>113</v>
      </c>
      <c r="S173" s="52" t="s">
        <v>99</v>
      </c>
      <c r="T173" s="52" t="s">
        <v>100</v>
      </c>
      <c r="U173" s="58" t="s">
        <v>113</v>
      </c>
      <c r="V173" s="146" t="s">
        <v>2048</v>
      </c>
      <c r="W173" s="51" t="s">
        <v>1737</v>
      </c>
      <c r="X173" s="130" t="s">
        <v>1429</v>
      </c>
      <c r="Y173" s="130" t="s">
        <v>1429</v>
      </c>
      <c r="Z173" s="51" t="s">
        <v>1585</v>
      </c>
      <c r="AA173" s="51" t="s">
        <v>1586</v>
      </c>
      <c r="AB173" s="51" t="s">
        <v>1435</v>
      </c>
      <c r="AC173" s="51" t="s">
        <v>1587</v>
      </c>
      <c r="AD173" s="59" t="str">
        <f t="shared" si="30"/>
        <v>GP</v>
      </c>
      <c r="AE173" s="66"/>
      <c r="AF173" s="61" t="str">
        <f t="shared" si="31"/>
        <v>NORMAL</v>
      </c>
      <c r="AG173" s="61" t="str">
        <f t="shared" si="26"/>
        <v>TRISTATE</v>
      </c>
      <c r="AH173" s="61" t="str">
        <f t="shared" si="32"/>
        <v>DISABLE</v>
      </c>
      <c r="AI173" s="67" t="str">
        <f t="shared" si="28"/>
        <v>N/A</v>
      </c>
      <c r="AJ173" s="176" t="b">
        <v>1</v>
      </c>
      <c r="AK173" s="176" t="b">
        <v>1</v>
      </c>
      <c r="AL173" s="176" t="b">
        <v>1</v>
      </c>
      <c r="AM173" s="176" t="b">
        <v>1</v>
      </c>
      <c r="AN173" s="176" t="b">
        <v>1</v>
      </c>
      <c r="AO173" s="176" t="b">
        <v>1</v>
      </c>
      <c r="AP173" s="64" t="str">
        <f t="shared" si="33"/>
        <v>VALID</v>
      </c>
      <c r="AQ173" s="347" t="s">
        <v>1000</v>
      </c>
      <c r="AR173" s="336" t="s">
        <v>3495</v>
      </c>
      <c r="AS173" s="337" t="s">
        <v>3667</v>
      </c>
      <c r="AT173" s="342"/>
      <c r="AU173" s="342"/>
      <c r="AV173" s="342"/>
      <c r="AW173" s="337" t="s">
        <v>125</v>
      </c>
      <c r="AX173" s="342"/>
      <c r="AY173" s="337"/>
      <c r="AZ173" s="337"/>
      <c r="BA173" s="343"/>
      <c r="BB173" s="338"/>
      <c r="BC173" s="344" t="s">
        <v>3789</v>
      </c>
      <c r="BD173" s="240"/>
      <c r="BE173" s="239"/>
      <c r="BF173" s="239"/>
      <c r="BG173" s="239"/>
      <c r="BH173" s="239"/>
      <c r="BI173" s="239"/>
      <c r="BJ173" s="239"/>
      <c r="BK173" s="239"/>
      <c r="BL173" s="239"/>
      <c r="BM173" s="239"/>
      <c r="BN173" s="239"/>
      <c r="BO173" s="239"/>
      <c r="BP173" s="239"/>
      <c r="BQ173" s="239"/>
      <c r="BR173" s="239"/>
      <c r="BS173" s="239"/>
      <c r="BT173" s="239"/>
      <c r="BU173" s="239"/>
      <c r="BV173" s="239"/>
      <c r="BW173" s="239"/>
      <c r="BX173" s="239"/>
      <c r="BY173" s="239"/>
      <c r="BZ173" s="239"/>
      <c r="CA173" s="239"/>
      <c r="CB173" s="239"/>
      <c r="CC173" s="239"/>
      <c r="CD173" s="239"/>
      <c r="CE173" s="239"/>
    </row>
    <row r="174" spans="1:83" ht="12.95" customHeight="1">
      <c r="A174" s="1"/>
      <c r="B174" s="1"/>
      <c r="C174" s="51" t="s">
        <v>1001</v>
      </c>
      <c r="D174" s="52" t="s">
        <v>1757</v>
      </c>
      <c r="E174" s="52" t="s">
        <v>2049</v>
      </c>
      <c r="F174" s="53" t="s">
        <v>1269</v>
      </c>
      <c r="G174" s="179"/>
      <c r="H174" s="180" t="s">
        <v>1001</v>
      </c>
      <c r="I174" s="55" t="s">
        <v>1429</v>
      </c>
      <c r="J174" s="55" t="s">
        <v>1429</v>
      </c>
      <c r="K174" s="56" t="s">
        <v>1429</v>
      </c>
      <c r="L174" s="54" t="s">
        <v>1580</v>
      </c>
      <c r="M174" s="55" t="s">
        <v>1581</v>
      </c>
      <c r="N174" s="55" t="s">
        <v>1429</v>
      </c>
      <c r="O174" s="55" t="s">
        <v>1429</v>
      </c>
      <c r="P174" s="56" t="s">
        <v>1429</v>
      </c>
      <c r="Q174" s="6" t="s">
        <v>1362</v>
      </c>
      <c r="R174" s="52" t="s">
        <v>113</v>
      </c>
      <c r="S174" s="52" t="s">
        <v>99</v>
      </c>
      <c r="T174" s="52" t="s">
        <v>100</v>
      </c>
      <c r="U174" s="58" t="s">
        <v>113</v>
      </c>
      <c r="V174" s="146" t="s">
        <v>2050</v>
      </c>
      <c r="W174" s="51" t="s">
        <v>1737</v>
      </c>
      <c r="X174" s="130" t="s">
        <v>1429</v>
      </c>
      <c r="Y174" s="130" t="s">
        <v>1429</v>
      </c>
      <c r="Z174" s="51" t="s">
        <v>1585</v>
      </c>
      <c r="AA174" s="51" t="s">
        <v>1586</v>
      </c>
      <c r="AB174" s="51" t="s">
        <v>1435</v>
      </c>
      <c r="AC174" s="51" t="s">
        <v>1587</v>
      </c>
      <c r="AD174" s="59" t="str">
        <f t="shared" si="30"/>
        <v>GP</v>
      </c>
      <c r="AE174" s="66"/>
      <c r="AF174" s="61" t="str">
        <f t="shared" si="31"/>
        <v>NORMAL</v>
      </c>
      <c r="AG174" s="61" t="str">
        <f t="shared" si="26"/>
        <v>TRISTATE</v>
      </c>
      <c r="AH174" s="61" t="str">
        <f t="shared" si="32"/>
        <v>DISABLE</v>
      </c>
      <c r="AI174" s="67" t="str">
        <f t="shared" si="28"/>
        <v>N/A</v>
      </c>
      <c r="AJ174" s="176" t="b">
        <v>1</v>
      </c>
      <c r="AK174" s="176" t="b">
        <v>1</v>
      </c>
      <c r="AL174" s="176" t="b">
        <v>1</v>
      </c>
      <c r="AM174" s="176" t="b">
        <v>1</v>
      </c>
      <c r="AN174" s="176" t="b">
        <v>1</v>
      </c>
      <c r="AO174" s="176" t="b">
        <v>1</v>
      </c>
      <c r="AP174" s="64" t="str">
        <f t="shared" si="33"/>
        <v>VALID</v>
      </c>
      <c r="AQ174" s="347" t="s">
        <v>1001</v>
      </c>
      <c r="AR174" s="336" t="s">
        <v>3495</v>
      </c>
      <c r="AS174" s="337" t="s">
        <v>3667</v>
      </c>
      <c r="AT174" s="342"/>
      <c r="AU174" s="342"/>
      <c r="AV174" s="342"/>
      <c r="AW174" s="337" t="s">
        <v>125</v>
      </c>
      <c r="AX174" s="342"/>
      <c r="AY174" s="337"/>
      <c r="AZ174" s="337"/>
      <c r="BA174" s="343"/>
      <c r="BB174" s="338"/>
      <c r="BC174" s="344" t="s">
        <v>3790</v>
      </c>
      <c r="BD174" s="248"/>
      <c r="BE174" s="239"/>
      <c r="BF174" s="239"/>
      <c r="BG174" s="239"/>
      <c r="BH174" s="239"/>
      <c r="BI174" s="239"/>
      <c r="BJ174" s="239"/>
      <c r="BK174" s="239"/>
      <c r="BL174" s="239"/>
      <c r="BM174" s="239"/>
      <c r="BN174" s="239"/>
      <c r="BO174" s="239"/>
      <c r="BP174" s="239"/>
      <c r="BQ174" s="239"/>
      <c r="BR174" s="239"/>
      <c r="BS174" s="239"/>
      <c r="BT174" s="239"/>
      <c r="BU174" s="239"/>
      <c r="BV174" s="239"/>
      <c r="BW174" s="239"/>
      <c r="BX174" s="239"/>
      <c r="BY174" s="239"/>
      <c r="BZ174" s="239"/>
      <c r="CA174" s="239"/>
      <c r="CB174" s="239"/>
      <c r="CC174" s="239"/>
      <c r="CD174" s="239"/>
      <c r="CE174" s="239"/>
    </row>
    <row r="175" spans="1:83" ht="12.95" customHeight="1">
      <c r="A175" s="21" t="s">
        <v>3485</v>
      </c>
      <c r="B175" s="21" t="s">
        <v>2392</v>
      </c>
      <c r="C175" s="51" t="s">
        <v>1002</v>
      </c>
      <c r="D175" s="52" t="s">
        <v>1982</v>
      </c>
      <c r="E175" s="52" t="s">
        <v>1703</v>
      </c>
      <c r="F175" s="53" t="s">
        <v>1270</v>
      </c>
      <c r="G175" s="179"/>
      <c r="H175" s="180" t="s">
        <v>1429</v>
      </c>
      <c r="I175" s="55" t="s">
        <v>1429</v>
      </c>
      <c r="J175" s="55" t="s">
        <v>1547</v>
      </c>
      <c r="K175" s="56" t="s">
        <v>1429</v>
      </c>
      <c r="L175" s="54" t="s">
        <v>1580</v>
      </c>
      <c r="M175" s="55" t="s">
        <v>1429</v>
      </c>
      <c r="N175" s="55" t="s">
        <v>1429</v>
      </c>
      <c r="O175" s="55" t="s">
        <v>1580</v>
      </c>
      <c r="P175" s="56" t="s">
        <v>1429</v>
      </c>
      <c r="Q175" s="6" t="s">
        <v>755</v>
      </c>
      <c r="R175" s="52" t="s">
        <v>113</v>
      </c>
      <c r="S175" s="52" t="s">
        <v>111</v>
      </c>
      <c r="T175" s="52" t="s">
        <v>100</v>
      </c>
      <c r="U175" s="58" t="s">
        <v>755</v>
      </c>
      <c r="V175" s="146" t="s">
        <v>2051</v>
      </c>
      <c r="W175" s="51" t="s">
        <v>1737</v>
      </c>
      <c r="X175" s="130" t="s">
        <v>1429</v>
      </c>
      <c r="Y175" s="130" t="s">
        <v>1429</v>
      </c>
      <c r="Z175" s="51" t="s">
        <v>1585</v>
      </c>
      <c r="AA175" s="51" t="s">
        <v>1586</v>
      </c>
      <c r="AB175" s="51" t="s">
        <v>1435</v>
      </c>
      <c r="AC175" s="51" t="s">
        <v>1587</v>
      </c>
      <c r="AD175" s="59" t="str">
        <f t="shared" si="30"/>
        <v>SPI1</v>
      </c>
      <c r="AE175" s="66"/>
      <c r="AF175" s="61" t="str">
        <f t="shared" si="31"/>
        <v>NORMAL</v>
      </c>
      <c r="AG175" s="61" t="str">
        <f t="shared" si="26"/>
        <v>NORMAL</v>
      </c>
      <c r="AH175" s="61" t="str">
        <f t="shared" si="32"/>
        <v>DISABLE</v>
      </c>
      <c r="AI175" s="67" t="str">
        <f t="shared" si="28"/>
        <v>N/A</v>
      </c>
      <c r="AJ175" s="176" t="b">
        <v>1</v>
      </c>
      <c r="AK175" s="176" t="b">
        <v>1</v>
      </c>
      <c r="AL175" s="176" t="b">
        <v>1</v>
      </c>
      <c r="AM175" s="176" t="b">
        <v>1</v>
      </c>
      <c r="AN175" s="176" t="b">
        <v>1</v>
      </c>
      <c r="AO175" s="176" t="b">
        <v>1</v>
      </c>
      <c r="AP175" s="64" t="str">
        <f t="shared" si="33"/>
        <v>VALID</v>
      </c>
      <c r="AQ175" s="227" t="s">
        <v>1547</v>
      </c>
      <c r="AR175" s="182" t="s">
        <v>3495</v>
      </c>
      <c r="AS175" s="181"/>
      <c r="AT175" s="5"/>
      <c r="AU175" s="5"/>
      <c r="AV175" s="5"/>
      <c r="AW175" s="181" t="s">
        <v>125</v>
      </c>
      <c r="AX175" s="284"/>
      <c r="AY175" s="181"/>
      <c r="AZ175" s="181"/>
      <c r="BA175" s="7"/>
      <c r="BB175" s="212"/>
      <c r="BC175" s="10" t="s">
        <v>3758</v>
      </c>
      <c r="BD175" s="238"/>
      <c r="BE175" s="239"/>
      <c r="BF175" s="239"/>
      <c r="BG175" s="239"/>
      <c r="BH175" s="239"/>
      <c r="BI175" s="239"/>
      <c r="BJ175" s="239"/>
      <c r="BK175" s="239"/>
      <c r="BL175" s="239"/>
      <c r="BM175" s="239"/>
      <c r="BN175" s="239"/>
      <c r="BO175" s="239"/>
      <c r="BP175" s="239"/>
      <c r="BQ175" s="239"/>
      <c r="BR175" s="239"/>
      <c r="BS175" s="239"/>
      <c r="BT175" s="239"/>
      <c r="BU175" s="239"/>
      <c r="BV175" s="239"/>
      <c r="BW175" s="239"/>
      <c r="BX175" s="239"/>
      <c r="BY175" s="239"/>
      <c r="BZ175" s="239"/>
      <c r="CA175" s="239"/>
      <c r="CB175" s="239"/>
      <c r="CC175" s="239"/>
      <c r="CD175" s="239"/>
      <c r="CE175" s="239"/>
    </row>
    <row r="176" spans="1:83" ht="12.95" customHeight="1">
      <c r="A176" s="21" t="s">
        <v>3484</v>
      </c>
      <c r="B176" s="21" t="s">
        <v>2404</v>
      </c>
      <c r="C176" s="51" t="s">
        <v>1003</v>
      </c>
      <c r="D176" s="52" t="s">
        <v>2052</v>
      </c>
      <c r="E176" s="52" t="s">
        <v>1680</v>
      </c>
      <c r="F176" s="53" t="s">
        <v>1271</v>
      </c>
      <c r="G176" s="179"/>
      <c r="H176" s="180" t="s">
        <v>1429</v>
      </c>
      <c r="I176" s="55" t="s">
        <v>1429</v>
      </c>
      <c r="J176" s="55" t="s">
        <v>1548</v>
      </c>
      <c r="K176" s="56" t="s">
        <v>1429</v>
      </c>
      <c r="L176" s="54" t="s">
        <v>1580</v>
      </c>
      <c r="M176" s="55" t="s">
        <v>1429</v>
      </c>
      <c r="N176" s="55" t="s">
        <v>1429</v>
      </c>
      <c r="O176" s="55" t="s">
        <v>1580</v>
      </c>
      <c r="P176" s="56" t="s">
        <v>1429</v>
      </c>
      <c r="Q176" s="6" t="s">
        <v>755</v>
      </c>
      <c r="R176" s="52" t="s">
        <v>113</v>
      </c>
      <c r="S176" s="52" t="s">
        <v>111</v>
      </c>
      <c r="T176" s="52" t="s">
        <v>100</v>
      </c>
      <c r="U176" s="58" t="s">
        <v>755</v>
      </c>
      <c r="V176" s="146" t="s">
        <v>2053</v>
      </c>
      <c r="W176" s="51" t="s">
        <v>1737</v>
      </c>
      <c r="X176" s="130" t="s">
        <v>1429</v>
      </c>
      <c r="Y176" s="130" t="s">
        <v>1429</v>
      </c>
      <c r="Z176" s="51" t="s">
        <v>1585</v>
      </c>
      <c r="AA176" s="51" t="s">
        <v>1586</v>
      </c>
      <c r="AB176" s="51" t="s">
        <v>1435</v>
      </c>
      <c r="AC176" s="51" t="s">
        <v>1587</v>
      </c>
      <c r="AD176" s="59" t="str">
        <f t="shared" si="30"/>
        <v>SPI1</v>
      </c>
      <c r="AE176" s="66"/>
      <c r="AF176" s="61" t="str">
        <f t="shared" si="31"/>
        <v>PULL_DOWN</v>
      </c>
      <c r="AG176" s="61" t="str">
        <f t="shared" si="26"/>
        <v>TRISTATE</v>
      </c>
      <c r="AH176" s="61" t="str">
        <f t="shared" si="32"/>
        <v>ENABLE</v>
      </c>
      <c r="AI176" s="67" t="str">
        <f t="shared" si="28"/>
        <v>N/A</v>
      </c>
      <c r="AJ176" s="176" t="b">
        <v>1</v>
      </c>
      <c r="AK176" s="176" t="b">
        <v>1</v>
      </c>
      <c r="AL176" s="176" t="b">
        <v>1</v>
      </c>
      <c r="AM176" s="176" t="b">
        <v>1</v>
      </c>
      <c r="AN176" s="176" t="b">
        <v>1</v>
      </c>
      <c r="AO176" s="176" t="b">
        <v>1</v>
      </c>
      <c r="AP176" s="64" t="str">
        <f t="shared" si="33"/>
        <v>VALID</v>
      </c>
      <c r="AQ176" s="227" t="s">
        <v>1548</v>
      </c>
      <c r="AR176" s="182" t="s">
        <v>3496</v>
      </c>
      <c r="AS176" s="181" t="s">
        <v>3503</v>
      </c>
      <c r="AT176" s="5"/>
      <c r="AU176" s="5"/>
      <c r="AV176" s="5"/>
      <c r="AW176" s="181" t="s">
        <v>125</v>
      </c>
      <c r="AX176" s="284"/>
      <c r="AY176" s="181"/>
      <c r="AZ176" s="181"/>
      <c r="BA176" s="7"/>
      <c r="BB176" s="212"/>
      <c r="BC176" s="10" t="s">
        <v>3759</v>
      </c>
      <c r="BD176" s="238"/>
      <c r="BE176" s="239"/>
      <c r="BF176" s="239"/>
      <c r="BG176" s="239"/>
      <c r="BH176" s="239"/>
      <c r="BI176" s="239"/>
      <c r="BJ176" s="239"/>
      <c r="BK176" s="239"/>
      <c r="BL176" s="239"/>
      <c r="BM176" s="239"/>
      <c r="BN176" s="239"/>
      <c r="BO176" s="239"/>
      <c r="BP176" s="239"/>
      <c r="BQ176" s="239"/>
      <c r="BR176" s="239"/>
      <c r="BS176" s="239"/>
      <c r="BT176" s="239"/>
      <c r="BU176" s="239"/>
      <c r="BV176" s="239"/>
      <c r="BW176" s="239"/>
      <c r="BX176" s="239"/>
      <c r="BY176" s="239"/>
      <c r="BZ176" s="239"/>
      <c r="CA176" s="239"/>
      <c r="CB176" s="239"/>
      <c r="CC176" s="239"/>
      <c r="CD176" s="239"/>
      <c r="CE176" s="239"/>
    </row>
    <row r="177" spans="1:83" ht="12.95" customHeight="1">
      <c r="A177" s="21" t="s">
        <v>3483</v>
      </c>
      <c r="B177" s="21" t="s">
        <v>2402</v>
      </c>
      <c r="C177" s="51" t="s">
        <v>1004</v>
      </c>
      <c r="D177" s="52" t="s">
        <v>1959</v>
      </c>
      <c r="E177" s="52" t="s">
        <v>2054</v>
      </c>
      <c r="F177" s="53" t="s">
        <v>1272</v>
      </c>
      <c r="G177" s="179"/>
      <c r="H177" s="180" t="s">
        <v>1429</v>
      </c>
      <c r="I177" s="55" t="s">
        <v>1429</v>
      </c>
      <c r="J177" s="55" t="s">
        <v>1549</v>
      </c>
      <c r="K177" s="56" t="s">
        <v>1429</v>
      </c>
      <c r="L177" s="54" t="s">
        <v>1580</v>
      </c>
      <c r="M177" s="55" t="s">
        <v>1429</v>
      </c>
      <c r="N177" s="55" t="s">
        <v>1429</v>
      </c>
      <c r="O177" s="55" t="s">
        <v>1580</v>
      </c>
      <c r="P177" s="56" t="s">
        <v>1429</v>
      </c>
      <c r="Q177" s="6" t="s">
        <v>755</v>
      </c>
      <c r="R177" s="52" t="s">
        <v>113</v>
      </c>
      <c r="S177" s="52" t="s">
        <v>111</v>
      </c>
      <c r="T177" s="52" t="s">
        <v>100</v>
      </c>
      <c r="U177" s="58" t="s">
        <v>755</v>
      </c>
      <c r="V177" s="146" t="s">
        <v>2055</v>
      </c>
      <c r="W177" s="51" t="s">
        <v>1737</v>
      </c>
      <c r="X177" s="130" t="s">
        <v>2056</v>
      </c>
      <c r="Y177" s="130" t="s">
        <v>1429</v>
      </c>
      <c r="Z177" s="51" t="s">
        <v>1585</v>
      </c>
      <c r="AA177" s="51" t="s">
        <v>1600</v>
      </c>
      <c r="AB177" s="51" t="s">
        <v>1435</v>
      </c>
      <c r="AC177" s="51" t="s">
        <v>1587</v>
      </c>
      <c r="AD177" s="59" t="str">
        <f t="shared" si="30"/>
        <v>SPI1</v>
      </c>
      <c r="AE177" s="66"/>
      <c r="AF177" s="61" t="str">
        <f t="shared" si="31"/>
        <v>NORMAL</v>
      </c>
      <c r="AG177" s="61" t="str">
        <f t="shared" si="26"/>
        <v>NORMAL</v>
      </c>
      <c r="AH177" s="61" t="str">
        <f t="shared" si="32"/>
        <v>DISABLE</v>
      </c>
      <c r="AI177" s="67" t="str">
        <f t="shared" si="28"/>
        <v>N/A</v>
      </c>
      <c r="AJ177" s="176" t="b">
        <v>1</v>
      </c>
      <c r="AK177" s="176" t="b">
        <v>1</v>
      </c>
      <c r="AL177" s="176" t="b">
        <v>1</v>
      </c>
      <c r="AM177" s="176" t="b">
        <v>1</v>
      </c>
      <c r="AN177" s="176" t="b">
        <v>1</v>
      </c>
      <c r="AO177" s="176" t="b">
        <v>1</v>
      </c>
      <c r="AP177" s="64" t="str">
        <f t="shared" si="33"/>
        <v>VALID</v>
      </c>
      <c r="AQ177" s="227" t="s">
        <v>1549</v>
      </c>
      <c r="AR177" s="182" t="s">
        <v>3495</v>
      </c>
      <c r="AS177" s="181"/>
      <c r="AT177" s="181" t="s">
        <v>104</v>
      </c>
      <c r="AU177" s="5"/>
      <c r="AV177" s="5"/>
      <c r="AW177" s="181" t="s">
        <v>125</v>
      </c>
      <c r="AX177" s="284"/>
      <c r="AY177" s="181"/>
      <c r="AZ177" s="181"/>
      <c r="BA177" s="7"/>
      <c r="BB177" s="212"/>
      <c r="BC177" s="10" t="s">
        <v>3760</v>
      </c>
      <c r="BD177" s="238"/>
      <c r="BE177" s="239"/>
      <c r="BF177" s="239"/>
      <c r="BG177" s="239"/>
      <c r="BH177" s="239"/>
      <c r="BI177" s="239"/>
      <c r="BJ177" s="239"/>
      <c r="BK177" s="239"/>
      <c r="BL177" s="239"/>
      <c r="BM177" s="239"/>
      <c r="BN177" s="239"/>
      <c r="BO177" s="239"/>
      <c r="BP177" s="239"/>
      <c r="BQ177" s="239"/>
      <c r="BR177" s="239"/>
      <c r="BS177" s="239"/>
      <c r="BT177" s="239"/>
      <c r="BU177" s="239"/>
      <c r="BV177" s="239"/>
      <c r="BW177" s="239"/>
      <c r="BX177" s="239"/>
      <c r="BY177" s="239"/>
      <c r="BZ177" s="239"/>
      <c r="CA177" s="239"/>
      <c r="CB177" s="239"/>
      <c r="CC177" s="239"/>
      <c r="CD177" s="239"/>
      <c r="CE177" s="239"/>
    </row>
    <row r="178" spans="1:83" ht="12.95" customHeight="1">
      <c r="A178" s="21" t="s">
        <v>3482</v>
      </c>
      <c r="B178" s="21" t="s">
        <v>3605</v>
      </c>
      <c r="C178" s="51" t="s">
        <v>1005</v>
      </c>
      <c r="D178" s="52" t="s">
        <v>2057</v>
      </c>
      <c r="E178" s="52" t="s">
        <v>2058</v>
      </c>
      <c r="F178" s="53" t="s">
        <v>1273</v>
      </c>
      <c r="G178" s="179"/>
      <c r="H178" s="180" t="s">
        <v>1429</v>
      </c>
      <c r="I178" s="55" t="s">
        <v>1429</v>
      </c>
      <c r="J178" s="55" t="s">
        <v>1550</v>
      </c>
      <c r="K178" s="56" t="s">
        <v>1429</v>
      </c>
      <c r="L178" s="54" t="s">
        <v>1580</v>
      </c>
      <c r="M178" s="55" t="s">
        <v>1429</v>
      </c>
      <c r="N178" s="55" t="s">
        <v>1429</v>
      </c>
      <c r="O178" s="55" t="s">
        <v>1580</v>
      </c>
      <c r="P178" s="56" t="s">
        <v>1429</v>
      </c>
      <c r="Q178" s="6" t="s">
        <v>755</v>
      </c>
      <c r="R178" s="52" t="s">
        <v>113</v>
      </c>
      <c r="S178" s="52" t="s">
        <v>111</v>
      </c>
      <c r="T178" s="52" t="s">
        <v>100</v>
      </c>
      <c r="U178" s="57" t="s">
        <v>755</v>
      </c>
      <c r="V178" s="146" t="s">
        <v>2059</v>
      </c>
      <c r="W178" s="51" t="s">
        <v>1737</v>
      </c>
      <c r="X178" s="130" t="s">
        <v>2060</v>
      </c>
      <c r="Y178" s="130" t="s">
        <v>1429</v>
      </c>
      <c r="Z178" s="51" t="s">
        <v>1585</v>
      </c>
      <c r="AA178" s="51" t="s">
        <v>1600</v>
      </c>
      <c r="AB178" s="51" t="s">
        <v>1435</v>
      </c>
      <c r="AC178" s="51" t="s">
        <v>1674</v>
      </c>
      <c r="AD178" s="59" t="str">
        <f t="shared" si="30"/>
        <v>SPI1</v>
      </c>
      <c r="AE178" s="66"/>
      <c r="AF178" s="61" t="str">
        <f t="shared" si="31"/>
        <v>PULL_UP</v>
      </c>
      <c r="AG178" s="61" t="str">
        <f t="shared" si="26"/>
        <v>NORMAL</v>
      </c>
      <c r="AH178" s="61" t="str">
        <f t="shared" si="32"/>
        <v>DISABLE</v>
      </c>
      <c r="AI178" s="67" t="str">
        <f t="shared" si="28"/>
        <v>N/A</v>
      </c>
      <c r="AJ178" s="176" t="b">
        <v>1</v>
      </c>
      <c r="AK178" s="176" t="b">
        <v>1</v>
      </c>
      <c r="AL178" s="176" t="b">
        <v>1</v>
      </c>
      <c r="AM178" s="176" t="b">
        <v>1</v>
      </c>
      <c r="AN178" s="176" t="b">
        <v>1</v>
      </c>
      <c r="AO178" s="176" t="b">
        <v>1</v>
      </c>
      <c r="AP178" s="64" t="str">
        <f t="shared" si="33"/>
        <v>VALID</v>
      </c>
      <c r="AQ178" s="227" t="s">
        <v>1550</v>
      </c>
      <c r="AR178" s="182" t="s">
        <v>3495</v>
      </c>
      <c r="AS178" s="181" t="s">
        <v>3497</v>
      </c>
      <c r="AT178" s="181" t="s">
        <v>104</v>
      </c>
      <c r="AU178" s="5"/>
      <c r="AV178" s="5"/>
      <c r="AW178" s="181" t="s">
        <v>125</v>
      </c>
      <c r="AX178" s="284"/>
      <c r="AY178" s="181"/>
      <c r="AZ178" s="181"/>
      <c r="BA178" s="7"/>
      <c r="BB178" s="212"/>
      <c r="BC178" s="10" t="s">
        <v>3761</v>
      </c>
      <c r="BD178" s="238"/>
      <c r="BE178" s="239"/>
      <c r="BF178" s="239"/>
      <c r="BG178" s="239"/>
      <c r="BH178" s="239"/>
      <c r="BI178" s="239"/>
      <c r="BJ178" s="239"/>
      <c r="BK178" s="239"/>
      <c r="BL178" s="239"/>
      <c r="BM178" s="239"/>
      <c r="BN178" s="239"/>
      <c r="BO178" s="239"/>
      <c r="BP178" s="239"/>
      <c r="BQ178" s="239"/>
      <c r="BR178" s="239"/>
      <c r="BS178" s="239"/>
      <c r="BT178" s="239"/>
      <c r="BU178" s="239"/>
      <c r="BV178" s="239"/>
      <c r="BW178" s="239"/>
      <c r="BX178" s="239"/>
      <c r="BY178" s="239"/>
      <c r="BZ178" s="239"/>
      <c r="CA178" s="239"/>
      <c r="CB178" s="239"/>
      <c r="CC178" s="239"/>
      <c r="CD178" s="239"/>
      <c r="CE178" s="239"/>
    </row>
    <row r="179" spans="1:83" ht="12.95" customHeight="1">
      <c r="A179" s="1"/>
      <c r="B179" s="1"/>
      <c r="C179" s="51" t="s">
        <v>231</v>
      </c>
      <c r="D179" s="52" t="s">
        <v>2061</v>
      </c>
      <c r="E179" s="52" t="s">
        <v>2062</v>
      </c>
      <c r="F179" s="53" t="s">
        <v>232</v>
      </c>
      <c r="G179" s="179" t="s">
        <v>1429</v>
      </c>
      <c r="H179" s="180" t="s">
        <v>231</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7"/>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26"/>
        <v>NORMAL</v>
      </c>
      <c r="AH179" s="61" t="str">
        <f>IF(OR($AQ179=$F179,$AR179="Output"),"DISABLE","ENABLE")</f>
        <v>ENABLE</v>
      </c>
      <c r="AI179" s="67" t="str">
        <f>IF($AQ179&lt;&gt;$G179,"N/A",IF($AS179="Drive 1", "1", IF($AS179="Drive 0", "0", "")))</f>
        <v>N/A</v>
      </c>
      <c r="AJ179" s="176" t="b">
        <v>1</v>
      </c>
      <c r="AK179" s="176" t="b">
        <v>1</v>
      </c>
      <c r="AL179" s="176" t="b">
        <v>1</v>
      </c>
      <c r="AM179" s="176" t="b">
        <v>1</v>
      </c>
      <c r="AN179" s="176" t="b">
        <v>1</v>
      </c>
      <c r="AO179" s="176" t="b">
        <v>1</v>
      </c>
      <c r="AP179" s="64" t="str">
        <f>IF(AND($AJ179:$AO179), "VALID", "INVALID")</f>
        <v>VALID</v>
      </c>
      <c r="AQ179" s="347" t="s">
        <v>231</v>
      </c>
      <c r="AR179" s="336" t="s">
        <v>3501</v>
      </c>
      <c r="AS179" s="337"/>
      <c r="AT179" s="342"/>
      <c r="AU179" s="342"/>
      <c r="AV179" s="342"/>
      <c r="AW179" s="342"/>
      <c r="AX179" s="342"/>
      <c r="AY179" s="337"/>
      <c r="AZ179" s="337"/>
      <c r="BA179" s="343"/>
      <c r="BB179" s="338"/>
      <c r="BC179" s="344" t="s">
        <v>3776</v>
      </c>
      <c r="BD179" s="248"/>
      <c r="BE179" s="239"/>
      <c r="BF179" s="239"/>
      <c r="BG179" s="239"/>
      <c r="BH179" s="239"/>
      <c r="BI179" s="239"/>
      <c r="BJ179" s="239"/>
      <c r="BK179" s="239"/>
      <c r="BL179" s="239"/>
      <c r="BM179" s="239"/>
      <c r="BN179" s="239"/>
      <c r="BO179" s="239"/>
      <c r="BP179" s="239"/>
      <c r="BQ179" s="239"/>
      <c r="BR179" s="239"/>
      <c r="BS179" s="239"/>
      <c r="BT179" s="239"/>
      <c r="BU179" s="239"/>
      <c r="BV179" s="239"/>
      <c r="BW179" s="239"/>
      <c r="BX179" s="239"/>
      <c r="BY179" s="239"/>
      <c r="BZ179" s="239"/>
      <c r="CA179" s="239"/>
      <c r="CB179" s="239"/>
      <c r="CC179" s="239"/>
      <c r="CD179" s="239"/>
      <c r="CE179" s="239"/>
    </row>
    <row r="180" spans="1:83" ht="12.95" customHeight="1">
      <c r="A180" s="1"/>
      <c r="B180" s="1"/>
      <c r="C180" s="51" t="s">
        <v>233</v>
      </c>
      <c r="D180" s="52" t="s">
        <v>2066</v>
      </c>
      <c r="E180" s="52" t="s">
        <v>2067</v>
      </c>
      <c r="F180" s="53" t="s">
        <v>234</v>
      </c>
      <c r="G180" s="179" t="s">
        <v>1429</v>
      </c>
      <c r="H180" s="180" t="s">
        <v>233</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7"/>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26"/>
        <v>NORMAL</v>
      </c>
      <c r="AH180" s="61" t="str">
        <f>IF(OR($AQ180=$F180,$AR180="Output"),"DISABLE","ENABLE")</f>
        <v>ENABLE</v>
      </c>
      <c r="AI180" s="67" t="str">
        <f>IF($AQ180&lt;&gt;$G180,"N/A",IF($AS180="Drive 1", "1", IF($AS180="Drive 0", "0", "")))</f>
        <v>N/A</v>
      </c>
      <c r="AJ180" s="176" t="b">
        <v>1</v>
      </c>
      <c r="AK180" s="176" t="b">
        <v>1</v>
      </c>
      <c r="AL180" s="176" t="b">
        <v>1</v>
      </c>
      <c r="AM180" s="176" t="b">
        <v>1</v>
      </c>
      <c r="AN180" s="176" t="b">
        <v>1</v>
      </c>
      <c r="AO180" s="176" t="b">
        <v>1</v>
      </c>
      <c r="AP180" s="64" t="str">
        <f>IF(AND($AJ180:$AO180), "VALID", "INVALID")</f>
        <v>VALID</v>
      </c>
      <c r="AQ180" s="347" t="s">
        <v>233</v>
      </c>
      <c r="AR180" s="336" t="s">
        <v>3501</v>
      </c>
      <c r="AS180" s="337"/>
      <c r="AT180" s="342"/>
      <c r="AU180" s="342"/>
      <c r="AV180" s="342"/>
      <c r="AW180" s="342"/>
      <c r="AX180" s="342"/>
      <c r="AY180" s="337"/>
      <c r="AZ180" s="337"/>
      <c r="BA180" s="343" t="s">
        <v>101</v>
      </c>
      <c r="BB180" s="338"/>
      <c r="BC180" s="344" t="s">
        <v>3776</v>
      </c>
      <c r="BD180" s="248"/>
      <c r="BE180" s="239"/>
      <c r="BF180" s="239"/>
      <c r="BG180" s="239"/>
      <c r="BH180" s="239"/>
      <c r="BI180" s="239"/>
      <c r="BJ180" s="239"/>
      <c r="BK180" s="239"/>
      <c r="BL180" s="239"/>
      <c r="BM180" s="239"/>
      <c r="BN180" s="239"/>
      <c r="BO180" s="239"/>
      <c r="BP180" s="239"/>
      <c r="BQ180" s="239"/>
      <c r="BR180" s="239"/>
      <c r="BS180" s="239"/>
      <c r="BT180" s="239"/>
      <c r="BU180" s="239"/>
      <c r="BV180" s="239"/>
      <c r="BW180" s="239"/>
      <c r="BX180" s="239"/>
      <c r="BY180" s="239"/>
      <c r="BZ180" s="239"/>
      <c r="CA180" s="239"/>
      <c r="CB180" s="239"/>
      <c r="CC180" s="239"/>
      <c r="CD180" s="239"/>
      <c r="CE180" s="239"/>
    </row>
    <row r="181" spans="1:83" s="50" customFormat="1" ht="18" customHeight="1">
      <c r="A181" s="68" t="s">
        <v>308</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8"/>
      <c r="AY181" s="73"/>
      <c r="AZ181" s="73"/>
      <c r="BA181" s="73"/>
      <c r="BB181" s="168" t="s">
        <v>49</v>
      </c>
      <c r="BC181" s="172"/>
      <c r="BD181" s="169"/>
      <c r="BE181" s="308"/>
      <c r="BF181" s="243"/>
      <c r="BG181" s="243"/>
      <c r="BH181" s="243"/>
      <c r="BI181" s="243"/>
      <c r="BJ181" s="243"/>
      <c r="BK181" s="243"/>
      <c r="BL181" s="243"/>
      <c r="BM181" s="243"/>
      <c r="BN181" s="243"/>
      <c r="BO181" s="243"/>
      <c r="BP181" s="243"/>
      <c r="BQ181" s="243"/>
      <c r="BR181" s="243"/>
      <c r="BS181" s="243"/>
      <c r="BT181" s="243"/>
      <c r="BU181" s="243"/>
      <c r="BV181" s="243"/>
      <c r="BW181" s="243"/>
      <c r="BX181" s="243"/>
      <c r="BY181" s="243"/>
      <c r="BZ181" s="243"/>
      <c r="CA181" s="243"/>
      <c r="CB181" s="243"/>
      <c r="CC181" s="243"/>
      <c r="CD181" s="243"/>
      <c r="CE181" s="243"/>
    </row>
    <row r="182" spans="1:83" ht="12.95" customHeight="1">
      <c r="A182" s="21" t="s">
        <v>3471</v>
      </c>
      <c r="B182" s="21" t="s">
        <v>2365</v>
      </c>
      <c r="C182" s="51" t="s">
        <v>309</v>
      </c>
      <c r="D182" s="52" t="s">
        <v>2070</v>
      </c>
      <c r="E182" s="52" t="s">
        <v>1764</v>
      </c>
      <c r="F182" s="53" t="s">
        <v>540</v>
      </c>
      <c r="G182" s="179" t="s">
        <v>2071</v>
      </c>
      <c r="H182" s="180" t="s">
        <v>1440</v>
      </c>
      <c r="I182" s="55" t="s">
        <v>1429</v>
      </c>
      <c r="J182" s="55" t="s">
        <v>1429</v>
      </c>
      <c r="K182" s="56" t="s">
        <v>1429</v>
      </c>
      <c r="L182" s="54" t="s">
        <v>1580</v>
      </c>
      <c r="M182" s="55" t="s">
        <v>1581</v>
      </c>
      <c r="N182" s="55" t="s">
        <v>1429</v>
      </c>
      <c r="O182" s="55" t="s">
        <v>1429</v>
      </c>
      <c r="P182" s="56" t="s">
        <v>1429</v>
      </c>
      <c r="Q182" s="6" t="s">
        <v>121</v>
      </c>
      <c r="R182" s="52" t="s">
        <v>113</v>
      </c>
      <c r="S182" s="52" t="s">
        <v>99</v>
      </c>
      <c r="T182" s="52" t="s">
        <v>100</v>
      </c>
      <c r="U182" s="57" t="s">
        <v>113</v>
      </c>
      <c r="V182" s="146" t="s">
        <v>2072</v>
      </c>
      <c r="W182" s="51" t="s">
        <v>2073</v>
      </c>
      <c r="X182" s="130" t="s">
        <v>1429</v>
      </c>
      <c r="Y182" s="130" t="s">
        <v>1429</v>
      </c>
      <c r="Z182" s="51" t="s">
        <v>1585</v>
      </c>
      <c r="AA182" s="51" t="s">
        <v>1586</v>
      </c>
      <c r="AB182" s="51" t="s">
        <v>1435</v>
      </c>
      <c r="AC182" s="51" t="s">
        <v>1674</v>
      </c>
      <c r="AD182" s="59" t="str">
        <f t="shared" si="30"/>
        <v>UARTA</v>
      </c>
      <c r="AE182" s="66"/>
      <c r="AF182" s="61" t="str">
        <f t="shared" si="31"/>
        <v>NORMAL</v>
      </c>
      <c r="AG182" s="61" t="str">
        <f t="shared" si="26"/>
        <v>NORMAL</v>
      </c>
      <c r="AH182" s="61" t="str">
        <f t="shared" si="32"/>
        <v>DISABLE</v>
      </c>
      <c r="AI182" s="67" t="str">
        <f t="shared" si="28"/>
        <v>N/A</v>
      </c>
      <c r="AJ182" s="176" t="b">
        <v>1</v>
      </c>
      <c r="AK182" s="176" t="b">
        <v>1</v>
      </c>
      <c r="AL182" s="176" t="b">
        <v>1</v>
      </c>
      <c r="AM182" s="176" t="b">
        <v>1</v>
      </c>
      <c r="AN182" s="176" t="b">
        <v>1</v>
      </c>
      <c r="AO182" s="176" t="b">
        <v>1</v>
      </c>
      <c r="AP182" s="64" t="str">
        <f t="shared" ref="AP182:AP191" si="34">IF(AND($AJ182:$AO182), "VALID", "INVALID")</f>
        <v>VALID</v>
      </c>
      <c r="AQ182" s="227" t="s">
        <v>1440</v>
      </c>
      <c r="AR182" s="182" t="s">
        <v>3495</v>
      </c>
      <c r="AS182" s="181"/>
      <c r="AT182" s="5"/>
      <c r="AU182" s="5"/>
      <c r="AV182" s="5"/>
      <c r="AW182" s="181" t="s">
        <v>125</v>
      </c>
      <c r="AX182" s="284"/>
      <c r="AY182" s="181"/>
      <c r="AZ182" s="181"/>
      <c r="BA182" s="7"/>
      <c r="BB182" s="212"/>
      <c r="BC182" s="10" t="s">
        <v>1440</v>
      </c>
      <c r="BD182" s="238"/>
      <c r="BE182" s="239"/>
      <c r="BF182" s="239"/>
      <c r="BG182" s="239"/>
      <c r="BH182" s="239"/>
      <c r="BI182" s="239"/>
      <c r="BJ182" s="239"/>
      <c r="BK182" s="239"/>
      <c r="BL182" s="239"/>
      <c r="BM182" s="239"/>
      <c r="BN182" s="239"/>
      <c r="BO182" s="239"/>
      <c r="BP182" s="239"/>
      <c r="BQ182" s="239"/>
      <c r="BR182" s="239"/>
      <c r="BS182" s="239"/>
      <c r="BT182" s="239"/>
      <c r="BU182" s="239"/>
      <c r="BV182" s="239"/>
      <c r="BW182" s="239"/>
      <c r="BX182" s="239"/>
      <c r="BY182" s="239"/>
      <c r="BZ182" s="239"/>
      <c r="CA182" s="239"/>
      <c r="CB182" s="239"/>
      <c r="CC182" s="239"/>
      <c r="CD182" s="239"/>
      <c r="CE182" s="239"/>
    </row>
    <row r="183" spans="1:83" ht="12.95" customHeight="1">
      <c r="A183" s="21" t="s">
        <v>3470</v>
      </c>
      <c r="B183" s="21" t="s">
        <v>2362</v>
      </c>
      <c r="C183" s="51" t="s">
        <v>310</v>
      </c>
      <c r="D183" s="52" t="s">
        <v>2074</v>
      </c>
      <c r="E183" s="52" t="s">
        <v>2075</v>
      </c>
      <c r="F183" s="53" t="s">
        <v>541</v>
      </c>
      <c r="G183" s="179" t="s">
        <v>2076</v>
      </c>
      <c r="H183" s="180" t="s">
        <v>1441</v>
      </c>
      <c r="I183" s="55" t="s">
        <v>1429</v>
      </c>
      <c r="J183" s="55" t="s">
        <v>1429</v>
      </c>
      <c r="K183" s="56" t="s">
        <v>1429</v>
      </c>
      <c r="L183" s="54" t="s">
        <v>1580</v>
      </c>
      <c r="M183" s="55" t="s">
        <v>1590</v>
      </c>
      <c r="N183" s="55" t="s">
        <v>1429</v>
      </c>
      <c r="O183" s="55" t="s">
        <v>1429</v>
      </c>
      <c r="P183" s="56" t="s">
        <v>1429</v>
      </c>
      <c r="Q183" s="6" t="s">
        <v>121</v>
      </c>
      <c r="R183" s="52" t="s">
        <v>113</v>
      </c>
      <c r="S183" s="52" t="s">
        <v>99</v>
      </c>
      <c r="T183" s="52" t="s">
        <v>100</v>
      </c>
      <c r="U183" s="57" t="s">
        <v>113</v>
      </c>
      <c r="V183" s="146" t="s">
        <v>2077</v>
      </c>
      <c r="W183" s="51" t="s">
        <v>2073</v>
      </c>
      <c r="X183" s="130" t="s">
        <v>1429</v>
      </c>
      <c r="Y183" s="130" t="s">
        <v>1429</v>
      </c>
      <c r="Z183" s="51" t="s">
        <v>1585</v>
      </c>
      <c r="AA183" s="51" t="s">
        <v>1586</v>
      </c>
      <c r="AB183" s="51" t="s">
        <v>1435</v>
      </c>
      <c r="AC183" s="51" t="s">
        <v>1674</v>
      </c>
      <c r="AD183" s="59" t="str">
        <f t="shared" si="30"/>
        <v>UARTA</v>
      </c>
      <c r="AE183" s="66"/>
      <c r="AF183" s="61" t="str">
        <f t="shared" si="31"/>
        <v>PULL_UP</v>
      </c>
      <c r="AG183" s="61" t="str">
        <f t="shared" si="26"/>
        <v>TRISTATE</v>
      </c>
      <c r="AH183" s="61" t="str">
        <f t="shared" si="32"/>
        <v>ENABLE</v>
      </c>
      <c r="AI183" s="67" t="str">
        <f t="shared" si="28"/>
        <v>N/A</v>
      </c>
      <c r="AJ183" s="176" t="b">
        <v>1</v>
      </c>
      <c r="AK183" s="176" t="b">
        <v>1</v>
      </c>
      <c r="AL183" s="176" t="b">
        <v>1</v>
      </c>
      <c r="AM183" s="176" t="b">
        <v>1</v>
      </c>
      <c r="AN183" s="176" t="b">
        <v>1</v>
      </c>
      <c r="AO183" s="176" t="b">
        <v>1</v>
      </c>
      <c r="AP183" s="64" t="str">
        <f t="shared" si="34"/>
        <v>VALID</v>
      </c>
      <c r="AQ183" s="227" t="s">
        <v>1441</v>
      </c>
      <c r="AR183" s="182" t="s">
        <v>3496</v>
      </c>
      <c r="AS183" s="181" t="s">
        <v>3497</v>
      </c>
      <c r="AT183" s="5"/>
      <c r="AU183" s="5"/>
      <c r="AV183" s="5"/>
      <c r="AW183" s="181" t="s">
        <v>125</v>
      </c>
      <c r="AX183" s="284"/>
      <c r="AY183" s="181"/>
      <c r="AZ183" s="181"/>
      <c r="BA183" s="7"/>
      <c r="BB183" s="212"/>
      <c r="BC183" s="10" t="s">
        <v>1441</v>
      </c>
      <c r="BD183" s="238"/>
      <c r="BE183" s="239"/>
      <c r="BF183" s="239"/>
      <c r="BG183" s="239"/>
      <c r="BH183" s="239"/>
      <c r="BI183" s="239"/>
      <c r="BJ183" s="239"/>
      <c r="BK183" s="239"/>
      <c r="BL183" s="239"/>
      <c r="BM183" s="239"/>
      <c r="BN183" s="239"/>
      <c r="BO183" s="239"/>
      <c r="BP183" s="239"/>
      <c r="BQ183" s="239"/>
      <c r="BR183" s="239"/>
      <c r="BS183" s="239"/>
      <c r="BT183" s="239"/>
      <c r="BU183" s="239"/>
      <c r="BV183" s="239"/>
      <c r="BW183" s="239"/>
      <c r="BX183" s="239"/>
      <c r="BY183" s="239"/>
      <c r="BZ183" s="239"/>
      <c r="CA183" s="239"/>
      <c r="CB183" s="239"/>
      <c r="CC183" s="239"/>
      <c r="CD183" s="239"/>
      <c r="CE183" s="239"/>
    </row>
    <row r="184" spans="1:83" ht="12.95" customHeight="1">
      <c r="A184" s="21" t="s">
        <v>3469</v>
      </c>
      <c r="B184" s="21" t="s">
        <v>2340</v>
      </c>
      <c r="C184" s="51" t="s">
        <v>311</v>
      </c>
      <c r="D184" s="52" t="s">
        <v>2078</v>
      </c>
      <c r="E184" s="52" t="s">
        <v>1752</v>
      </c>
      <c r="F184" s="53" t="s">
        <v>542</v>
      </c>
      <c r="G184" s="179" t="s">
        <v>1442</v>
      </c>
      <c r="H184" s="180" t="s">
        <v>1551</v>
      </c>
      <c r="I184" s="55" t="s">
        <v>1429</v>
      </c>
      <c r="J184" s="55" t="s">
        <v>1429</v>
      </c>
      <c r="K184" s="56" t="s">
        <v>1429</v>
      </c>
      <c r="L184" s="54" t="s">
        <v>1580</v>
      </c>
      <c r="M184" s="55" t="s">
        <v>1581</v>
      </c>
      <c r="N184" s="55" t="s">
        <v>1429</v>
      </c>
      <c r="O184" s="55" t="s">
        <v>1429</v>
      </c>
      <c r="P184" s="56" t="s">
        <v>1429</v>
      </c>
      <c r="Q184" s="6" t="s">
        <v>121</v>
      </c>
      <c r="R184" s="52" t="s">
        <v>113</v>
      </c>
      <c r="S184" s="52" t="s">
        <v>99</v>
      </c>
      <c r="T184" s="52" t="s">
        <v>100</v>
      </c>
      <c r="U184" s="57" t="s">
        <v>113</v>
      </c>
      <c r="V184" s="146" t="s">
        <v>2079</v>
      </c>
      <c r="W184" s="51" t="s">
        <v>2073</v>
      </c>
      <c r="X184" s="130" t="s">
        <v>1429</v>
      </c>
      <c r="Y184" s="130" t="s">
        <v>2080</v>
      </c>
      <c r="Z184" s="51" t="s">
        <v>1585</v>
      </c>
      <c r="AA184" s="51" t="s">
        <v>1586</v>
      </c>
      <c r="AB184" s="51" t="s">
        <v>1435</v>
      </c>
      <c r="AC184" s="51" t="s">
        <v>1587</v>
      </c>
      <c r="AD184" s="59" t="str">
        <f t="shared" si="30"/>
        <v>UARTA</v>
      </c>
      <c r="AE184" s="66"/>
      <c r="AF184" s="61" t="str">
        <f t="shared" si="31"/>
        <v>NORMAL</v>
      </c>
      <c r="AG184" s="61" t="str">
        <f t="shared" si="26"/>
        <v>NORMAL</v>
      </c>
      <c r="AH184" s="61" t="str">
        <f t="shared" si="32"/>
        <v>DISABLE</v>
      </c>
      <c r="AI184" s="67" t="str">
        <f t="shared" si="28"/>
        <v>N/A</v>
      </c>
      <c r="AJ184" s="176" t="b">
        <v>1</v>
      </c>
      <c r="AK184" s="176" t="b">
        <v>1</v>
      </c>
      <c r="AL184" s="176" t="b">
        <v>1</v>
      </c>
      <c r="AM184" s="176" t="b">
        <v>1</v>
      </c>
      <c r="AN184" s="176" t="b">
        <v>1</v>
      </c>
      <c r="AO184" s="176" t="b">
        <v>1</v>
      </c>
      <c r="AP184" s="64" t="str">
        <f t="shared" si="34"/>
        <v>VALID</v>
      </c>
      <c r="AQ184" s="227" t="s">
        <v>1551</v>
      </c>
      <c r="AR184" s="182" t="s">
        <v>3495</v>
      </c>
      <c r="AS184" s="181"/>
      <c r="AT184" s="5"/>
      <c r="AU184" s="5"/>
      <c r="AV184" s="5"/>
      <c r="AW184" s="181" t="s">
        <v>125</v>
      </c>
      <c r="AX184" s="284"/>
      <c r="AY184" s="181"/>
      <c r="AZ184" s="181"/>
      <c r="BA184" s="7"/>
      <c r="BB184" s="212"/>
      <c r="BC184" s="10" t="s">
        <v>1551</v>
      </c>
      <c r="BD184" s="240"/>
      <c r="BE184" s="239"/>
      <c r="BF184" s="239"/>
      <c r="BG184" s="239"/>
      <c r="BH184" s="239"/>
      <c r="BI184" s="239"/>
      <c r="BJ184" s="239"/>
      <c r="BK184" s="239"/>
      <c r="BL184" s="239"/>
      <c r="BM184" s="239"/>
      <c r="BN184" s="239"/>
      <c r="BO184" s="239"/>
      <c r="BP184" s="239"/>
      <c r="BQ184" s="239"/>
      <c r="BR184" s="239"/>
      <c r="BS184" s="239"/>
      <c r="BT184" s="239"/>
      <c r="BU184" s="239"/>
      <c r="BV184" s="239"/>
      <c r="BW184" s="239"/>
      <c r="BX184" s="239"/>
      <c r="BY184" s="239"/>
      <c r="BZ184" s="239"/>
      <c r="CA184" s="239"/>
      <c r="CB184" s="239"/>
      <c r="CC184" s="239"/>
      <c r="CD184" s="239"/>
      <c r="CE184" s="239"/>
    </row>
    <row r="185" spans="1:83" ht="12.95" customHeight="1">
      <c r="A185" s="21" t="s">
        <v>3468</v>
      </c>
      <c r="B185" s="21" t="s">
        <v>2427</v>
      </c>
      <c r="C185" s="51" t="s">
        <v>312</v>
      </c>
      <c r="D185" s="52" t="s">
        <v>2081</v>
      </c>
      <c r="E185" s="52" t="s">
        <v>2082</v>
      </c>
      <c r="F185" s="53" t="s">
        <v>543</v>
      </c>
      <c r="G185" s="179" t="s">
        <v>1443</v>
      </c>
      <c r="H185" s="180" t="s">
        <v>1552</v>
      </c>
      <c r="I185" s="55" t="s">
        <v>1429</v>
      </c>
      <c r="J185" s="55" t="s">
        <v>1429</v>
      </c>
      <c r="K185" s="56" t="s">
        <v>1429</v>
      </c>
      <c r="L185" s="54" t="s">
        <v>1580</v>
      </c>
      <c r="M185" s="55" t="s">
        <v>1590</v>
      </c>
      <c r="N185" s="55" t="s">
        <v>1429</v>
      </c>
      <c r="O185" s="55" t="s">
        <v>1429</v>
      </c>
      <c r="P185" s="56" t="s">
        <v>1429</v>
      </c>
      <c r="Q185" s="6" t="s">
        <v>121</v>
      </c>
      <c r="R185" s="52" t="s">
        <v>113</v>
      </c>
      <c r="S185" s="52" t="s">
        <v>99</v>
      </c>
      <c r="T185" s="52" t="s">
        <v>100</v>
      </c>
      <c r="U185" s="57" t="s">
        <v>113</v>
      </c>
      <c r="V185" s="146" t="s">
        <v>2083</v>
      </c>
      <c r="W185" s="51" t="s">
        <v>2073</v>
      </c>
      <c r="X185" s="130" t="s">
        <v>1429</v>
      </c>
      <c r="Y185" s="130" t="s">
        <v>1429</v>
      </c>
      <c r="Z185" s="51" t="s">
        <v>1585</v>
      </c>
      <c r="AA185" s="51" t="s">
        <v>1586</v>
      </c>
      <c r="AB185" s="51" t="s">
        <v>1435</v>
      </c>
      <c r="AC185" s="51" t="s">
        <v>1587</v>
      </c>
      <c r="AD185" s="59" t="str">
        <f t="shared" si="30"/>
        <v>UARTA</v>
      </c>
      <c r="AE185" s="66"/>
      <c r="AF185" s="61" t="str">
        <f t="shared" si="31"/>
        <v>NORMAL</v>
      </c>
      <c r="AG185" s="61" t="str">
        <f t="shared" si="26"/>
        <v>TRISTATE</v>
      </c>
      <c r="AH185" s="61" t="str">
        <f t="shared" si="32"/>
        <v>ENABLE</v>
      </c>
      <c r="AI185" s="67" t="str">
        <f t="shared" si="28"/>
        <v>N/A</v>
      </c>
      <c r="AJ185" s="176" t="b">
        <v>1</v>
      </c>
      <c r="AK185" s="176" t="b">
        <v>1</v>
      </c>
      <c r="AL185" s="176" t="b">
        <v>1</v>
      </c>
      <c r="AM185" s="176" t="b">
        <v>1</v>
      </c>
      <c r="AN185" s="176" t="b">
        <v>1</v>
      </c>
      <c r="AO185" s="176" t="b">
        <v>1</v>
      </c>
      <c r="AP185" s="64" t="str">
        <f t="shared" si="34"/>
        <v>VALID</v>
      </c>
      <c r="AQ185" s="227" t="s">
        <v>1552</v>
      </c>
      <c r="AR185" s="182" t="s">
        <v>3496</v>
      </c>
      <c r="AS185" s="181"/>
      <c r="AT185" s="5"/>
      <c r="AU185" s="5"/>
      <c r="AV185" s="5"/>
      <c r="AW185" s="181" t="s">
        <v>125</v>
      </c>
      <c r="AX185" s="284"/>
      <c r="AY185" s="181"/>
      <c r="AZ185" s="181"/>
      <c r="BA185" s="7"/>
      <c r="BB185" s="212"/>
      <c r="BC185" s="10" t="s">
        <v>1552</v>
      </c>
      <c r="BD185" s="240"/>
      <c r="BE185" s="239"/>
      <c r="BF185" s="239"/>
      <c r="BG185" s="239"/>
      <c r="BH185" s="239"/>
      <c r="BI185" s="239"/>
      <c r="BJ185" s="239"/>
      <c r="BK185" s="239"/>
      <c r="BL185" s="239"/>
      <c r="BM185" s="239"/>
      <c r="BN185" s="239"/>
      <c r="BO185" s="239"/>
      <c r="BP185" s="239"/>
      <c r="BQ185" s="239"/>
      <c r="BR185" s="239"/>
      <c r="BS185" s="239"/>
      <c r="BT185" s="239"/>
      <c r="BU185" s="239"/>
      <c r="BV185" s="239"/>
      <c r="BW185" s="239"/>
      <c r="BX185" s="239"/>
      <c r="BY185" s="239"/>
      <c r="BZ185" s="239"/>
      <c r="CA185" s="239"/>
      <c r="CB185" s="239"/>
      <c r="CC185" s="239"/>
      <c r="CD185" s="239"/>
      <c r="CE185" s="239"/>
    </row>
    <row r="186" spans="1:83" ht="12.95" customHeight="1">
      <c r="A186" s="21" t="s">
        <v>1417</v>
      </c>
      <c r="B186" s="21" t="s">
        <v>2335</v>
      </c>
      <c r="C186" s="51" t="s">
        <v>1006</v>
      </c>
      <c r="D186" s="52" t="s">
        <v>2084</v>
      </c>
      <c r="E186" s="52" t="s">
        <v>1741</v>
      </c>
      <c r="F186" s="53" t="s">
        <v>1274</v>
      </c>
      <c r="G186" s="179" t="s">
        <v>1429</v>
      </c>
      <c r="H186" s="180" t="s">
        <v>1006</v>
      </c>
      <c r="I186" s="55" t="s">
        <v>1429</v>
      </c>
      <c r="J186" s="55" t="s">
        <v>1429</v>
      </c>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7"/>
      <c r="AE186" s="66"/>
      <c r="AF186" s="61" t="str">
        <f t="shared" si="31"/>
        <v>NORMAL</v>
      </c>
      <c r="AG186" s="61" t="str">
        <f t="shared" si="26"/>
        <v>TRISTATE</v>
      </c>
      <c r="AH186" s="61" t="str">
        <f t="shared" si="32"/>
        <v>ENABLE</v>
      </c>
      <c r="AI186" s="67" t="str">
        <f t="shared" si="28"/>
        <v>N/A</v>
      </c>
      <c r="AJ186" s="176" t="b">
        <v>1</v>
      </c>
      <c r="AK186" s="176" t="b">
        <v>1</v>
      </c>
      <c r="AL186" s="176" t="b">
        <v>1</v>
      </c>
      <c r="AM186" s="176" t="b">
        <v>1</v>
      </c>
      <c r="AN186" s="176" t="b">
        <v>1</v>
      </c>
      <c r="AO186" s="176" t="b">
        <v>1</v>
      </c>
      <c r="AP186" s="64" t="str">
        <f t="shared" si="34"/>
        <v>VALID</v>
      </c>
      <c r="AQ186" s="226" t="s">
        <v>1006</v>
      </c>
      <c r="AR186" s="182" t="s">
        <v>3496</v>
      </c>
      <c r="AS186" s="181"/>
      <c r="AT186" s="5"/>
      <c r="AU186" s="5"/>
      <c r="AV186" s="5"/>
      <c r="AW186" s="5"/>
      <c r="AX186" s="284"/>
      <c r="AY186" s="181"/>
      <c r="AZ186" s="181"/>
      <c r="BA186" s="7"/>
      <c r="BB186" s="212"/>
      <c r="BC186" s="10" t="s">
        <v>1006</v>
      </c>
      <c r="BD186" s="238"/>
      <c r="BE186" s="239"/>
      <c r="BF186" s="239"/>
      <c r="BG186" s="239"/>
      <c r="BH186" s="239"/>
      <c r="BI186" s="239"/>
      <c r="BJ186" s="239"/>
      <c r="BK186" s="239"/>
      <c r="BL186" s="239"/>
      <c r="BM186" s="239"/>
      <c r="BN186" s="239"/>
      <c r="BO186" s="239"/>
      <c r="BP186" s="239"/>
      <c r="BQ186" s="239"/>
      <c r="BR186" s="239"/>
      <c r="BS186" s="239"/>
      <c r="BT186" s="239"/>
      <c r="BU186" s="239"/>
      <c r="BV186" s="239"/>
      <c r="BW186" s="239"/>
      <c r="BX186" s="239"/>
      <c r="BY186" s="239"/>
      <c r="BZ186" s="239"/>
      <c r="CA186" s="239"/>
      <c r="CB186" s="239"/>
      <c r="CC186" s="239"/>
      <c r="CD186" s="239"/>
      <c r="CE186" s="239"/>
    </row>
    <row r="187" spans="1:83" ht="12.95" customHeight="1">
      <c r="A187" s="21" t="s">
        <v>1416</v>
      </c>
      <c r="B187" s="21" t="s">
        <v>3564</v>
      </c>
      <c r="C187" s="51" t="s">
        <v>150</v>
      </c>
      <c r="D187" s="52" t="s">
        <v>2082</v>
      </c>
      <c r="E187" s="52" t="s">
        <v>2086</v>
      </c>
      <c r="F187" s="53" t="s">
        <v>544</v>
      </c>
      <c r="G187" s="179" t="s">
        <v>1429</v>
      </c>
      <c r="H187" s="180" t="s">
        <v>150</v>
      </c>
      <c r="I187" s="55" t="s">
        <v>1429</v>
      </c>
      <c r="J187" s="55" t="s">
        <v>1429</v>
      </c>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5"/>
      <c r="AE187" s="66"/>
      <c r="AF187" s="61" t="str">
        <f t="shared" si="31"/>
        <v>PULL_DOWN</v>
      </c>
      <c r="AG187" s="61" t="str">
        <f t="shared" si="26"/>
        <v>TRISTATE</v>
      </c>
      <c r="AH187" s="61" t="str">
        <f t="shared" si="32"/>
        <v>ENABLE</v>
      </c>
      <c r="AI187" s="67" t="str">
        <f t="shared" si="28"/>
        <v>N/A</v>
      </c>
      <c r="AJ187" s="176" t="b">
        <v>1</v>
      </c>
      <c r="AK187" s="176" t="b">
        <v>1</v>
      </c>
      <c r="AL187" s="176" t="b">
        <v>1</v>
      </c>
      <c r="AM187" s="176" t="b">
        <v>1</v>
      </c>
      <c r="AN187" s="176" t="b">
        <v>1</v>
      </c>
      <c r="AO187" s="176" t="b">
        <v>1</v>
      </c>
      <c r="AP187" s="64" t="str">
        <f t="shared" si="34"/>
        <v>VALID</v>
      </c>
      <c r="AQ187" s="226" t="s">
        <v>150</v>
      </c>
      <c r="AR187" s="182" t="s">
        <v>3496</v>
      </c>
      <c r="AS187" s="181" t="s">
        <v>3503</v>
      </c>
      <c r="AT187" s="5"/>
      <c r="AU187" s="5"/>
      <c r="AV187" s="5"/>
      <c r="AW187" s="5"/>
      <c r="AX187" s="284"/>
      <c r="AY187" s="181"/>
      <c r="AZ187" s="181"/>
      <c r="BA187" s="7"/>
      <c r="BB187" s="212"/>
      <c r="BC187" s="10" t="s">
        <v>150</v>
      </c>
      <c r="BD187" s="238"/>
      <c r="BE187" s="239"/>
      <c r="BF187" s="239"/>
      <c r="BG187" s="239"/>
      <c r="BH187" s="239"/>
      <c r="BI187" s="239"/>
      <c r="BJ187" s="239"/>
      <c r="BK187" s="239"/>
      <c r="BL187" s="239"/>
      <c r="BM187" s="239"/>
      <c r="BN187" s="239"/>
      <c r="BO187" s="239"/>
      <c r="BP187" s="239"/>
      <c r="BQ187" s="239"/>
      <c r="BR187" s="239"/>
      <c r="BS187" s="239"/>
      <c r="BT187" s="239"/>
      <c r="BU187" s="239"/>
      <c r="BV187" s="239"/>
      <c r="BW187" s="239"/>
      <c r="BX187" s="239"/>
      <c r="BY187" s="239"/>
      <c r="BZ187" s="239"/>
      <c r="CA187" s="239"/>
      <c r="CB187" s="239"/>
      <c r="CC187" s="239"/>
      <c r="CD187" s="239"/>
      <c r="CE187" s="239"/>
    </row>
    <row r="188" spans="1:83" ht="12.95" customHeight="1">
      <c r="A188" s="21" t="s">
        <v>151</v>
      </c>
      <c r="B188" s="21" t="s">
        <v>3554</v>
      </c>
      <c r="C188" s="51" t="s">
        <v>151</v>
      </c>
      <c r="D188" s="52" t="s">
        <v>2088</v>
      </c>
      <c r="E188" s="52" t="s">
        <v>1748</v>
      </c>
      <c r="F188" s="53" t="s">
        <v>545</v>
      </c>
      <c r="G188" s="179" t="s">
        <v>1429</v>
      </c>
      <c r="H188" s="180" t="s">
        <v>151</v>
      </c>
      <c r="I188" s="55" t="s">
        <v>1429</v>
      </c>
      <c r="J188" s="55" t="s">
        <v>1429</v>
      </c>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5"/>
      <c r="AE188" s="66"/>
      <c r="AF188" s="61" t="str">
        <f t="shared" si="31"/>
        <v>NORMAL</v>
      </c>
      <c r="AG188" s="61" t="str">
        <f t="shared" si="26"/>
        <v>NORMAL</v>
      </c>
      <c r="AH188" s="61" t="str">
        <f t="shared" si="32"/>
        <v>DISABLE</v>
      </c>
      <c r="AI188" s="67" t="str">
        <f t="shared" si="28"/>
        <v>N/A</v>
      </c>
      <c r="AJ188" s="176" t="b">
        <v>1</v>
      </c>
      <c r="AK188" s="176" t="b">
        <v>1</v>
      </c>
      <c r="AL188" s="176" t="b">
        <v>1</v>
      </c>
      <c r="AM188" s="176" t="b">
        <v>1</v>
      </c>
      <c r="AN188" s="176" t="b">
        <v>1</v>
      </c>
      <c r="AO188" s="176" t="b">
        <v>1</v>
      </c>
      <c r="AP188" s="64" t="str">
        <f t="shared" si="34"/>
        <v>VALID</v>
      </c>
      <c r="AQ188" s="226" t="s">
        <v>151</v>
      </c>
      <c r="AR188" s="182" t="s">
        <v>3495</v>
      </c>
      <c r="AS188" s="181"/>
      <c r="AT188" s="5"/>
      <c r="AU188" s="5"/>
      <c r="AV188" s="5"/>
      <c r="AW188" s="5"/>
      <c r="AX188" s="284"/>
      <c r="AY188" s="181"/>
      <c r="AZ188" s="181"/>
      <c r="BA188" s="7"/>
      <c r="BB188" s="212"/>
      <c r="BC188" s="10" t="s">
        <v>151</v>
      </c>
      <c r="BD188" s="238"/>
      <c r="BE188" s="239"/>
      <c r="BF188" s="239"/>
      <c r="BG188" s="239"/>
      <c r="BH188" s="239"/>
      <c r="BI188" s="239"/>
      <c r="BJ188" s="239"/>
      <c r="BK188" s="239"/>
      <c r="BL188" s="239"/>
      <c r="BM188" s="239"/>
      <c r="BN188" s="239"/>
      <c r="BO188" s="239"/>
      <c r="BP188" s="239"/>
      <c r="BQ188" s="239"/>
      <c r="BR188" s="239"/>
      <c r="BS188" s="239"/>
      <c r="BT188" s="239"/>
      <c r="BU188" s="239"/>
      <c r="BV188" s="239"/>
      <c r="BW188" s="239"/>
      <c r="BX188" s="239"/>
      <c r="BY188" s="239"/>
      <c r="BZ188" s="239"/>
      <c r="CA188" s="239"/>
      <c r="CB188" s="239"/>
      <c r="CC188" s="239"/>
      <c r="CD188" s="239"/>
      <c r="CE188" s="239"/>
    </row>
    <row r="189" spans="1:83" ht="12.95" customHeight="1">
      <c r="A189" s="21" t="s">
        <v>152</v>
      </c>
      <c r="B189" s="21" t="s">
        <v>2333</v>
      </c>
      <c r="C189" s="51" t="s">
        <v>152</v>
      </c>
      <c r="D189" s="52" t="s">
        <v>2090</v>
      </c>
      <c r="E189" s="52" t="s">
        <v>2091</v>
      </c>
      <c r="F189" s="53" t="s">
        <v>546</v>
      </c>
      <c r="G189" s="179" t="s">
        <v>1429</v>
      </c>
      <c r="H189" s="180" t="s">
        <v>152</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5"/>
      <c r="AE189" s="66"/>
      <c r="AF189" s="61" t="str">
        <f t="shared" si="31"/>
        <v>PULL_UP</v>
      </c>
      <c r="AG189" s="61" t="str">
        <f t="shared" si="26"/>
        <v>TRISTATE</v>
      </c>
      <c r="AH189" s="61" t="str">
        <f t="shared" si="32"/>
        <v>ENABLE</v>
      </c>
      <c r="AI189" s="67" t="str">
        <f t="shared" si="28"/>
        <v>N/A</v>
      </c>
      <c r="AJ189" s="176" t="b">
        <v>1</v>
      </c>
      <c r="AK189" s="176" t="b">
        <v>1</v>
      </c>
      <c r="AL189" s="176" t="b">
        <v>1</v>
      </c>
      <c r="AM189" s="176" t="b">
        <v>1</v>
      </c>
      <c r="AN189" s="176" t="b">
        <v>1</v>
      </c>
      <c r="AO189" s="176" t="b">
        <v>1</v>
      </c>
      <c r="AP189" s="64" t="str">
        <f t="shared" si="34"/>
        <v>VALID</v>
      </c>
      <c r="AQ189" s="226" t="s">
        <v>152</v>
      </c>
      <c r="AR189" s="182" t="s">
        <v>3496</v>
      </c>
      <c r="AS189" s="181" t="s">
        <v>3497</v>
      </c>
      <c r="AT189" s="5"/>
      <c r="AU189" s="5"/>
      <c r="AV189" s="5"/>
      <c r="AW189" s="5"/>
      <c r="AX189" s="284"/>
      <c r="AY189" s="181"/>
      <c r="AZ189" s="181"/>
      <c r="BA189" s="7"/>
      <c r="BB189" s="212"/>
      <c r="BC189" s="10" t="s">
        <v>152</v>
      </c>
      <c r="BD189" s="238"/>
      <c r="BE189" s="239"/>
      <c r="BF189" s="239"/>
      <c r="BG189" s="239"/>
      <c r="BH189" s="239"/>
      <c r="BI189" s="239"/>
      <c r="BJ189" s="239"/>
      <c r="BK189" s="239"/>
      <c r="BL189" s="239"/>
      <c r="BM189" s="239"/>
      <c r="BN189" s="239"/>
      <c r="BO189" s="239"/>
      <c r="BP189" s="239"/>
      <c r="BQ189" s="239"/>
      <c r="BR189" s="239"/>
      <c r="BS189" s="239"/>
      <c r="BT189" s="239"/>
      <c r="BU189" s="239"/>
      <c r="BV189" s="239"/>
      <c r="BW189" s="239"/>
      <c r="BX189" s="239"/>
      <c r="BY189" s="239"/>
      <c r="BZ189" s="239"/>
      <c r="CA189" s="239"/>
      <c r="CB189" s="239"/>
      <c r="CC189" s="239"/>
      <c r="CD189" s="239"/>
      <c r="CE189" s="239"/>
    </row>
    <row r="190" spans="1:83" ht="12.95" customHeight="1">
      <c r="A190" s="21" t="s">
        <v>153</v>
      </c>
      <c r="B190" s="21" t="s">
        <v>2337</v>
      </c>
      <c r="C190" s="51" t="s">
        <v>153</v>
      </c>
      <c r="D190" s="52" t="s">
        <v>2093</v>
      </c>
      <c r="E190" s="52" t="s">
        <v>2094</v>
      </c>
      <c r="F190" s="53" t="s">
        <v>547</v>
      </c>
      <c r="G190" s="179" t="s">
        <v>1429</v>
      </c>
      <c r="H190" s="180" t="s">
        <v>153</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5"/>
      <c r="AE190" s="66"/>
      <c r="AF190" s="61" t="str">
        <f t="shared" si="31"/>
        <v>PULL_DOWN</v>
      </c>
      <c r="AG190" s="61" t="str">
        <f t="shared" si="26"/>
        <v>TRISTATE</v>
      </c>
      <c r="AH190" s="61" t="str">
        <f t="shared" si="32"/>
        <v>ENABLE</v>
      </c>
      <c r="AI190" s="67" t="str">
        <f t="shared" si="28"/>
        <v>N/A</v>
      </c>
      <c r="AJ190" s="176" t="b">
        <v>1</v>
      </c>
      <c r="AK190" s="176" t="b">
        <v>1</v>
      </c>
      <c r="AL190" s="176" t="b">
        <v>1</v>
      </c>
      <c r="AM190" s="176" t="b">
        <v>1</v>
      </c>
      <c r="AN190" s="176" t="b">
        <v>1</v>
      </c>
      <c r="AO190" s="176" t="b">
        <v>1</v>
      </c>
      <c r="AP190" s="64" t="str">
        <f t="shared" si="34"/>
        <v>VALID</v>
      </c>
      <c r="AQ190" s="226" t="s">
        <v>153</v>
      </c>
      <c r="AR190" s="182" t="s">
        <v>3496</v>
      </c>
      <c r="AS190" s="181" t="s">
        <v>3503</v>
      </c>
      <c r="AT190" s="5"/>
      <c r="AU190" s="5"/>
      <c r="AV190" s="5"/>
      <c r="AW190" s="5"/>
      <c r="AX190" s="284"/>
      <c r="AY190" s="181"/>
      <c r="AZ190" s="181"/>
      <c r="BA190" s="7"/>
      <c r="BB190" s="212"/>
      <c r="BC190" s="10" t="s">
        <v>153</v>
      </c>
      <c r="BD190" s="238"/>
      <c r="BE190" s="239"/>
      <c r="BF190" s="239"/>
      <c r="BG190" s="239"/>
      <c r="BH190" s="239"/>
      <c r="BI190" s="239"/>
      <c r="BJ190" s="239"/>
      <c r="BK190" s="239"/>
      <c r="BL190" s="239"/>
      <c r="BM190" s="239"/>
      <c r="BN190" s="239"/>
      <c r="BO190" s="239"/>
      <c r="BP190" s="239"/>
      <c r="BQ190" s="239"/>
      <c r="BR190" s="239"/>
      <c r="BS190" s="239"/>
      <c r="BT190" s="239"/>
      <c r="BU190" s="239"/>
      <c r="BV190" s="239"/>
      <c r="BW190" s="239"/>
      <c r="BX190" s="239"/>
      <c r="BY190" s="239"/>
      <c r="BZ190" s="239"/>
      <c r="CA190" s="239"/>
      <c r="CB190" s="239"/>
      <c r="CC190" s="239"/>
      <c r="CD190" s="239"/>
      <c r="CE190" s="239"/>
    </row>
    <row r="191" spans="1:83" ht="12.95" customHeight="1">
      <c r="A191" s="21" t="s">
        <v>154</v>
      </c>
      <c r="B191" s="21" t="s">
        <v>2344</v>
      </c>
      <c r="C191" s="51" t="s">
        <v>154</v>
      </c>
      <c r="D191" s="52" t="s">
        <v>2096</v>
      </c>
      <c r="E191" s="52" t="s">
        <v>2097</v>
      </c>
      <c r="F191" s="53" t="s">
        <v>548</v>
      </c>
      <c r="G191" s="179" t="s">
        <v>1429</v>
      </c>
      <c r="H191" s="180" t="s">
        <v>154</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5"/>
      <c r="AE191" s="66"/>
      <c r="AF191" s="61" t="str">
        <f t="shared" si="31"/>
        <v>PULL_UP</v>
      </c>
      <c r="AG191" s="61" t="str">
        <f t="shared" ref="AG191:AG247" si="35">IF($AR191="Input", "TRISTATE", IF($AS191="Z","TRISTATE",IF($AQ191=$F191,"TRISTATE","NORMAL")))</f>
        <v>TRISTATE</v>
      </c>
      <c r="AH191" s="61" t="str">
        <f t="shared" si="32"/>
        <v>ENABLE</v>
      </c>
      <c r="AI191" s="67" t="str">
        <f t="shared" si="28"/>
        <v>N/A</v>
      </c>
      <c r="AJ191" s="176" t="b">
        <v>1</v>
      </c>
      <c r="AK191" s="176" t="b">
        <v>1</v>
      </c>
      <c r="AL191" s="176" t="b">
        <v>1</v>
      </c>
      <c r="AM191" s="176" t="b">
        <v>1</v>
      </c>
      <c r="AN191" s="176" t="b">
        <v>1</v>
      </c>
      <c r="AO191" s="176" t="b">
        <v>1</v>
      </c>
      <c r="AP191" s="64" t="str">
        <f t="shared" si="34"/>
        <v>VALID</v>
      </c>
      <c r="AQ191" s="226" t="s">
        <v>154</v>
      </c>
      <c r="AR191" s="182" t="s">
        <v>3496</v>
      </c>
      <c r="AS191" s="181" t="s">
        <v>3497</v>
      </c>
      <c r="AT191" s="5"/>
      <c r="AU191" s="5"/>
      <c r="AV191" s="5"/>
      <c r="AW191" s="5"/>
      <c r="AX191" s="284"/>
      <c r="AY191" s="181"/>
      <c r="AZ191" s="181"/>
      <c r="BA191" s="7"/>
      <c r="BB191" s="212"/>
      <c r="BC191" s="10" t="s">
        <v>154</v>
      </c>
      <c r="BD191" s="238"/>
      <c r="BE191" s="239"/>
      <c r="BF191" s="239"/>
      <c r="BG191" s="239"/>
      <c r="BH191" s="239"/>
      <c r="BI191" s="239"/>
      <c r="BJ191" s="239"/>
      <c r="BK191" s="239"/>
      <c r="BL191" s="239"/>
      <c r="BM191" s="239"/>
      <c r="BN191" s="239"/>
      <c r="BO191" s="239"/>
      <c r="BP191" s="239"/>
      <c r="BQ191" s="239"/>
      <c r="BR191" s="239"/>
      <c r="BS191" s="239"/>
      <c r="BT191" s="239"/>
      <c r="BU191" s="239"/>
      <c r="BV191" s="239"/>
      <c r="BW191" s="239"/>
      <c r="BX191" s="239"/>
      <c r="BY191" s="239"/>
      <c r="BZ191" s="239"/>
      <c r="CA191" s="239"/>
      <c r="CB191" s="239"/>
      <c r="CC191" s="239"/>
      <c r="CD191" s="239"/>
      <c r="CE191" s="239"/>
    </row>
    <row r="192" spans="1:83" s="50" customFormat="1" ht="18" customHeight="1">
      <c r="A192" s="171" t="s">
        <v>954</v>
      </c>
      <c r="B192" s="171"/>
      <c r="C192" s="171"/>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t="b">
        <v>0</v>
      </c>
      <c r="AK192" s="47"/>
      <c r="AL192" s="47"/>
      <c r="AM192" s="47"/>
      <c r="AN192" s="47"/>
      <c r="AO192" s="47"/>
      <c r="AP192" s="47"/>
      <c r="AQ192" s="72"/>
      <c r="AR192" s="72"/>
      <c r="AS192" s="73"/>
      <c r="AT192" s="73"/>
      <c r="AU192" s="73"/>
      <c r="AV192" s="73"/>
      <c r="AW192" s="73"/>
      <c r="AX192" s="288"/>
      <c r="AY192" s="73"/>
      <c r="AZ192" s="73"/>
      <c r="BA192" s="73"/>
      <c r="BB192" s="168" t="s">
        <v>49</v>
      </c>
      <c r="BC192" s="172"/>
      <c r="BD192" s="169"/>
      <c r="BE192" s="308"/>
      <c r="BF192" s="243"/>
      <c r="BG192" s="243"/>
      <c r="BH192" s="243"/>
      <c r="BI192" s="243"/>
      <c r="BJ192" s="243"/>
      <c r="BK192" s="243"/>
      <c r="BL192" s="243"/>
      <c r="BM192" s="243"/>
      <c r="BN192" s="243"/>
      <c r="BO192" s="243"/>
      <c r="BP192" s="243"/>
      <c r="BQ192" s="243"/>
      <c r="BR192" s="243"/>
      <c r="BS192" s="243"/>
      <c r="BT192" s="243"/>
      <c r="BU192" s="243"/>
      <c r="BV192" s="243"/>
      <c r="BW192" s="243"/>
      <c r="BX192" s="243"/>
      <c r="BY192" s="243"/>
      <c r="BZ192" s="243"/>
      <c r="CA192" s="243"/>
      <c r="CB192" s="243"/>
      <c r="CC192" s="243"/>
      <c r="CD192" s="243"/>
      <c r="CE192" s="243"/>
    </row>
    <row r="193" spans="1:83" ht="12.95" customHeight="1">
      <c r="A193" s="21" t="s">
        <v>309</v>
      </c>
      <c r="B193" s="21" t="s">
        <v>2287</v>
      </c>
      <c r="C193" s="51" t="s">
        <v>306</v>
      </c>
      <c r="D193" s="52" t="s">
        <v>2099</v>
      </c>
      <c r="E193" s="52" t="s">
        <v>1873</v>
      </c>
      <c r="F193" s="53" t="s">
        <v>549</v>
      </c>
      <c r="G193" s="179"/>
      <c r="H193" s="180" t="s">
        <v>1553</v>
      </c>
      <c r="I193" s="55" t="s">
        <v>1429</v>
      </c>
      <c r="J193" s="55" t="s">
        <v>1429</v>
      </c>
      <c r="K193" s="56" t="s">
        <v>1429</v>
      </c>
      <c r="L193" s="54" t="s">
        <v>1580</v>
      </c>
      <c r="M193" s="55" t="s">
        <v>1581</v>
      </c>
      <c r="N193" s="55" t="s">
        <v>1429</v>
      </c>
      <c r="O193" s="55" t="s">
        <v>1429</v>
      </c>
      <c r="P193" s="56" t="s">
        <v>1429</v>
      </c>
      <c r="Q193" s="6" t="s">
        <v>166</v>
      </c>
      <c r="R193" s="52" t="s">
        <v>113</v>
      </c>
      <c r="S193" s="52" t="s">
        <v>99</v>
      </c>
      <c r="T193" s="52" t="s">
        <v>100</v>
      </c>
      <c r="U193" s="57" t="s">
        <v>113</v>
      </c>
      <c r="V193" s="146" t="s">
        <v>2100</v>
      </c>
      <c r="W193" s="51" t="s">
        <v>2101</v>
      </c>
      <c r="X193" s="130" t="s">
        <v>2102</v>
      </c>
      <c r="Y193" s="130" t="s">
        <v>2103</v>
      </c>
      <c r="Z193" s="51" t="s">
        <v>1585</v>
      </c>
      <c r="AA193" s="51" t="s">
        <v>1893</v>
      </c>
      <c r="AB193" s="51" t="s">
        <v>1435</v>
      </c>
      <c r="AC193" s="51" t="s">
        <v>1587</v>
      </c>
      <c r="AD193" s="59" t="str">
        <f t="shared" si="30"/>
        <v>UARTC</v>
      </c>
      <c r="AE193" s="66"/>
      <c r="AF193" s="61" t="str">
        <f t="shared" si="31"/>
        <v>NORMAL</v>
      </c>
      <c r="AG193" s="61" t="str">
        <f t="shared" si="35"/>
        <v>NORMAL</v>
      </c>
      <c r="AH193" s="61" t="str">
        <f t="shared" si="32"/>
        <v>DISABLE</v>
      </c>
      <c r="AI193" s="67" t="str">
        <f t="shared" si="28"/>
        <v>N/A</v>
      </c>
      <c r="AJ193" s="176" t="b">
        <v>1</v>
      </c>
      <c r="AK193" s="176" t="b">
        <v>1</v>
      </c>
      <c r="AL193" s="176" t="b">
        <v>1</v>
      </c>
      <c r="AM193" s="176" t="b">
        <v>1</v>
      </c>
      <c r="AN193" s="176" t="b">
        <v>1</v>
      </c>
      <c r="AO193" s="176" t="b">
        <v>1</v>
      </c>
      <c r="AP193" s="64" t="str">
        <f t="shared" ref="AP193:AP224" si="36">IF(AND($AJ193:$AO193), "VALID", "INVALID")</f>
        <v>VALID</v>
      </c>
      <c r="AQ193" s="227" t="s">
        <v>1553</v>
      </c>
      <c r="AR193" s="182" t="s">
        <v>3495</v>
      </c>
      <c r="AS193" s="181"/>
      <c r="AT193" s="181" t="s">
        <v>104</v>
      </c>
      <c r="AU193" s="5"/>
      <c r="AV193" s="5"/>
      <c r="AW193" s="181" t="s">
        <v>125</v>
      </c>
      <c r="AX193" s="284"/>
      <c r="AY193" s="181"/>
      <c r="AZ193" s="181"/>
      <c r="BA193" s="7"/>
      <c r="BB193" s="212"/>
      <c r="BC193" s="10" t="s">
        <v>3519</v>
      </c>
      <c r="BD193" s="238"/>
      <c r="BE193" s="239"/>
      <c r="BF193" s="239"/>
      <c r="BG193" s="239"/>
      <c r="BH193" s="239"/>
      <c r="BI193" s="239"/>
      <c r="BJ193" s="239"/>
      <c r="BK193" s="239"/>
      <c r="BL193" s="239"/>
      <c r="BM193" s="239"/>
      <c r="BN193" s="239"/>
      <c r="BO193" s="239"/>
      <c r="BP193" s="239"/>
      <c r="BQ193" s="239"/>
      <c r="BR193" s="239"/>
      <c r="BS193" s="239"/>
      <c r="BT193" s="239"/>
      <c r="BU193" s="239"/>
      <c r="BV193" s="239"/>
      <c r="BW193" s="239"/>
      <c r="BX193" s="239"/>
      <c r="BY193" s="239"/>
      <c r="BZ193" s="239"/>
      <c r="CA193" s="239"/>
      <c r="CB193" s="239"/>
      <c r="CC193" s="239"/>
      <c r="CD193" s="239"/>
      <c r="CE193" s="239"/>
    </row>
    <row r="194" spans="1:83" ht="12.95" customHeight="1">
      <c r="A194" s="21" t="s">
        <v>310</v>
      </c>
      <c r="B194" s="21" t="s">
        <v>2426</v>
      </c>
      <c r="C194" s="51" t="s">
        <v>307</v>
      </c>
      <c r="D194" s="52" t="s">
        <v>2104</v>
      </c>
      <c r="E194" s="52" t="s">
        <v>1863</v>
      </c>
      <c r="F194" s="53" t="s">
        <v>550</v>
      </c>
      <c r="G194" s="179"/>
      <c r="H194" s="180" t="s">
        <v>1554</v>
      </c>
      <c r="I194" s="55" t="s">
        <v>1429</v>
      </c>
      <c r="J194" s="55" t="s">
        <v>1429</v>
      </c>
      <c r="K194" s="56" t="s">
        <v>1429</v>
      </c>
      <c r="L194" s="54" t="s">
        <v>1580</v>
      </c>
      <c r="M194" s="55" t="s">
        <v>1590</v>
      </c>
      <c r="N194" s="55" t="s">
        <v>1429</v>
      </c>
      <c r="O194" s="55" t="s">
        <v>1429</v>
      </c>
      <c r="P194" s="56" t="s">
        <v>1429</v>
      </c>
      <c r="Q194" s="6" t="s">
        <v>166</v>
      </c>
      <c r="R194" s="52" t="s">
        <v>113</v>
      </c>
      <c r="S194" s="52" t="s">
        <v>99</v>
      </c>
      <c r="T194" s="52" t="s">
        <v>100</v>
      </c>
      <c r="U194" s="57" t="s">
        <v>113</v>
      </c>
      <c r="V194" s="146" t="s">
        <v>2105</v>
      </c>
      <c r="W194" s="51" t="s">
        <v>2101</v>
      </c>
      <c r="X194" s="130" t="s">
        <v>1429</v>
      </c>
      <c r="Y194" s="130" t="s">
        <v>1429</v>
      </c>
      <c r="Z194" s="51" t="s">
        <v>1585</v>
      </c>
      <c r="AA194" s="51" t="s">
        <v>1893</v>
      </c>
      <c r="AB194" s="51" t="s">
        <v>1435</v>
      </c>
      <c r="AC194" s="51" t="s">
        <v>1674</v>
      </c>
      <c r="AD194" s="59" t="str">
        <f t="shared" si="30"/>
        <v>UARTC</v>
      </c>
      <c r="AE194" s="66"/>
      <c r="AF194" s="61" t="str">
        <f t="shared" si="31"/>
        <v>PULL_UP</v>
      </c>
      <c r="AG194" s="61" t="str">
        <f t="shared" si="35"/>
        <v>TRISTATE</v>
      </c>
      <c r="AH194" s="61" t="str">
        <f t="shared" si="32"/>
        <v>ENABLE</v>
      </c>
      <c r="AI194" s="67" t="str">
        <f t="shared" si="28"/>
        <v>N/A</v>
      </c>
      <c r="AJ194" s="176" t="b">
        <v>1</v>
      </c>
      <c r="AK194" s="176" t="b">
        <v>1</v>
      </c>
      <c r="AL194" s="176" t="b">
        <v>1</v>
      </c>
      <c r="AM194" s="176" t="b">
        <v>1</v>
      </c>
      <c r="AN194" s="176" t="b">
        <v>1</v>
      </c>
      <c r="AO194" s="176" t="b">
        <v>1</v>
      </c>
      <c r="AP194" s="64" t="str">
        <f t="shared" si="36"/>
        <v>VALID</v>
      </c>
      <c r="AQ194" s="227" t="s">
        <v>1554</v>
      </c>
      <c r="AR194" s="182" t="s">
        <v>3496</v>
      </c>
      <c r="AS194" s="181" t="s">
        <v>3497</v>
      </c>
      <c r="AT194" s="5"/>
      <c r="AU194" s="5"/>
      <c r="AV194" s="5"/>
      <c r="AW194" s="181" t="s">
        <v>125</v>
      </c>
      <c r="AX194" s="284"/>
      <c r="AY194" s="181"/>
      <c r="AZ194" s="181"/>
      <c r="BA194" s="7"/>
      <c r="BB194" s="212"/>
      <c r="BC194" s="10" t="s">
        <v>3519</v>
      </c>
      <c r="BD194" s="238"/>
      <c r="BE194" s="239"/>
      <c r="BF194" s="239"/>
      <c r="BG194" s="239"/>
      <c r="BH194" s="239"/>
      <c r="BI194" s="239"/>
      <c r="BJ194" s="239"/>
      <c r="BK194" s="239"/>
      <c r="BL194" s="239"/>
      <c r="BM194" s="239"/>
      <c r="BN194" s="239"/>
      <c r="BO194" s="239"/>
      <c r="BP194" s="239"/>
      <c r="BQ194" s="239"/>
      <c r="BR194" s="239"/>
      <c r="BS194" s="239"/>
      <c r="BT194" s="239"/>
      <c r="BU194" s="239"/>
      <c r="BV194" s="239"/>
      <c r="BW194" s="239"/>
      <c r="BX194" s="239"/>
      <c r="BY194" s="239"/>
      <c r="BZ194" s="239"/>
      <c r="CA194" s="239"/>
      <c r="CB194" s="239"/>
      <c r="CC194" s="239"/>
      <c r="CD194" s="239"/>
      <c r="CE194" s="239"/>
    </row>
    <row r="195" spans="1:83" ht="12.95" customHeight="1">
      <c r="A195" s="21" t="s">
        <v>3472</v>
      </c>
      <c r="B195" s="21" t="s">
        <v>2301</v>
      </c>
      <c r="C195" s="51" t="s">
        <v>281</v>
      </c>
      <c r="D195" s="52" t="s">
        <v>2106</v>
      </c>
      <c r="E195" s="52" t="s">
        <v>1882</v>
      </c>
      <c r="F195" s="53" t="s">
        <v>551</v>
      </c>
      <c r="G195" s="179"/>
      <c r="H195" s="180" t="s">
        <v>2107</v>
      </c>
      <c r="I195" s="55" t="s">
        <v>1429</v>
      </c>
      <c r="J195" s="55" t="s">
        <v>1429</v>
      </c>
      <c r="K195" s="56" t="s">
        <v>1429</v>
      </c>
      <c r="L195" s="54" t="s">
        <v>1580</v>
      </c>
      <c r="M195" s="55" t="s">
        <v>1581</v>
      </c>
      <c r="N195" s="55" t="s">
        <v>1429</v>
      </c>
      <c r="O195" s="55" t="s">
        <v>1429</v>
      </c>
      <c r="P195" s="56" t="s">
        <v>1429</v>
      </c>
      <c r="Q195" s="6" t="s">
        <v>166</v>
      </c>
      <c r="R195" s="52" t="s">
        <v>113</v>
      </c>
      <c r="S195" s="52" t="s">
        <v>99</v>
      </c>
      <c r="T195" s="52" t="s">
        <v>100</v>
      </c>
      <c r="U195" s="57" t="s">
        <v>113</v>
      </c>
      <c r="V195" s="146" t="s">
        <v>2108</v>
      </c>
      <c r="W195" s="51" t="s">
        <v>2101</v>
      </c>
      <c r="X195" s="130" t="s">
        <v>1429</v>
      </c>
      <c r="Y195" s="130" t="s">
        <v>1429</v>
      </c>
      <c r="Z195" s="51" t="s">
        <v>1585</v>
      </c>
      <c r="AA195" s="51" t="s">
        <v>1893</v>
      </c>
      <c r="AB195" s="51" t="s">
        <v>1435</v>
      </c>
      <c r="AC195" s="51" t="s">
        <v>1587</v>
      </c>
      <c r="AD195" s="59" t="str">
        <f t="shared" si="30"/>
        <v>UARTC</v>
      </c>
      <c r="AE195" s="66"/>
      <c r="AF195" s="61" t="str">
        <f t="shared" si="31"/>
        <v>NORMAL</v>
      </c>
      <c r="AG195" s="61" t="str">
        <f t="shared" si="35"/>
        <v>NORMAL</v>
      </c>
      <c r="AH195" s="61" t="str">
        <f t="shared" si="32"/>
        <v>DISABLE</v>
      </c>
      <c r="AI195" s="67" t="str">
        <f t="shared" si="28"/>
        <v>N/A</v>
      </c>
      <c r="AJ195" s="176" t="b">
        <v>1</v>
      </c>
      <c r="AK195" s="176" t="b">
        <v>1</v>
      </c>
      <c r="AL195" s="176" t="b">
        <v>1</v>
      </c>
      <c r="AM195" s="176" t="b">
        <v>1</v>
      </c>
      <c r="AN195" s="176" t="b">
        <v>1</v>
      </c>
      <c r="AO195" s="176" t="b">
        <v>1</v>
      </c>
      <c r="AP195" s="64" t="str">
        <f t="shared" si="36"/>
        <v>VALID</v>
      </c>
      <c r="AQ195" s="227" t="s">
        <v>2107</v>
      </c>
      <c r="AR195" s="182" t="s">
        <v>3495</v>
      </c>
      <c r="AS195" s="181"/>
      <c r="AT195" s="5"/>
      <c r="AU195" s="5"/>
      <c r="AV195" s="5"/>
      <c r="AW195" s="181" t="s">
        <v>125</v>
      </c>
      <c r="AX195" s="284"/>
      <c r="AY195" s="181"/>
      <c r="AZ195" s="181"/>
      <c r="BA195" s="7"/>
      <c r="BB195" s="212"/>
      <c r="BC195" s="10" t="s">
        <v>3519</v>
      </c>
      <c r="BD195" s="238"/>
      <c r="BE195" s="239"/>
      <c r="BF195" s="239"/>
      <c r="BG195" s="239"/>
      <c r="BH195" s="239"/>
      <c r="BI195" s="239"/>
      <c r="BJ195" s="239"/>
      <c r="BK195" s="239"/>
      <c r="BL195" s="239"/>
      <c r="BM195" s="239"/>
      <c r="BN195" s="239"/>
      <c r="BO195" s="239"/>
      <c r="BP195" s="239"/>
      <c r="BQ195" s="239"/>
      <c r="BR195" s="239"/>
      <c r="BS195" s="239"/>
      <c r="BT195" s="239"/>
      <c r="BU195" s="239"/>
      <c r="BV195" s="239"/>
      <c r="BW195" s="239"/>
      <c r="BX195" s="239"/>
      <c r="BY195" s="239"/>
      <c r="BZ195" s="239"/>
      <c r="CA195" s="239"/>
      <c r="CB195" s="239"/>
      <c r="CC195" s="239"/>
      <c r="CD195" s="239"/>
      <c r="CE195" s="239"/>
    </row>
    <row r="196" spans="1:83" ht="12.95" customHeight="1">
      <c r="A196" s="21" t="s">
        <v>3473</v>
      </c>
      <c r="B196" s="21" t="s">
        <v>3590</v>
      </c>
      <c r="C196" s="51" t="s">
        <v>280</v>
      </c>
      <c r="D196" s="52" t="s">
        <v>2109</v>
      </c>
      <c r="E196" s="52" t="s">
        <v>1867</v>
      </c>
      <c r="F196" s="53" t="s">
        <v>552</v>
      </c>
      <c r="G196" s="179"/>
      <c r="H196" s="180" t="s">
        <v>2110</v>
      </c>
      <c r="I196" s="55" t="s">
        <v>1429</v>
      </c>
      <c r="J196" s="55" t="s">
        <v>1429</v>
      </c>
      <c r="K196" s="56" t="s">
        <v>1429</v>
      </c>
      <c r="L196" s="54" t="s">
        <v>1580</v>
      </c>
      <c r="M196" s="55" t="s">
        <v>1590</v>
      </c>
      <c r="N196" s="55" t="s">
        <v>1429</v>
      </c>
      <c r="O196" s="55" t="s">
        <v>1429</v>
      </c>
      <c r="P196" s="56" t="s">
        <v>1429</v>
      </c>
      <c r="Q196" s="6" t="s">
        <v>166</v>
      </c>
      <c r="R196" s="52" t="s">
        <v>113</v>
      </c>
      <c r="S196" s="52" t="s">
        <v>99</v>
      </c>
      <c r="T196" s="52" t="s">
        <v>100</v>
      </c>
      <c r="U196" s="57" t="s">
        <v>113</v>
      </c>
      <c r="V196" s="146" t="s">
        <v>2111</v>
      </c>
      <c r="W196" s="51" t="s">
        <v>2101</v>
      </c>
      <c r="X196" s="130" t="s">
        <v>2112</v>
      </c>
      <c r="Y196" s="130" t="s">
        <v>1429</v>
      </c>
      <c r="Z196" s="51" t="s">
        <v>1585</v>
      </c>
      <c r="AA196" s="51" t="s">
        <v>1893</v>
      </c>
      <c r="AB196" s="51" t="s">
        <v>1435</v>
      </c>
      <c r="AC196" s="51" t="s">
        <v>1587</v>
      </c>
      <c r="AD196" s="59" t="str">
        <f t="shared" si="30"/>
        <v>UARTC</v>
      </c>
      <c r="AE196" s="66"/>
      <c r="AF196" s="61" t="str">
        <f t="shared" si="31"/>
        <v>PULL_UP</v>
      </c>
      <c r="AG196" s="61" t="str">
        <f t="shared" si="35"/>
        <v>TRISTATE</v>
      </c>
      <c r="AH196" s="61" t="str">
        <f t="shared" si="32"/>
        <v>ENABLE</v>
      </c>
      <c r="AI196" s="67" t="str">
        <f t="shared" si="28"/>
        <v>N/A</v>
      </c>
      <c r="AJ196" s="176" t="b">
        <v>1</v>
      </c>
      <c r="AK196" s="176" t="b">
        <v>1</v>
      </c>
      <c r="AL196" s="176" t="b">
        <v>1</v>
      </c>
      <c r="AM196" s="176" t="b">
        <v>1</v>
      </c>
      <c r="AN196" s="176" t="b">
        <v>1</v>
      </c>
      <c r="AO196" s="176" t="b">
        <v>1</v>
      </c>
      <c r="AP196" s="64" t="str">
        <f t="shared" si="36"/>
        <v>VALID</v>
      </c>
      <c r="AQ196" s="227" t="s">
        <v>2110</v>
      </c>
      <c r="AR196" s="182" t="s">
        <v>3496</v>
      </c>
      <c r="AS196" s="181" t="s">
        <v>3497</v>
      </c>
      <c r="AT196" s="181" t="s">
        <v>104</v>
      </c>
      <c r="AU196" s="5"/>
      <c r="AV196" s="5"/>
      <c r="AW196" s="181" t="s">
        <v>125</v>
      </c>
      <c r="AX196" s="284"/>
      <c r="AY196" s="181"/>
      <c r="AZ196" s="181"/>
      <c r="BA196" s="7"/>
      <c r="BB196" s="212"/>
      <c r="BC196" s="10" t="s">
        <v>3519</v>
      </c>
      <c r="BD196" s="238"/>
      <c r="BE196" s="239"/>
      <c r="BF196" s="239"/>
      <c r="BG196" s="239"/>
      <c r="BH196" s="239"/>
      <c r="BI196" s="239"/>
      <c r="BJ196" s="239"/>
      <c r="BK196" s="239"/>
      <c r="BL196" s="239"/>
      <c r="BM196" s="239"/>
      <c r="BN196" s="239"/>
      <c r="BO196" s="239"/>
      <c r="BP196" s="239"/>
      <c r="BQ196" s="239"/>
      <c r="BR196" s="239"/>
      <c r="BS196" s="239"/>
      <c r="BT196" s="239"/>
      <c r="BU196" s="239"/>
      <c r="BV196" s="239"/>
      <c r="BW196" s="239"/>
      <c r="BX196" s="239"/>
      <c r="BY196" s="239"/>
      <c r="BZ196" s="239"/>
      <c r="CA196" s="239"/>
      <c r="CB196" s="239"/>
      <c r="CC196" s="239"/>
      <c r="CD196" s="239"/>
      <c r="CE196" s="239"/>
    </row>
    <row r="197" spans="1:83" ht="12.95" customHeight="1">
      <c r="A197" s="21" t="s">
        <v>3474</v>
      </c>
      <c r="B197" s="21" t="s">
        <v>2302</v>
      </c>
      <c r="C197" s="51" t="s">
        <v>955</v>
      </c>
      <c r="D197" s="52" t="s">
        <v>2113</v>
      </c>
      <c r="E197" s="52" t="s">
        <v>2114</v>
      </c>
      <c r="F197" s="53" t="s">
        <v>1275</v>
      </c>
      <c r="G197" s="179"/>
      <c r="H197" s="180" t="s">
        <v>1555</v>
      </c>
      <c r="I197" s="55" t="s">
        <v>1429</v>
      </c>
      <c r="J197" s="55" t="s">
        <v>1429</v>
      </c>
      <c r="K197" s="56" t="s">
        <v>1429</v>
      </c>
      <c r="L197" s="54" t="s">
        <v>1580</v>
      </c>
      <c r="M197" s="55" t="s">
        <v>1580</v>
      </c>
      <c r="N197" s="55" t="s">
        <v>1429</v>
      </c>
      <c r="O197" s="55" t="s">
        <v>1429</v>
      </c>
      <c r="P197" s="56" t="s">
        <v>1429</v>
      </c>
      <c r="Q197" s="6" t="s">
        <v>1371</v>
      </c>
      <c r="R197" s="52" t="s">
        <v>113</v>
      </c>
      <c r="S197" s="52" t="s">
        <v>99</v>
      </c>
      <c r="T197" s="52" t="s">
        <v>100</v>
      </c>
      <c r="U197" s="57" t="s">
        <v>113</v>
      </c>
      <c r="V197" s="146" t="s">
        <v>2115</v>
      </c>
      <c r="W197" s="51" t="s">
        <v>2101</v>
      </c>
      <c r="X197" s="130" t="s">
        <v>1429</v>
      </c>
      <c r="Y197" s="130" t="s">
        <v>1429</v>
      </c>
      <c r="Z197" s="51" t="s">
        <v>1631</v>
      </c>
      <c r="AA197" s="51" t="s">
        <v>1941</v>
      </c>
      <c r="AB197" s="51" t="s">
        <v>1435</v>
      </c>
      <c r="AC197" s="51" t="s">
        <v>1633</v>
      </c>
      <c r="AD197" s="59" t="str">
        <f t="shared" si="30"/>
        <v>I2C8</v>
      </c>
      <c r="AE197" s="66"/>
      <c r="AF197" s="61" t="str">
        <f t="shared" si="31"/>
        <v>NORMAL</v>
      </c>
      <c r="AG197" s="61" t="str">
        <f t="shared" si="35"/>
        <v>NORMAL</v>
      </c>
      <c r="AH197" s="61" t="str">
        <f t="shared" si="32"/>
        <v>ENABLE</v>
      </c>
      <c r="AI197" s="67" t="str">
        <f t="shared" si="28"/>
        <v>N/A</v>
      </c>
      <c r="AJ197" s="176" t="b">
        <v>1</v>
      </c>
      <c r="AK197" s="176" t="b">
        <v>1</v>
      </c>
      <c r="AL197" s="176" t="b">
        <v>1</v>
      </c>
      <c r="AM197" s="176" t="b">
        <v>1</v>
      </c>
      <c r="AN197" s="176" t="b">
        <v>1</v>
      </c>
      <c r="AO197" s="176" t="b">
        <v>1</v>
      </c>
      <c r="AP197" s="64" t="str">
        <f t="shared" si="36"/>
        <v>VALID</v>
      </c>
      <c r="AQ197" s="226" t="s">
        <v>1555</v>
      </c>
      <c r="AR197" s="182" t="s">
        <v>3501</v>
      </c>
      <c r="AS197" s="181"/>
      <c r="AT197" s="5"/>
      <c r="AU197" s="5"/>
      <c r="AV197" s="181" t="s">
        <v>125</v>
      </c>
      <c r="AW197" s="181" t="s">
        <v>125</v>
      </c>
      <c r="AX197" s="284"/>
      <c r="AY197" s="181" t="s">
        <v>67</v>
      </c>
      <c r="AZ197" s="181"/>
      <c r="BA197" s="7"/>
      <c r="BB197" s="212"/>
      <c r="BC197" s="10" t="s">
        <v>3474</v>
      </c>
      <c r="BD197" s="238"/>
      <c r="BE197" s="239"/>
      <c r="BF197" s="239"/>
      <c r="BG197" s="239"/>
      <c r="BH197" s="239"/>
      <c r="BI197" s="239"/>
      <c r="BJ197" s="239"/>
      <c r="BK197" s="239"/>
      <c r="BL197" s="239"/>
      <c r="BM197" s="239"/>
      <c r="BN197" s="239"/>
      <c r="BO197" s="239"/>
      <c r="BP197" s="239"/>
      <c r="BQ197" s="239"/>
      <c r="BR197" s="239"/>
      <c r="BS197" s="239"/>
      <c r="BT197" s="239"/>
      <c r="BU197" s="239"/>
      <c r="BV197" s="239"/>
      <c r="BW197" s="239"/>
      <c r="BX197" s="239"/>
      <c r="BY197" s="239"/>
      <c r="BZ197" s="239"/>
      <c r="CA197" s="239"/>
      <c r="CB197" s="239"/>
      <c r="CC197" s="239"/>
      <c r="CD197" s="239"/>
      <c r="CE197" s="239"/>
    </row>
    <row r="198" spans="1:83" ht="12.95" customHeight="1">
      <c r="A198" s="21" t="s">
        <v>3475</v>
      </c>
      <c r="B198" s="21" t="s">
        <v>2305</v>
      </c>
      <c r="C198" s="51" t="s">
        <v>956</v>
      </c>
      <c r="D198" s="52" t="s">
        <v>2116</v>
      </c>
      <c r="E198" s="52" t="s">
        <v>2117</v>
      </c>
      <c r="F198" s="53" t="s">
        <v>1276</v>
      </c>
      <c r="G198" s="179"/>
      <c r="H198" s="180" t="s">
        <v>1556</v>
      </c>
      <c r="I198" s="55" t="s">
        <v>1429</v>
      </c>
      <c r="J198" s="55" t="s">
        <v>1429</v>
      </c>
      <c r="K198" s="56" t="s">
        <v>1429</v>
      </c>
      <c r="L198" s="54" t="s">
        <v>1580</v>
      </c>
      <c r="M198" s="55" t="s">
        <v>1580</v>
      </c>
      <c r="N198" s="55" t="s">
        <v>1429</v>
      </c>
      <c r="O198" s="55" t="s">
        <v>1429</v>
      </c>
      <c r="P198" s="56" t="s">
        <v>1429</v>
      </c>
      <c r="Q198" s="52" t="s">
        <v>1371</v>
      </c>
      <c r="R198" s="52" t="s">
        <v>113</v>
      </c>
      <c r="S198" s="52" t="s">
        <v>99</v>
      </c>
      <c r="T198" s="52" t="s">
        <v>100</v>
      </c>
      <c r="U198" s="52" t="s">
        <v>113</v>
      </c>
      <c r="V198" s="146" t="s">
        <v>2118</v>
      </c>
      <c r="W198" s="51" t="s">
        <v>2101</v>
      </c>
      <c r="X198" s="130" t="s">
        <v>2119</v>
      </c>
      <c r="Y198" s="130" t="s">
        <v>1429</v>
      </c>
      <c r="Z198" s="51" t="s">
        <v>1631</v>
      </c>
      <c r="AA198" s="51" t="s">
        <v>1941</v>
      </c>
      <c r="AB198" s="51" t="s">
        <v>1435</v>
      </c>
      <c r="AC198" s="51" t="s">
        <v>1633</v>
      </c>
      <c r="AD198" s="59" t="str">
        <f t="shared" si="30"/>
        <v>I2C8</v>
      </c>
      <c r="AE198" s="66"/>
      <c r="AF198" s="61" t="str">
        <f t="shared" si="31"/>
        <v>NORMAL</v>
      </c>
      <c r="AG198" s="61" t="str">
        <f t="shared" si="35"/>
        <v>NORMAL</v>
      </c>
      <c r="AH198" s="61" t="str">
        <f t="shared" si="32"/>
        <v>ENABLE</v>
      </c>
      <c r="AI198" s="67" t="str">
        <f t="shared" si="28"/>
        <v>N/A</v>
      </c>
      <c r="AJ198" s="176" t="b">
        <v>1</v>
      </c>
      <c r="AK198" s="176" t="b">
        <v>1</v>
      </c>
      <c r="AL198" s="176" t="b">
        <v>1</v>
      </c>
      <c r="AM198" s="176" t="b">
        <v>1</v>
      </c>
      <c r="AN198" s="176" t="b">
        <v>1</v>
      </c>
      <c r="AO198" s="176" t="b">
        <v>1</v>
      </c>
      <c r="AP198" s="64" t="str">
        <f t="shared" si="36"/>
        <v>VALID</v>
      </c>
      <c r="AQ198" s="226" t="s">
        <v>1556</v>
      </c>
      <c r="AR198" s="182" t="s">
        <v>3501</v>
      </c>
      <c r="AS198" s="181"/>
      <c r="AT198" s="181" t="s">
        <v>104</v>
      </c>
      <c r="AU198" s="5"/>
      <c r="AV198" s="181" t="s">
        <v>125</v>
      </c>
      <c r="AW198" s="181" t="s">
        <v>125</v>
      </c>
      <c r="AX198" s="284"/>
      <c r="AY198" s="181" t="s">
        <v>67</v>
      </c>
      <c r="AZ198" s="181"/>
      <c r="BA198" s="7"/>
      <c r="BB198" s="212"/>
      <c r="BC198" s="10" t="s">
        <v>3475</v>
      </c>
      <c r="BD198" s="238"/>
      <c r="BE198" s="239"/>
      <c r="BF198" s="239"/>
      <c r="BG198" s="239"/>
      <c r="BH198" s="239"/>
      <c r="BI198" s="239"/>
      <c r="BJ198" s="239"/>
      <c r="BK198" s="239"/>
      <c r="BL198" s="239"/>
      <c r="BM198" s="239"/>
      <c r="BN198" s="239"/>
      <c r="BO198" s="239"/>
      <c r="BP198" s="239"/>
      <c r="BQ198" s="239"/>
      <c r="BR198" s="239"/>
      <c r="BS198" s="239"/>
      <c r="BT198" s="239"/>
      <c r="BU198" s="239"/>
      <c r="BV198" s="239"/>
      <c r="BW198" s="239"/>
      <c r="BX198" s="239"/>
      <c r="BY198" s="239"/>
      <c r="BZ198" s="239"/>
      <c r="CA198" s="239"/>
      <c r="CB198" s="239"/>
      <c r="CC198" s="239"/>
      <c r="CD198" s="239"/>
      <c r="CE198" s="239"/>
    </row>
    <row r="199" spans="1:83" ht="12.95" customHeight="1">
      <c r="A199" s="206" t="s">
        <v>957</v>
      </c>
      <c r="B199" s="206" t="s">
        <v>2292</v>
      </c>
      <c r="C199" s="51" t="s">
        <v>957</v>
      </c>
      <c r="D199" s="52" t="s">
        <v>2120</v>
      </c>
      <c r="E199" s="52" t="s">
        <v>2104</v>
      </c>
      <c r="F199" s="53" t="s">
        <v>1277</v>
      </c>
      <c r="G199" s="179" t="s">
        <v>2121</v>
      </c>
      <c r="H199" s="180" t="s">
        <v>1557</v>
      </c>
      <c r="I199" s="55" t="s">
        <v>1429</v>
      </c>
      <c r="J199" s="55" t="s">
        <v>1429</v>
      </c>
      <c r="K199" s="56" t="s">
        <v>1429</v>
      </c>
      <c r="L199" s="54" t="s">
        <v>1580</v>
      </c>
      <c r="M199" s="55" t="s">
        <v>1581</v>
      </c>
      <c r="N199" s="55" t="s">
        <v>1429</v>
      </c>
      <c r="O199" s="55" t="s">
        <v>1429</v>
      </c>
      <c r="P199" s="56" t="s">
        <v>1429</v>
      </c>
      <c r="Q199" s="52" t="s">
        <v>1372</v>
      </c>
      <c r="R199" s="52" t="s">
        <v>113</v>
      </c>
      <c r="S199" s="52" t="s">
        <v>99</v>
      </c>
      <c r="T199" s="52" t="s">
        <v>100</v>
      </c>
      <c r="U199" s="52" t="s">
        <v>113</v>
      </c>
      <c r="V199" s="146" t="s">
        <v>2122</v>
      </c>
      <c r="W199" s="51" t="s">
        <v>2101</v>
      </c>
      <c r="X199" s="130" t="s">
        <v>1429</v>
      </c>
      <c r="Y199" s="130" t="s">
        <v>2123</v>
      </c>
      <c r="Z199" s="51" t="s">
        <v>1585</v>
      </c>
      <c r="AA199" s="51" t="s">
        <v>1893</v>
      </c>
      <c r="AB199" s="51" t="s">
        <v>1435</v>
      </c>
      <c r="AC199" s="51" t="s">
        <v>1587</v>
      </c>
      <c r="AD199" s="59" t="str">
        <f t="shared" si="30"/>
        <v>UARTG</v>
      </c>
      <c r="AE199" s="66"/>
      <c r="AF199" s="61" t="str">
        <f t="shared" si="31"/>
        <v>NORMAL</v>
      </c>
      <c r="AG199" s="61" t="str">
        <f t="shared" si="35"/>
        <v>NORMAL</v>
      </c>
      <c r="AH199" s="61" t="str">
        <f t="shared" si="32"/>
        <v>DISABLE</v>
      </c>
      <c r="AI199" s="67" t="str">
        <f t="shared" si="28"/>
        <v>N/A</v>
      </c>
      <c r="AJ199" s="176" t="b">
        <v>1</v>
      </c>
      <c r="AK199" s="176" t="b">
        <v>1</v>
      </c>
      <c r="AL199" s="176" t="b">
        <v>1</v>
      </c>
      <c r="AM199" s="176" t="b">
        <v>1</v>
      </c>
      <c r="AN199" s="176" t="b">
        <v>1</v>
      </c>
      <c r="AO199" s="176" t="b">
        <v>1</v>
      </c>
      <c r="AP199" s="64" t="str">
        <f t="shared" si="36"/>
        <v>VALID</v>
      </c>
      <c r="AQ199" s="226" t="s">
        <v>1557</v>
      </c>
      <c r="AR199" s="182" t="s">
        <v>3495</v>
      </c>
      <c r="AS199" s="181"/>
      <c r="AT199" s="5"/>
      <c r="AU199" s="5"/>
      <c r="AV199" s="5"/>
      <c r="AW199" s="181" t="s">
        <v>125</v>
      </c>
      <c r="AX199" s="284"/>
      <c r="AY199" s="181"/>
      <c r="AZ199" s="181"/>
      <c r="BA199" s="7"/>
      <c r="BB199" s="212"/>
      <c r="BC199" s="10" t="s">
        <v>3520</v>
      </c>
      <c r="BD199" s="238"/>
      <c r="BE199" s="239"/>
      <c r="BF199" s="239"/>
      <c r="BG199" s="239"/>
      <c r="BH199" s="239"/>
      <c r="BI199" s="239"/>
      <c r="BJ199" s="239"/>
      <c r="BK199" s="239"/>
      <c r="BL199" s="239"/>
      <c r="BM199" s="239"/>
      <c r="BN199" s="239"/>
      <c r="BO199" s="239"/>
      <c r="BP199" s="239"/>
      <c r="BQ199" s="239"/>
      <c r="BR199" s="239"/>
      <c r="BS199" s="239"/>
      <c r="BT199" s="239"/>
      <c r="BU199" s="239"/>
      <c r="BV199" s="239"/>
      <c r="BW199" s="239"/>
      <c r="BX199" s="239"/>
      <c r="BY199" s="239"/>
      <c r="BZ199" s="239"/>
      <c r="CA199" s="239"/>
      <c r="CB199" s="239"/>
      <c r="CC199" s="239"/>
      <c r="CD199" s="239"/>
      <c r="CE199" s="239"/>
    </row>
    <row r="200" spans="1:83" ht="12.95" customHeight="1">
      <c r="A200" s="206" t="s">
        <v>958</v>
      </c>
      <c r="B200" s="206" t="s">
        <v>2452</v>
      </c>
      <c r="C200" s="51" t="s">
        <v>958</v>
      </c>
      <c r="D200" s="52" t="s">
        <v>2124</v>
      </c>
      <c r="E200" s="52" t="s">
        <v>2116</v>
      </c>
      <c r="F200" s="53" t="s">
        <v>1278</v>
      </c>
      <c r="G200" s="179" t="s">
        <v>2125</v>
      </c>
      <c r="H200" s="180" t="s">
        <v>1558</v>
      </c>
      <c r="I200" s="55" t="s">
        <v>1429</v>
      </c>
      <c r="J200" s="55" t="s">
        <v>1429</v>
      </c>
      <c r="K200" s="56" t="s">
        <v>1429</v>
      </c>
      <c r="L200" s="54" t="s">
        <v>1580</v>
      </c>
      <c r="M200" s="55" t="s">
        <v>1590</v>
      </c>
      <c r="N200" s="55" t="s">
        <v>1429</v>
      </c>
      <c r="O200" s="55" t="s">
        <v>1429</v>
      </c>
      <c r="P200" s="56" t="s">
        <v>1429</v>
      </c>
      <c r="Q200" s="52" t="s">
        <v>1372</v>
      </c>
      <c r="R200" s="52" t="s">
        <v>113</v>
      </c>
      <c r="S200" s="52" t="s">
        <v>99</v>
      </c>
      <c r="T200" s="52" t="s">
        <v>100</v>
      </c>
      <c r="U200" s="57" t="s">
        <v>113</v>
      </c>
      <c r="V200" s="146" t="s">
        <v>2126</v>
      </c>
      <c r="W200" s="51" t="s">
        <v>2101</v>
      </c>
      <c r="X200" s="130" t="s">
        <v>1429</v>
      </c>
      <c r="Y200" s="130" t="s">
        <v>1429</v>
      </c>
      <c r="Z200" s="51" t="s">
        <v>1585</v>
      </c>
      <c r="AA200" s="51" t="s">
        <v>1893</v>
      </c>
      <c r="AB200" s="51" t="s">
        <v>1435</v>
      </c>
      <c r="AC200" s="51" t="s">
        <v>1587</v>
      </c>
      <c r="AD200" s="59" t="str">
        <f t="shared" si="30"/>
        <v>UARTG</v>
      </c>
      <c r="AE200" s="66"/>
      <c r="AF200" s="61" t="str">
        <f t="shared" si="31"/>
        <v>PULL_UP</v>
      </c>
      <c r="AG200" s="61" t="str">
        <f t="shared" si="35"/>
        <v>TRISTATE</v>
      </c>
      <c r="AH200" s="61" t="str">
        <f t="shared" si="32"/>
        <v>ENABLE</v>
      </c>
      <c r="AI200" s="67" t="str">
        <f t="shared" si="28"/>
        <v>N/A</v>
      </c>
      <c r="AJ200" s="176" t="b">
        <v>1</v>
      </c>
      <c r="AK200" s="176" t="b">
        <v>1</v>
      </c>
      <c r="AL200" s="176" t="b">
        <v>1</v>
      </c>
      <c r="AM200" s="176" t="b">
        <v>1</v>
      </c>
      <c r="AN200" s="176" t="b">
        <v>1</v>
      </c>
      <c r="AO200" s="176" t="b">
        <v>1</v>
      </c>
      <c r="AP200" s="64" t="str">
        <f t="shared" si="36"/>
        <v>VALID</v>
      </c>
      <c r="AQ200" s="226" t="s">
        <v>1558</v>
      </c>
      <c r="AR200" s="182" t="s">
        <v>3496</v>
      </c>
      <c r="AS200" s="181" t="s">
        <v>3497</v>
      </c>
      <c r="AT200" s="5"/>
      <c r="AU200" s="5"/>
      <c r="AV200" s="5"/>
      <c r="AW200" s="181" t="s">
        <v>125</v>
      </c>
      <c r="AX200" s="284"/>
      <c r="AY200" s="181"/>
      <c r="AZ200" s="181"/>
      <c r="BA200" s="7"/>
      <c r="BB200" s="212"/>
      <c r="BC200" s="10" t="s">
        <v>3521</v>
      </c>
      <c r="BD200" s="238"/>
      <c r="BE200" s="239"/>
      <c r="BF200" s="239"/>
      <c r="BG200" s="239"/>
      <c r="BH200" s="239"/>
      <c r="BI200" s="239"/>
      <c r="BJ200" s="239"/>
      <c r="BK200" s="239"/>
      <c r="BL200" s="239"/>
      <c r="BM200" s="239"/>
      <c r="BN200" s="239"/>
      <c r="BO200" s="239"/>
      <c r="BP200" s="239"/>
      <c r="BQ200" s="239"/>
      <c r="BR200" s="239"/>
      <c r="BS200" s="239"/>
      <c r="BT200" s="239"/>
      <c r="BU200" s="239"/>
      <c r="BV200" s="239"/>
      <c r="BW200" s="239"/>
      <c r="BX200" s="239"/>
      <c r="BY200" s="239"/>
      <c r="BZ200" s="239"/>
      <c r="CA200" s="239"/>
      <c r="CB200" s="239"/>
      <c r="CC200" s="239"/>
      <c r="CD200" s="239"/>
      <c r="CE200" s="239"/>
    </row>
    <row r="201" spans="1:83" ht="12.95" customHeight="1">
      <c r="A201" s="1"/>
      <c r="B201" s="1"/>
      <c r="C201" s="51" t="s">
        <v>959</v>
      </c>
      <c r="D201" s="52" t="s">
        <v>2127</v>
      </c>
      <c r="E201" s="52" t="s">
        <v>2128</v>
      </c>
      <c r="F201" s="53" t="s">
        <v>1279</v>
      </c>
      <c r="G201" s="179" t="s">
        <v>1559</v>
      </c>
      <c r="H201" s="180" t="s">
        <v>1429</v>
      </c>
      <c r="I201" s="55" t="s">
        <v>1429</v>
      </c>
      <c r="J201" s="55" t="s">
        <v>1429</v>
      </c>
      <c r="K201" s="56" t="s">
        <v>1429</v>
      </c>
      <c r="L201" s="54" t="s">
        <v>1580</v>
      </c>
      <c r="M201" s="55" t="s">
        <v>1429</v>
      </c>
      <c r="N201" s="55" t="s">
        <v>1429</v>
      </c>
      <c r="O201" s="55" t="s">
        <v>1429</v>
      </c>
      <c r="P201" s="56" t="s">
        <v>1429</v>
      </c>
      <c r="Q201" s="52" t="s">
        <v>755</v>
      </c>
      <c r="R201" s="52" t="s">
        <v>113</v>
      </c>
      <c r="S201" s="52" t="s">
        <v>99</v>
      </c>
      <c r="T201" s="52" t="s">
        <v>100</v>
      </c>
      <c r="U201" s="57" t="s">
        <v>755</v>
      </c>
      <c r="V201" s="146" t="s">
        <v>2129</v>
      </c>
      <c r="W201" s="51" t="s">
        <v>2101</v>
      </c>
      <c r="X201" s="130" t="s">
        <v>2130</v>
      </c>
      <c r="Y201" s="130" t="s">
        <v>1429</v>
      </c>
      <c r="Z201" s="51" t="s">
        <v>1585</v>
      </c>
      <c r="AA201" s="51" t="s">
        <v>1893</v>
      </c>
      <c r="AB201" s="51" t="s">
        <v>1435</v>
      </c>
      <c r="AC201" s="51" t="s">
        <v>1587</v>
      </c>
      <c r="AD201" s="59" t="str">
        <f t="shared" si="30"/>
        <v>GPIO_PV0</v>
      </c>
      <c r="AE201" s="66"/>
      <c r="AF201" s="61" t="str">
        <f t="shared" si="31"/>
        <v>PULL_UP</v>
      </c>
      <c r="AG201" s="61" t="str">
        <f t="shared" si="35"/>
        <v>TRISTATE</v>
      </c>
      <c r="AH201" s="61" t="str">
        <f t="shared" si="32"/>
        <v>ENABLE</v>
      </c>
      <c r="AI201" s="67" t="str">
        <f t="shared" si="28"/>
        <v/>
      </c>
      <c r="AJ201" s="176" t="b">
        <v>1</v>
      </c>
      <c r="AK201" s="176" t="b">
        <v>1</v>
      </c>
      <c r="AL201" s="176" t="b">
        <v>1</v>
      </c>
      <c r="AM201" s="176" t="b">
        <v>1</v>
      </c>
      <c r="AN201" s="176" t="b">
        <v>1</v>
      </c>
      <c r="AO201" s="176" t="b">
        <v>1</v>
      </c>
      <c r="AP201" s="64" t="str">
        <f t="shared" si="36"/>
        <v>VALID</v>
      </c>
      <c r="AQ201" s="348" t="s">
        <v>1559</v>
      </c>
      <c r="AR201" s="336" t="s">
        <v>3496</v>
      </c>
      <c r="AS201" s="337" t="s">
        <v>3497</v>
      </c>
      <c r="AT201" s="337" t="s">
        <v>104</v>
      </c>
      <c r="AU201" s="342"/>
      <c r="AV201" s="342"/>
      <c r="AW201" s="337" t="s">
        <v>125</v>
      </c>
      <c r="AX201" s="342"/>
      <c r="AY201" s="337"/>
      <c r="AZ201" s="337"/>
      <c r="BA201" s="343"/>
      <c r="BB201" s="338"/>
      <c r="BC201" s="344" t="s">
        <v>3522</v>
      </c>
      <c r="BD201" s="238"/>
      <c r="BE201" s="239"/>
      <c r="BF201" s="239"/>
      <c r="BG201" s="239"/>
      <c r="BH201" s="239"/>
      <c r="BI201" s="239"/>
      <c r="BJ201" s="239"/>
      <c r="BK201" s="239"/>
      <c r="BL201" s="239"/>
      <c r="BM201" s="239"/>
      <c r="BN201" s="239"/>
      <c r="BO201" s="239"/>
      <c r="BP201" s="239"/>
      <c r="BQ201" s="239"/>
      <c r="BR201" s="239"/>
      <c r="BS201" s="239"/>
      <c r="BT201" s="239"/>
      <c r="BU201" s="239"/>
      <c r="BV201" s="239"/>
      <c r="BW201" s="239"/>
      <c r="BX201" s="239"/>
      <c r="BY201" s="239"/>
      <c r="BZ201" s="239"/>
      <c r="CA201" s="239"/>
      <c r="CB201" s="239"/>
      <c r="CC201" s="239"/>
      <c r="CD201" s="239"/>
      <c r="CE201" s="239"/>
    </row>
    <row r="202" spans="1:83" ht="12.95" customHeight="1">
      <c r="A202" s="21" t="s">
        <v>3481</v>
      </c>
      <c r="B202" s="21" t="s">
        <v>2274</v>
      </c>
      <c r="C202" s="51" t="s">
        <v>960</v>
      </c>
      <c r="D202" s="52" t="s">
        <v>2131</v>
      </c>
      <c r="E202" s="52" t="s">
        <v>2131</v>
      </c>
      <c r="F202" s="53" t="s">
        <v>1280</v>
      </c>
      <c r="G202" s="179"/>
      <c r="H202" s="180" t="s">
        <v>1560</v>
      </c>
      <c r="I202" s="55" t="s">
        <v>1429</v>
      </c>
      <c r="J202" s="55" t="s">
        <v>1429</v>
      </c>
      <c r="K202" s="56" t="s">
        <v>1429</v>
      </c>
      <c r="L202" s="54" t="s">
        <v>1580</v>
      </c>
      <c r="M202" s="55" t="s">
        <v>1580</v>
      </c>
      <c r="N202" s="55" t="s">
        <v>1429</v>
      </c>
      <c r="O202" s="55" t="s">
        <v>1429</v>
      </c>
      <c r="P202" s="56" t="s">
        <v>1429</v>
      </c>
      <c r="Q202" s="52" t="s">
        <v>112</v>
      </c>
      <c r="R202" s="52" t="s">
        <v>113</v>
      </c>
      <c r="S202" s="52" t="s">
        <v>99</v>
      </c>
      <c r="T202" s="52" t="s">
        <v>100</v>
      </c>
      <c r="U202" s="57" t="s">
        <v>113</v>
      </c>
      <c r="V202" s="146" t="s">
        <v>2132</v>
      </c>
      <c r="W202" s="51" t="s">
        <v>2101</v>
      </c>
      <c r="X202" s="130" t="s">
        <v>2133</v>
      </c>
      <c r="Y202" s="130" t="s">
        <v>1429</v>
      </c>
      <c r="Z202" s="51" t="s">
        <v>1585</v>
      </c>
      <c r="AA202" s="51" t="s">
        <v>1893</v>
      </c>
      <c r="AB202" s="51" t="s">
        <v>1435</v>
      </c>
      <c r="AC202" s="51" t="s">
        <v>1587</v>
      </c>
      <c r="AD202" s="59" t="str">
        <f t="shared" si="30"/>
        <v>SPI2</v>
      </c>
      <c r="AE202" s="66"/>
      <c r="AF202" s="61" t="str">
        <f t="shared" si="31"/>
        <v>NORMAL</v>
      </c>
      <c r="AG202" s="61" t="str">
        <f t="shared" si="35"/>
        <v>NORMAL</v>
      </c>
      <c r="AH202" s="61" t="str">
        <f t="shared" si="32"/>
        <v>DISABLE</v>
      </c>
      <c r="AI202" s="67" t="str">
        <f t="shared" si="28"/>
        <v>N/A</v>
      </c>
      <c r="AJ202" s="176" t="b">
        <v>1</v>
      </c>
      <c r="AK202" s="176" t="b">
        <v>1</v>
      </c>
      <c r="AL202" s="176" t="b">
        <v>1</v>
      </c>
      <c r="AM202" s="176" t="b">
        <v>1</v>
      </c>
      <c r="AN202" s="176" t="b">
        <v>1</v>
      </c>
      <c r="AO202" s="176" t="b">
        <v>1</v>
      </c>
      <c r="AP202" s="64" t="str">
        <f t="shared" si="36"/>
        <v>VALID</v>
      </c>
      <c r="AQ202" s="226" t="s">
        <v>1560</v>
      </c>
      <c r="AR202" s="182" t="s">
        <v>3495</v>
      </c>
      <c r="AS202" s="181"/>
      <c r="AT202" s="181" t="s">
        <v>104</v>
      </c>
      <c r="AU202" s="5"/>
      <c r="AV202" s="5"/>
      <c r="AW202" s="181" t="s">
        <v>125</v>
      </c>
      <c r="AX202" s="284"/>
      <c r="AY202" s="181"/>
      <c r="AZ202" s="181"/>
      <c r="BA202" s="7"/>
      <c r="BB202" s="212"/>
      <c r="BC202" s="10" t="s">
        <v>3523</v>
      </c>
      <c r="BD202" s="238"/>
      <c r="BE202" s="239"/>
      <c r="BF202" s="239"/>
      <c r="BG202" s="239"/>
      <c r="BH202" s="239"/>
      <c r="BI202" s="239"/>
      <c r="BJ202" s="239"/>
      <c r="BK202" s="239"/>
      <c r="BL202" s="239"/>
      <c r="BM202" s="239"/>
      <c r="BN202" s="239"/>
      <c r="BO202" s="239"/>
      <c r="BP202" s="239"/>
      <c r="BQ202" s="239"/>
      <c r="BR202" s="239"/>
      <c r="BS202" s="239"/>
      <c r="BT202" s="239"/>
      <c r="BU202" s="239"/>
      <c r="BV202" s="239"/>
      <c r="BW202" s="239"/>
      <c r="BX202" s="239"/>
      <c r="BY202" s="239"/>
      <c r="BZ202" s="239"/>
      <c r="CA202" s="239"/>
      <c r="CB202" s="239"/>
      <c r="CC202" s="239"/>
      <c r="CD202" s="239"/>
      <c r="CE202" s="239"/>
    </row>
    <row r="203" spans="1:83" ht="12.95" customHeight="1">
      <c r="A203" s="21" t="s">
        <v>3480</v>
      </c>
      <c r="B203" s="21" t="s">
        <v>2439</v>
      </c>
      <c r="C203" s="51" t="s">
        <v>961</v>
      </c>
      <c r="D203" s="52" t="s">
        <v>2134</v>
      </c>
      <c r="E203" s="52" t="s">
        <v>2135</v>
      </c>
      <c r="F203" s="53" t="s">
        <v>1281</v>
      </c>
      <c r="G203" s="179"/>
      <c r="H203" s="180" t="s">
        <v>1561</v>
      </c>
      <c r="I203" s="55" t="s">
        <v>1429</v>
      </c>
      <c r="J203" s="55" t="s">
        <v>1429</v>
      </c>
      <c r="K203" s="56" t="s">
        <v>1429</v>
      </c>
      <c r="L203" s="54" t="s">
        <v>1580</v>
      </c>
      <c r="M203" s="55" t="s">
        <v>1580</v>
      </c>
      <c r="N203" s="55" t="s">
        <v>1429</v>
      </c>
      <c r="O203" s="55" t="s">
        <v>1429</v>
      </c>
      <c r="P203" s="56" t="s">
        <v>1429</v>
      </c>
      <c r="Q203" s="6" t="s">
        <v>112</v>
      </c>
      <c r="R203" s="52" t="s">
        <v>113</v>
      </c>
      <c r="S203" s="52" t="s">
        <v>99</v>
      </c>
      <c r="T203" s="52" t="s">
        <v>100</v>
      </c>
      <c r="U203" s="57" t="s">
        <v>113</v>
      </c>
      <c r="V203" s="146" t="s">
        <v>2136</v>
      </c>
      <c r="W203" s="51" t="s">
        <v>2101</v>
      </c>
      <c r="X203" s="130" t="s">
        <v>2137</v>
      </c>
      <c r="Y203" s="130" t="s">
        <v>1429</v>
      </c>
      <c r="Z203" s="51" t="s">
        <v>1585</v>
      </c>
      <c r="AA203" s="51" t="s">
        <v>1893</v>
      </c>
      <c r="AB203" s="51" t="s">
        <v>1435</v>
      </c>
      <c r="AC203" s="51" t="s">
        <v>1674</v>
      </c>
      <c r="AD203" s="59" t="str">
        <f t="shared" si="30"/>
        <v>SPI2</v>
      </c>
      <c r="AE203" s="66"/>
      <c r="AF203" s="61" t="str">
        <f t="shared" si="31"/>
        <v>PULL_DOWN</v>
      </c>
      <c r="AG203" s="61" t="str">
        <f t="shared" si="35"/>
        <v>TRISTATE</v>
      </c>
      <c r="AH203" s="61" t="str">
        <f t="shared" si="32"/>
        <v>ENABLE</v>
      </c>
      <c r="AI203" s="67" t="str">
        <f t="shared" si="28"/>
        <v>N/A</v>
      </c>
      <c r="AJ203" s="176" t="b">
        <v>1</v>
      </c>
      <c r="AK203" s="176" t="b">
        <v>1</v>
      </c>
      <c r="AL203" s="176" t="b">
        <v>1</v>
      </c>
      <c r="AM203" s="176" t="b">
        <v>1</v>
      </c>
      <c r="AN203" s="176" t="b">
        <v>1</v>
      </c>
      <c r="AO203" s="176" t="b">
        <v>1</v>
      </c>
      <c r="AP203" s="64" t="str">
        <f t="shared" si="36"/>
        <v>VALID</v>
      </c>
      <c r="AQ203" s="227" t="s">
        <v>1561</v>
      </c>
      <c r="AR203" s="182" t="s">
        <v>3496</v>
      </c>
      <c r="AS203" s="181" t="s">
        <v>3503</v>
      </c>
      <c r="AT203" s="181" t="s">
        <v>104</v>
      </c>
      <c r="AU203" s="5"/>
      <c r="AV203" s="5"/>
      <c r="AW203" s="181" t="s">
        <v>125</v>
      </c>
      <c r="AX203" s="284"/>
      <c r="AY203" s="181"/>
      <c r="AZ203" s="181"/>
      <c r="BA203" s="7"/>
      <c r="BB203" s="212"/>
      <c r="BC203" s="10" t="s">
        <v>3523</v>
      </c>
      <c r="BD203" s="238"/>
      <c r="BE203" s="239"/>
      <c r="BF203" s="239"/>
      <c r="BG203" s="239"/>
      <c r="BH203" s="239"/>
      <c r="BI203" s="239"/>
      <c r="BJ203" s="239"/>
      <c r="BK203" s="239"/>
      <c r="BL203" s="239"/>
      <c r="BM203" s="239"/>
      <c r="BN203" s="239"/>
      <c r="BO203" s="239"/>
      <c r="BP203" s="239"/>
      <c r="BQ203" s="239"/>
      <c r="BR203" s="239"/>
      <c r="BS203" s="239"/>
      <c r="BT203" s="239"/>
      <c r="BU203" s="239"/>
      <c r="BV203" s="239"/>
      <c r="BW203" s="239"/>
      <c r="BX203" s="239"/>
      <c r="BY203" s="239"/>
      <c r="BZ203" s="239"/>
      <c r="CA203" s="239"/>
      <c r="CB203" s="239"/>
      <c r="CC203" s="239"/>
      <c r="CD203" s="239"/>
      <c r="CE203" s="239"/>
    </row>
    <row r="204" spans="1:83" ht="12.95" customHeight="1">
      <c r="A204" s="21" t="s">
        <v>3479</v>
      </c>
      <c r="B204" s="21" t="s">
        <v>2264</v>
      </c>
      <c r="C204" s="51" t="s">
        <v>962</v>
      </c>
      <c r="D204" s="52" t="s">
        <v>2117</v>
      </c>
      <c r="E204" s="52" t="s">
        <v>2138</v>
      </c>
      <c r="F204" s="53" t="s">
        <v>1282</v>
      </c>
      <c r="G204" s="179"/>
      <c r="H204" s="180" t="s">
        <v>1562</v>
      </c>
      <c r="I204" s="55" t="s">
        <v>1429</v>
      </c>
      <c r="J204" s="55" t="s">
        <v>1429</v>
      </c>
      <c r="K204" s="56" t="s">
        <v>1429</v>
      </c>
      <c r="L204" s="54" t="s">
        <v>1580</v>
      </c>
      <c r="M204" s="55" t="s">
        <v>1580</v>
      </c>
      <c r="N204" s="55" t="s">
        <v>1429</v>
      </c>
      <c r="O204" s="55" t="s">
        <v>1429</v>
      </c>
      <c r="P204" s="56" t="s">
        <v>1429</v>
      </c>
      <c r="Q204" s="6" t="s">
        <v>112</v>
      </c>
      <c r="R204" s="52" t="s">
        <v>113</v>
      </c>
      <c r="S204" s="52" t="s">
        <v>99</v>
      </c>
      <c r="T204" s="52" t="s">
        <v>100</v>
      </c>
      <c r="U204" s="57" t="s">
        <v>113</v>
      </c>
      <c r="V204" s="146" t="s">
        <v>2139</v>
      </c>
      <c r="W204" s="51" t="s">
        <v>2101</v>
      </c>
      <c r="X204" s="130" t="s">
        <v>2140</v>
      </c>
      <c r="Y204" s="130" t="s">
        <v>1429</v>
      </c>
      <c r="Z204" s="51" t="s">
        <v>1585</v>
      </c>
      <c r="AA204" s="51" t="s">
        <v>1893</v>
      </c>
      <c r="AB204" s="51" t="s">
        <v>1435</v>
      </c>
      <c r="AC204" s="51" t="s">
        <v>1674</v>
      </c>
      <c r="AD204" s="59" t="str">
        <f t="shared" si="30"/>
        <v>SPI2</v>
      </c>
      <c r="AE204" s="66"/>
      <c r="AF204" s="61" t="str">
        <f t="shared" si="31"/>
        <v>NORMAL</v>
      </c>
      <c r="AG204" s="61" t="str">
        <f t="shared" si="35"/>
        <v>NORMAL</v>
      </c>
      <c r="AH204" s="61" t="str">
        <f t="shared" si="32"/>
        <v>DISABLE</v>
      </c>
      <c r="AI204" s="67" t="str">
        <f t="shared" si="28"/>
        <v>N/A</v>
      </c>
      <c r="AJ204" s="176" t="b">
        <v>1</v>
      </c>
      <c r="AK204" s="176" t="b">
        <v>1</v>
      </c>
      <c r="AL204" s="176" t="b">
        <v>1</v>
      </c>
      <c r="AM204" s="176" t="b">
        <v>1</v>
      </c>
      <c r="AN204" s="176" t="b">
        <v>1</v>
      </c>
      <c r="AO204" s="176" t="b">
        <v>1</v>
      </c>
      <c r="AP204" s="64" t="str">
        <f t="shared" si="36"/>
        <v>VALID</v>
      </c>
      <c r="AQ204" s="227" t="s">
        <v>1562</v>
      </c>
      <c r="AR204" s="182" t="s">
        <v>3495</v>
      </c>
      <c r="AS204" s="181"/>
      <c r="AT204" s="181" t="s">
        <v>104</v>
      </c>
      <c r="AU204" s="5"/>
      <c r="AV204" s="5"/>
      <c r="AW204" s="181" t="s">
        <v>125</v>
      </c>
      <c r="AX204" s="284"/>
      <c r="AY204" s="181"/>
      <c r="AZ204" s="181"/>
      <c r="BA204" s="7"/>
      <c r="BB204" s="212"/>
      <c r="BC204" s="10" t="s">
        <v>3523</v>
      </c>
      <c r="BD204" s="238"/>
      <c r="BE204" s="239"/>
      <c r="BF204" s="239"/>
      <c r="BG204" s="239"/>
      <c r="BH204" s="239"/>
      <c r="BI204" s="239"/>
      <c r="BJ204" s="239"/>
      <c r="BK204" s="239"/>
      <c r="BL204" s="239"/>
      <c r="BM204" s="239"/>
      <c r="BN204" s="239"/>
      <c r="BO204" s="239"/>
      <c r="BP204" s="239"/>
      <c r="BQ204" s="239"/>
      <c r="BR204" s="239"/>
      <c r="BS204" s="239"/>
      <c r="BT204" s="239"/>
      <c r="BU204" s="239"/>
      <c r="BV204" s="239"/>
      <c r="BW204" s="239"/>
      <c r="BX204" s="239"/>
      <c r="BY204" s="239"/>
      <c r="BZ204" s="239"/>
      <c r="CA204" s="239"/>
      <c r="CB204" s="239"/>
      <c r="CC204" s="239"/>
      <c r="CD204" s="239"/>
      <c r="CE204" s="239"/>
    </row>
    <row r="205" spans="1:83" ht="12.95" customHeight="1">
      <c r="A205" s="21" t="s">
        <v>3478</v>
      </c>
      <c r="B205" s="21" t="s">
        <v>84</v>
      </c>
      <c r="C205" s="51" t="s">
        <v>963</v>
      </c>
      <c r="D205" s="52" t="s">
        <v>2141</v>
      </c>
      <c r="E205" s="52" t="s">
        <v>2142</v>
      </c>
      <c r="F205" s="53" t="s">
        <v>1283</v>
      </c>
      <c r="G205" s="179"/>
      <c r="H205" s="180" t="s">
        <v>1563</v>
      </c>
      <c r="I205" s="55" t="s">
        <v>1429</v>
      </c>
      <c r="J205" s="55" t="s">
        <v>1429</v>
      </c>
      <c r="K205" s="56" t="s">
        <v>1429</v>
      </c>
      <c r="L205" s="54" t="s">
        <v>1580</v>
      </c>
      <c r="M205" s="55" t="s">
        <v>1580</v>
      </c>
      <c r="N205" s="55" t="s">
        <v>1429</v>
      </c>
      <c r="O205" s="55" t="s">
        <v>1429</v>
      </c>
      <c r="P205" s="56" t="s">
        <v>1429</v>
      </c>
      <c r="Q205" s="6" t="s">
        <v>112</v>
      </c>
      <c r="R205" s="52" t="s">
        <v>113</v>
      </c>
      <c r="S205" s="52" t="s">
        <v>99</v>
      </c>
      <c r="T205" s="52" t="s">
        <v>100</v>
      </c>
      <c r="U205" s="57" t="s">
        <v>113</v>
      </c>
      <c r="V205" s="146" t="s">
        <v>2143</v>
      </c>
      <c r="W205" s="51" t="s">
        <v>2101</v>
      </c>
      <c r="X205" s="130" t="s">
        <v>2144</v>
      </c>
      <c r="Y205" s="130" t="s">
        <v>1429</v>
      </c>
      <c r="Z205" s="51" t="s">
        <v>1585</v>
      </c>
      <c r="AA205" s="51" t="s">
        <v>1893</v>
      </c>
      <c r="AB205" s="51" t="s">
        <v>1435</v>
      </c>
      <c r="AC205" s="51" t="s">
        <v>1674</v>
      </c>
      <c r="AD205" s="59" t="str">
        <f t="shared" si="30"/>
        <v>SPI2</v>
      </c>
      <c r="AE205" s="66"/>
      <c r="AF205" s="61" t="str">
        <f t="shared" si="31"/>
        <v>PULL_UP</v>
      </c>
      <c r="AG205" s="61" t="str">
        <f t="shared" si="35"/>
        <v>NORMAL</v>
      </c>
      <c r="AH205" s="61" t="str">
        <f t="shared" si="32"/>
        <v>DISABLE</v>
      </c>
      <c r="AI205" s="67" t="str">
        <f t="shared" ref="AI205:AI247" si="37">IF($AQ205&lt;&gt;$G205,"N/A",IF($AS205="Drive 1", "1", IF($AS205="Drive 0", "0", "")))</f>
        <v>N/A</v>
      </c>
      <c r="AJ205" s="176" t="b">
        <v>1</v>
      </c>
      <c r="AK205" s="176" t="b">
        <v>1</v>
      </c>
      <c r="AL205" s="176" t="b">
        <v>1</v>
      </c>
      <c r="AM205" s="176" t="b">
        <v>1</v>
      </c>
      <c r="AN205" s="176" t="b">
        <v>1</v>
      </c>
      <c r="AO205" s="176" t="b">
        <v>1</v>
      </c>
      <c r="AP205" s="64" t="str">
        <f t="shared" si="36"/>
        <v>VALID</v>
      </c>
      <c r="AQ205" s="227" t="s">
        <v>1563</v>
      </c>
      <c r="AR205" s="182" t="s">
        <v>3495</v>
      </c>
      <c r="AS205" s="181" t="s">
        <v>3497</v>
      </c>
      <c r="AT205" s="181" t="s">
        <v>104</v>
      </c>
      <c r="AU205" s="5"/>
      <c r="AV205" s="5"/>
      <c r="AW205" s="181" t="s">
        <v>125</v>
      </c>
      <c r="AX205" s="284"/>
      <c r="AY205" s="181"/>
      <c r="AZ205" s="181"/>
      <c r="BA205" s="7"/>
      <c r="BB205" s="212"/>
      <c r="BC205" s="10" t="s">
        <v>3523</v>
      </c>
      <c r="BD205" s="238"/>
      <c r="BE205" s="239"/>
      <c r="BF205" s="239"/>
      <c r="BG205" s="239"/>
      <c r="BH205" s="239"/>
      <c r="BI205" s="239"/>
      <c r="BJ205" s="239"/>
      <c r="BK205" s="239"/>
      <c r="BL205" s="239"/>
      <c r="BM205" s="239"/>
      <c r="BN205" s="239"/>
      <c r="BO205" s="239"/>
      <c r="BP205" s="239"/>
      <c r="BQ205" s="239"/>
      <c r="BR205" s="239"/>
      <c r="BS205" s="239"/>
      <c r="BT205" s="239"/>
      <c r="BU205" s="239"/>
      <c r="BV205" s="239"/>
      <c r="BW205" s="239"/>
      <c r="BX205" s="239"/>
      <c r="BY205" s="239"/>
      <c r="BZ205" s="239"/>
      <c r="CA205" s="239"/>
      <c r="CB205" s="239"/>
      <c r="CC205" s="239"/>
      <c r="CD205" s="239"/>
      <c r="CE205" s="239"/>
    </row>
    <row r="206" spans="1:83" ht="12.95" customHeight="1">
      <c r="A206" s="21" t="s">
        <v>3807</v>
      </c>
      <c r="B206" s="21" t="s">
        <v>3603</v>
      </c>
      <c r="C206" s="51" t="s">
        <v>964</v>
      </c>
      <c r="D206" s="52" t="s">
        <v>2145</v>
      </c>
      <c r="E206" s="52" t="s">
        <v>2141</v>
      </c>
      <c r="F206" s="53" t="s">
        <v>1284</v>
      </c>
      <c r="G206" s="179" t="s">
        <v>1564</v>
      </c>
      <c r="H206" s="180" t="s">
        <v>1429</v>
      </c>
      <c r="I206" s="55" t="s">
        <v>1429</v>
      </c>
      <c r="J206" s="55" t="s">
        <v>1429</v>
      </c>
      <c r="K206" s="56" t="s">
        <v>1429</v>
      </c>
      <c r="L206" s="54" t="s">
        <v>1580</v>
      </c>
      <c r="M206" s="55" t="s">
        <v>1429</v>
      </c>
      <c r="N206" s="55" t="s">
        <v>1429</v>
      </c>
      <c r="O206" s="55" t="s">
        <v>1429</v>
      </c>
      <c r="P206" s="56" t="s">
        <v>1429</v>
      </c>
      <c r="Q206" s="6" t="s">
        <v>755</v>
      </c>
      <c r="R206" s="52" t="s">
        <v>113</v>
      </c>
      <c r="S206" s="52" t="s">
        <v>99</v>
      </c>
      <c r="T206" s="52" t="s">
        <v>100</v>
      </c>
      <c r="U206" s="57" t="s">
        <v>755</v>
      </c>
      <c r="V206" s="146" t="s">
        <v>2146</v>
      </c>
      <c r="W206" s="51" t="s">
        <v>2101</v>
      </c>
      <c r="X206" s="130" t="s">
        <v>2147</v>
      </c>
      <c r="Y206" s="130" t="s">
        <v>1429</v>
      </c>
      <c r="Z206" s="51" t="s">
        <v>1585</v>
      </c>
      <c r="AA206" s="51" t="s">
        <v>1893</v>
      </c>
      <c r="AB206" s="51" t="s">
        <v>1435</v>
      </c>
      <c r="AC206" s="51" t="s">
        <v>1587</v>
      </c>
      <c r="AD206" s="59" t="str">
        <f t="shared" ref="AD206:AD224" si="38">IF(OR($AQ206="",$AQ206=$F206),$U206,IF($AQ206=$G206,SUBSTITUTE(SUBSTITUTE($AQ206,"GPIO3_","GPIO_"),".0",""),IF($AQ206=$H206,$Q206,IF($AQ206=$I206,$R206,IF($AQ206=$J206,$S206,IF($AQ206=$K206,$T206,"INVALID"))))))</f>
        <v>GPIO_PV5</v>
      </c>
      <c r="AE206" s="66"/>
      <c r="AF206" s="61" t="str">
        <f t="shared" ref="AF206:AF224" si="39">IF(AND(OR($AS206="Int PU",$AS206="Int PD"),OR(AND($AY206&lt;&gt;"",$AY206&lt;&gt;"0"),AND($AZ206&lt;&gt;"",$AZ206&lt;&gt;"0"))),"INVALID",IF(OR($AQ206=$F206,$AS206="Int PD"),"PULL_DOWN",IF(OR($AS206="Int PU",AND($AE206="YES",OR($AY206="",$AY206="0"),OR($AZ206="",$AZ206="0"),OR($AR206="Input",$AR206="Bidirectional"))),"PULL_UP","NORMAL")))</f>
        <v>NORMAL</v>
      </c>
      <c r="AG206" s="61" t="str">
        <f t="shared" si="35"/>
        <v>NORMAL</v>
      </c>
      <c r="AH206" s="61" t="str">
        <f t="shared" ref="AH206:AH224" si="40">IF(OR($AQ206=$F206,$AR206="Output"),"DISABLE","ENABLE")</f>
        <v>DISABLE</v>
      </c>
      <c r="AI206" s="67" t="str">
        <f t="shared" si="37"/>
        <v>0</v>
      </c>
      <c r="AJ206" s="176" t="b">
        <v>1</v>
      </c>
      <c r="AK206" s="176" t="b">
        <v>1</v>
      </c>
      <c r="AL206" s="176" t="b">
        <v>1</v>
      </c>
      <c r="AM206" s="176" t="b">
        <v>1</v>
      </c>
      <c r="AN206" s="176" t="b">
        <v>1</v>
      </c>
      <c r="AO206" s="176" t="b">
        <v>1</v>
      </c>
      <c r="AP206" s="64" t="str">
        <f t="shared" si="36"/>
        <v>VALID</v>
      </c>
      <c r="AQ206" s="226" t="s">
        <v>1564</v>
      </c>
      <c r="AR206" s="182" t="s">
        <v>3495</v>
      </c>
      <c r="AS206" s="181" t="s">
        <v>3500</v>
      </c>
      <c r="AT206" s="181" t="s">
        <v>104</v>
      </c>
      <c r="AU206" s="5"/>
      <c r="AV206" s="5"/>
      <c r="AW206" s="181" t="s">
        <v>125</v>
      </c>
      <c r="AX206" s="284"/>
      <c r="AY206" s="181"/>
      <c r="AZ206" s="181"/>
      <c r="BA206" s="7"/>
      <c r="BB206" s="212"/>
      <c r="BC206" s="10" t="s">
        <v>3670</v>
      </c>
      <c r="BD206" s="240"/>
      <c r="BE206" s="239"/>
      <c r="BF206" s="239"/>
      <c r="BG206" s="239"/>
      <c r="BH206" s="239"/>
      <c r="BI206" s="239"/>
      <c r="BJ206" s="239"/>
      <c r="BK206" s="239"/>
      <c r="BL206" s="239"/>
      <c r="BM206" s="239"/>
      <c r="BN206" s="239"/>
      <c r="BO206" s="239"/>
      <c r="BP206" s="239"/>
      <c r="BQ206" s="239"/>
      <c r="BR206" s="239"/>
      <c r="BS206" s="239"/>
      <c r="BT206" s="239"/>
      <c r="BU206" s="239"/>
      <c r="BV206" s="239"/>
      <c r="BW206" s="239"/>
      <c r="BX206" s="239"/>
      <c r="BY206" s="239"/>
      <c r="BZ206" s="239"/>
      <c r="CA206" s="239"/>
      <c r="CB206" s="239"/>
      <c r="CC206" s="239"/>
      <c r="CD206" s="239"/>
      <c r="CE206" s="239"/>
    </row>
    <row r="207" spans="1:83" ht="12.95" customHeight="1">
      <c r="A207" s="21" t="s">
        <v>1418</v>
      </c>
      <c r="B207" s="21" t="s">
        <v>3579</v>
      </c>
      <c r="C207" s="51" t="s">
        <v>965</v>
      </c>
      <c r="D207" s="52" t="s">
        <v>2135</v>
      </c>
      <c r="E207" s="52" t="s">
        <v>2120</v>
      </c>
      <c r="F207" s="53" t="s">
        <v>1285</v>
      </c>
      <c r="G207" s="179"/>
      <c r="H207" s="180" t="s">
        <v>1429</v>
      </c>
      <c r="I207" s="55" t="s">
        <v>2148</v>
      </c>
      <c r="J207" s="55" t="s">
        <v>1429</v>
      </c>
      <c r="K207" s="56" t="s">
        <v>1429</v>
      </c>
      <c r="L207" s="54" t="s">
        <v>1580</v>
      </c>
      <c r="M207" s="55" t="s">
        <v>1429</v>
      </c>
      <c r="N207" s="55" t="s">
        <v>1581</v>
      </c>
      <c r="O207" s="55" t="s">
        <v>1429</v>
      </c>
      <c r="P207" s="56" t="s">
        <v>1429</v>
      </c>
      <c r="Q207" s="52" t="s">
        <v>755</v>
      </c>
      <c r="R207" s="52" t="s">
        <v>1362</v>
      </c>
      <c r="S207" s="52" t="s">
        <v>99</v>
      </c>
      <c r="T207" s="52" t="s">
        <v>100</v>
      </c>
      <c r="U207" s="52" t="s">
        <v>755</v>
      </c>
      <c r="V207" s="146" t="s">
        <v>2149</v>
      </c>
      <c r="W207" s="51" t="s">
        <v>2101</v>
      </c>
      <c r="X207" s="130" t="s">
        <v>1429</v>
      </c>
      <c r="Y207" s="130" t="s">
        <v>1429</v>
      </c>
      <c r="Z207" s="51" t="s">
        <v>1585</v>
      </c>
      <c r="AA207" s="51" t="s">
        <v>1893</v>
      </c>
      <c r="AB207" s="51" t="s">
        <v>1435</v>
      </c>
      <c r="AC207" s="51" t="s">
        <v>1587</v>
      </c>
      <c r="AD207" s="59" t="str">
        <f t="shared" si="38"/>
        <v>GP</v>
      </c>
      <c r="AE207" s="66"/>
      <c r="AF207" s="61" t="str">
        <f t="shared" si="39"/>
        <v>NORMAL</v>
      </c>
      <c r="AG207" s="61" t="str">
        <f t="shared" si="35"/>
        <v>NORMAL</v>
      </c>
      <c r="AH207" s="61" t="str">
        <f t="shared" si="40"/>
        <v>DISABLE</v>
      </c>
      <c r="AI207" s="67" t="str">
        <f t="shared" si="37"/>
        <v>N/A</v>
      </c>
      <c r="AJ207" s="176" t="b">
        <v>1</v>
      </c>
      <c r="AK207" s="176" t="b">
        <v>1</v>
      </c>
      <c r="AL207" s="176" t="b">
        <v>1</v>
      </c>
      <c r="AM207" s="176" t="b">
        <v>1</v>
      </c>
      <c r="AN207" s="176" t="b">
        <v>1</v>
      </c>
      <c r="AO207" s="176" t="b">
        <v>1</v>
      </c>
      <c r="AP207" s="64" t="str">
        <f t="shared" si="36"/>
        <v>VALID</v>
      </c>
      <c r="AQ207" s="226" t="s">
        <v>2148</v>
      </c>
      <c r="AR207" s="182" t="s">
        <v>3495</v>
      </c>
      <c r="AS207" s="181"/>
      <c r="AT207" s="5"/>
      <c r="AU207" s="5"/>
      <c r="AV207" s="5"/>
      <c r="AW207" s="181" t="s">
        <v>125</v>
      </c>
      <c r="AX207" s="284"/>
      <c r="AY207" s="181"/>
      <c r="AZ207" s="181"/>
      <c r="BA207" s="7"/>
      <c r="BB207" s="212"/>
      <c r="BC207" s="10" t="s">
        <v>1418</v>
      </c>
      <c r="BD207" s="238"/>
      <c r="BE207" s="239"/>
      <c r="BF207" s="239"/>
      <c r="BG207" s="239"/>
      <c r="BH207" s="239"/>
      <c r="BI207" s="239"/>
      <c r="BJ207" s="239"/>
      <c r="BK207" s="239"/>
      <c r="BL207" s="239"/>
      <c r="BM207" s="239"/>
      <c r="BN207" s="239"/>
      <c r="BO207" s="239"/>
      <c r="BP207" s="239"/>
      <c r="BQ207" s="239"/>
      <c r="BR207" s="239"/>
      <c r="BS207" s="239"/>
      <c r="BT207" s="239"/>
      <c r="BU207" s="239"/>
      <c r="BV207" s="239"/>
      <c r="BW207" s="239"/>
      <c r="BX207" s="239"/>
      <c r="BY207" s="239"/>
      <c r="BZ207" s="239"/>
      <c r="CA207" s="239"/>
      <c r="CB207" s="239"/>
      <c r="CC207" s="239"/>
      <c r="CD207" s="239"/>
      <c r="CE207" s="239"/>
    </row>
    <row r="208" spans="1:83" ht="12.95" customHeight="1">
      <c r="A208" s="21" t="s">
        <v>1419</v>
      </c>
      <c r="B208" s="21" t="s">
        <v>2316</v>
      </c>
      <c r="C208" s="51" t="s">
        <v>966</v>
      </c>
      <c r="D208" s="52" t="s">
        <v>2150</v>
      </c>
      <c r="E208" s="52" t="s">
        <v>2113</v>
      </c>
      <c r="F208" s="53" t="s">
        <v>1286</v>
      </c>
      <c r="G208" s="179" t="s">
        <v>1565</v>
      </c>
      <c r="H208" s="180" t="s">
        <v>1429</v>
      </c>
      <c r="I208" s="55" t="s">
        <v>2151</v>
      </c>
      <c r="J208" s="55" t="s">
        <v>1429</v>
      </c>
      <c r="K208" s="56" t="s">
        <v>1429</v>
      </c>
      <c r="L208" s="54" t="s">
        <v>1580</v>
      </c>
      <c r="M208" s="55" t="s">
        <v>1429</v>
      </c>
      <c r="N208" s="55" t="s">
        <v>1581</v>
      </c>
      <c r="O208" s="55" t="s">
        <v>1429</v>
      </c>
      <c r="P208" s="56" t="s">
        <v>1429</v>
      </c>
      <c r="Q208" s="52" t="s">
        <v>755</v>
      </c>
      <c r="R208" s="52" t="s">
        <v>1373</v>
      </c>
      <c r="S208" s="52" t="s">
        <v>99</v>
      </c>
      <c r="T208" s="52" t="s">
        <v>100</v>
      </c>
      <c r="U208" s="52" t="s">
        <v>755</v>
      </c>
      <c r="V208" s="146" t="s">
        <v>2152</v>
      </c>
      <c r="W208" s="51" t="s">
        <v>2101</v>
      </c>
      <c r="X208" s="130" t="s">
        <v>1429</v>
      </c>
      <c r="Y208" s="130" t="s">
        <v>1429</v>
      </c>
      <c r="Z208" s="51" t="s">
        <v>1585</v>
      </c>
      <c r="AA208" s="51" t="s">
        <v>1893</v>
      </c>
      <c r="AB208" s="51" t="s">
        <v>1435</v>
      </c>
      <c r="AC208" s="51">
        <v>1</v>
      </c>
      <c r="AD208" s="59" t="str">
        <f t="shared" si="38"/>
        <v>WDT</v>
      </c>
      <c r="AE208" s="66"/>
      <c r="AF208" s="61" t="str">
        <f t="shared" si="39"/>
        <v>NORMAL</v>
      </c>
      <c r="AG208" s="61" t="str">
        <f t="shared" si="35"/>
        <v>NORMAL</v>
      </c>
      <c r="AH208" s="61" t="str">
        <f t="shared" si="40"/>
        <v>DISABLE</v>
      </c>
      <c r="AI208" s="67" t="str">
        <f t="shared" si="37"/>
        <v>N/A</v>
      </c>
      <c r="AJ208" s="176" t="b">
        <v>1</v>
      </c>
      <c r="AK208" s="176" t="b">
        <v>1</v>
      </c>
      <c r="AL208" s="176" t="b">
        <v>1</v>
      </c>
      <c r="AM208" s="176" t="b">
        <v>1</v>
      </c>
      <c r="AN208" s="176" t="b">
        <v>1</v>
      </c>
      <c r="AO208" s="176" t="b">
        <v>1</v>
      </c>
      <c r="AP208" s="64" t="str">
        <f t="shared" si="36"/>
        <v>VALID</v>
      </c>
      <c r="AQ208" s="226" t="s">
        <v>2151</v>
      </c>
      <c r="AR208" s="182" t="s">
        <v>3495</v>
      </c>
      <c r="AS208" s="181"/>
      <c r="AT208" s="5"/>
      <c r="AU208" s="5"/>
      <c r="AV208" s="5"/>
      <c r="AW208" s="181" t="s">
        <v>125</v>
      </c>
      <c r="AX208" s="284"/>
      <c r="AY208" s="181"/>
      <c r="AZ208" s="181"/>
      <c r="BA208" s="7"/>
      <c r="BB208" s="212"/>
      <c r="BC208" s="10" t="s">
        <v>1419</v>
      </c>
      <c r="BD208" s="238"/>
      <c r="BE208" s="239"/>
      <c r="BF208" s="239"/>
      <c r="BG208" s="239"/>
      <c r="BH208" s="239"/>
      <c r="BI208" s="239"/>
      <c r="BJ208" s="239"/>
      <c r="BK208" s="239"/>
      <c r="BL208" s="239"/>
      <c r="BM208" s="239"/>
      <c r="BN208" s="239"/>
      <c r="BO208" s="239"/>
      <c r="BP208" s="239"/>
      <c r="BQ208" s="239"/>
      <c r="BR208" s="239"/>
      <c r="BS208" s="239"/>
      <c r="BT208" s="239"/>
      <c r="BU208" s="239"/>
      <c r="BV208" s="239"/>
      <c r="BW208" s="239"/>
      <c r="BX208" s="239"/>
      <c r="BY208" s="239"/>
      <c r="BZ208" s="239"/>
      <c r="CA208" s="239"/>
      <c r="CB208" s="239"/>
      <c r="CC208" s="239"/>
      <c r="CD208" s="239"/>
      <c r="CE208" s="239"/>
    </row>
    <row r="209" spans="1:83" ht="12.95" customHeight="1">
      <c r="A209" s="21" t="s">
        <v>3477</v>
      </c>
      <c r="B209" s="21" t="s">
        <v>2357</v>
      </c>
      <c r="C209" s="51" t="s">
        <v>967</v>
      </c>
      <c r="D209" s="52" t="s">
        <v>2153</v>
      </c>
      <c r="E209" s="52" t="s">
        <v>2154</v>
      </c>
      <c r="F209" s="53" t="s">
        <v>1287</v>
      </c>
      <c r="G209" s="179"/>
      <c r="H209" s="180" t="s">
        <v>1429</v>
      </c>
      <c r="I209" s="55" t="s">
        <v>1566</v>
      </c>
      <c r="J209" s="55" t="s">
        <v>1429</v>
      </c>
      <c r="K209" s="56" t="s">
        <v>1429</v>
      </c>
      <c r="L209" s="54" t="s">
        <v>1580</v>
      </c>
      <c r="M209" s="55" t="s">
        <v>1429</v>
      </c>
      <c r="N209" s="55" t="s">
        <v>1580</v>
      </c>
      <c r="O209" s="55" t="s">
        <v>1429</v>
      </c>
      <c r="P209" s="56" t="s">
        <v>1429</v>
      </c>
      <c r="Q209" s="52" t="s">
        <v>755</v>
      </c>
      <c r="R209" s="52" t="s">
        <v>750</v>
      </c>
      <c r="S209" s="52" t="s">
        <v>99</v>
      </c>
      <c r="T209" s="52" t="s">
        <v>100</v>
      </c>
      <c r="U209" s="57" t="s">
        <v>755</v>
      </c>
      <c r="V209" s="146" t="s">
        <v>2155</v>
      </c>
      <c r="W209" s="51" t="s">
        <v>2101</v>
      </c>
      <c r="X209" s="130" t="s">
        <v>2156</v>
      </c>
      <c r="Y209" s="130" t="s">
        <v>1429</v>
      </c>
      <c r="Z209" s="51" t="s">
        <v>1631</v>
      </c>
      <c r="AA209" s="51" t="s">
        <v>1941</v>
      </c>
      <c r="AB209" s="51" t="s">
        <v>1435</v>
      </c>
      <c r="AC209" s="51" t="s">
        <v>1633</v>
      </c>
      <c r="AD209" s="59" t="str">
        <f t="shared" si="38"/>
        <v>I2C2</v>
      </c>
      <c r="AE209" s="66"/>
      <c r="AF209" s="61" t="str">
        <f t="shared" si="39"/>
        <v>NORMAL</v>
      </c>
      <c r="AG209" s="61" t="str">
        <f t="shared" si="35"/>
        <v>NORMAL</v>
      </c>
      <c r="AH209" s="61" t="str">
        <f t="shared" si="40"/>
        <v>ENABLE</v>
      </c>
      <c r="AI209" s="67" t="str">
        <f t="shared" si="37"/>
        <v>N/A</v>
      </c>
      <c r="AJ209" s="176" t="b">
        <v>1</v>
      </c>
      <c r="AK209" s="176" t="b">
        <v>1</v>
      </c>
      <c r="AL209" s="176" t="b">
        <v>1</v>
      </c>
      <c r="AM209" s="176" t="b">
        <v>1</v>
      </c>
      <c r="AN209" s="176" t="b">
        <v>1</v>
      </c>
      <c r="AO209" s="176" t="b">
        <v>1</v>
      </c>
      <c r="AP209" s="64" t="str">
        <f t="shared" si="36"/>
        <v>VALID</v>
      </c>
      <c r="AQ209" s="226" t="s">
        <v>1566</v>
      </c>
      <c r="AR209" s="182" t="s">
        <v>3501</v>
      </c>
      <c r="AS209" s="181"/>
      <c r="AT209" s="181" t="s">
        <v>104</v>
      </c>
      <c r="AU209" s="5"/>
      <c r="AV209" s="181" t="s">
        <v>125</v>
      </c>
      <c r="AW209" s="181" t="s">
        <v>125</v>
      </c>
      <c r="AX209" s="284"/>
      <c r="AY209" s="181" t="s">
        <v>67</v>
      </c>
      <c r="AZ209" s="181"/>
      <c r="BA209" s="7"/>
      <c r="BB209" s="212"/>
      <c r="BC209" s="10" t="s">
        <v>3477</v>
      </c>
      <c r="BD209" s="238"/>
      <c r="BE209" s="239"/>
      <c r="BF209" s="239"/>
      <c r="BG209" s="239"/>
      <c r="BH209" s="239"/>
      <c r="BI209" s="239"/>
      <c r="BJ209" s="239"/>
      <c r="BK209" s="239"/>
      <c r="BL209" s="239"/>
      <c r="BM209" s="239"/>
      <c r="BN209" s="239"/>
      <c r="BO209" s="239"/>
      <c r="BP209" s="239"/>
      <c r="BQ209" s="239"/>
      <c r="BR209" s="239"/>
      <c r="BS209" s="239"/>
      <c r="BT209" s="239"/>
      <c r="BU209" s="239"/>
      <c r="BV209" s="239"/>
      <c r="BW209" s="239"/>
      <c r="BX209" s="239"/>
      <c r="BY209" s="239"/>
      <c r="BZ209" s="239"/>
      <c r="CA209" s="239"/>
      <c r="CB209" s="239"/>
      <c r="CC209" s="239"/>
      <c r="CD209" s="239"/>
      <c r="CE209" s="239"/>
    </row>
    <row r="210" spans="1:83" ht="12.95" customHeight="1">
      <c r="A210" s="21" t="s">
        <v>3476</v>
      </c>
      <c r="B210" s="21" t="s">
        <v>2346</v>
      </c>
      <c r="C210" s="51" t="s">
        <v>968</v>
      </c>
      <c r="D210" s="52" t="s">
        <v>2157</v>
      </c>
      <c r="E210" s="52" t="s">
        <v>2127</v>
      </c>
      <c r="F210" s="53" t="s">
        <v>1288</v>
      </c>
      <c r="G210" s="179"/>
      <c r="H210" s="180" t="s">
        <v>1429</v>
      </c>
      <c r="I210" s="55" t="s">
        <v>1567</v>
      </c>
      <c r="J210" s="55" t="s">
        <v>1429</v>
      </c>
      <c r="K210" s="56" t="s">
        <v>1429</v>
      </c>
      <c r="L210" s="54" t="s">
        <v>1580</v>
      </c>
      <c r="M210" s="55" t="s">
        <v>1429</v>
      </c>
      <c r="N210" s="55" t="s">
        <v>1580</v>
      </c>
      <c r="O210" s="55" t="s">
        <v>1429</v>
      </c>
      <c r="P210" s="56" t="s">
        <v>1429</v>
      </c>
      <c r="Q210" s="52" t="s">
        <v>755</v>
      </c>
      <c r="R210" s="52" t="s">
        <v>750</v>
      </c>
      <c r="S210" s="52" t="s">
        <v>99</v>
      </c>
      <c r="T210" s="52" t="s">
        <v>100</v>
      </c>
      <c r="U210" s="57" t="s">
        <v>755</v>
      </c>
      <c r="V210" s="146" t="s">
        <v>2158</v>
      </c>
      <c r="W210" s="51" t="s">
        <v>2101</v>
      </c>
      <c r="X210" s="130" t="s">
        <v>1429</v>
      </c>
      <c r="Y210" s="130" t="s">
        <v>1429</v>
      </c>
      <c r="Z210" s="51" t="s">
        <v>1631</v>
      </c>
      <c r="AA210" s="51" t="s">
        <v>1941</v>
      </c>
      <c r="AB210" s="51" t="s">
        <v>1435</v>
      </c>
      <c r="AC210" s="51" t="s">
        <v>1633</v>
      </c>
      <c r="AD210" s="59" t="str">
        <f t="shared" si="38"/>
        <v>I2C2</v>
      </c>
      <c r="AE210" s="66"/>
      <c r="AF210" s="61" t="str">
        <f t="shared" si="39"/>
        <v>NORMAL</v>
      </c>
      <c r="AG210" s="61" t="str">
        <f t="shared" si="35"/>
        <v>NORMAL</v>
      </c>
      <c r="AH210" s="61" t="str">
        <f t="shared" si="40"/>
        <v>ENABLE</v>
      </c>
      <c r="AI210" s="67" t="str">
        <f t="shared" si="37"/>
        <v>N/A</v>
      </c>
      <c r="AJ210" s="176" t="b">
        <v>1</v>
      </c>
      <c r="AK210" s="176" t="b">
        <v>1</v>
      </c>
      <c r="AL210" s="176" t="b">
        <v>1</v>
      </c>
      <c r="AM210" s="176" t="b">
        <v>1</v>
      </c>
      <c r="AN210" s="176" t="b">
        <v>1</v>
      </c>
      <c r="AO210" s="176" t="b">
        <v>1</v>
      </c>
      <c r="AP210" s="64" t="str">
        <f t="shared" si="36"/>
        <v>VALID</v>
      </c>
      <c r="AQ210" s="226" t="s">
        <v>1567</v>
      </c>
      <c r="AR210" s="182" t="s">
        <v>3501</v>
      </c>
      <c r="AS210" s="181"/>
      <c r="AT210" s="5"/>
      <c r="AU210" s="5"/>
      <c r="AV210" s="181" t="s">
        <v>125</v>
      </c>
      <c r="AW210" s="181" t="s">
        <v>125</v>
      </c>
      <c r="AX210" s="284"/>
      <c r="AY210" s="181" t="s">
        <v>67</v>
      </c>
      <c r="AZ210" s="181"/>
      <c r="BA210" s="7"/>
      <c r="BB210" s="212"/>
      <c r="BC210" s="10" t="s">
        <v>3476</v>
      </c>
      <c r="BD210" s="238"/>
      <c r="BE210" s="239"/>
      <c r="BF210" s="239"/>
      <c r="BG210" s="239"/>
      <c r="BH210" s="239"/>
      <c r="BI210" s="239"/>
      <c r="BJ210" s="239"/>
      <c r="BK210" s="239"/>
      <c r="BL210" s="239"/>
      <c r="BM210" s="239"/>
      <c r="BN210" s="239"/>
      <c r="BO210" s="239"/>
      <c r="BP210" s="239"/>
      <c r="BQ210" s="239"/>
      <c r="BR210" s="239"/>
      <c r="BS210" s="239"/>
      <c r="BT210" s="239"/>
      <c r="BU210" s="239"/>
      <c r="BV210" s="239"/>
      <c r="BW210" s="239"/>
      <c r="BX210" s="239"/>
      <c r="BY210" s="239"/>
      <c r="BZ210" s="239"/>
      <c r="CA210" s="239"/>
      <c r="CB210" s="239"/>
      <c r="CC210" s="239"/>
      <c r="CD210" s="239"/>
      <c r="CE210" s="239"/>
    </row>
    <row r="211" spans="1:83" ht="12.95" customHeight="1">
      <c r="A211" s="21" t="s">
        <v>277</v>
      </c>
      <c r="B211" s="21" t="s">
        <v>1867</v>
      </c>
      <c r="C211" s="51" t="s">
        <v>277</v>
      </c>
      <c r="D211" s="52" t="s">
        <v>2128</v>
      </c>
      <c r="E211" s="52" t="s">
        <v>1870</v>
      </c>
      <c r="F211" s="53" t="s">
        <v>533</v>
      </c>
      <c r="G211" s="179"/>
      <c r="H211" s="180" t="s">
        <v>277</v>
      </c>
      <c r="I211" s="55" t="s">
        <v>1429</v>
      </c>
      <c r="J211" s="55" t="s">
        <v>1429</v>
      </c>
      <c r="K211" s="56" t="s">
        <v>1429</v>
      </c>
      <c r="L211" s="54" t="s">
        <v>1580</v>
      </c>
      <c r="M211" s="55" t="s">
        <v>1581</v>
      </c>
      <c r="N211" s="55" t="s">
        <v>1429</v>
      </c>
      <c r="O211" s="55" t="s">
        <v>1429</v>
      </c>
      <c r="P211" s="56" t="s">
        <v>1429</v>
      </c>
      <c r="Q211" s="52" t="s">
        <v>748</v>
      </c>
      <c r="R211" s="52" t="s">
        <v>113</v>
      </c>
      <c r="S211" s="52" t="s">
        <v>99</v>
      </c>
      <c r="T211" s="52" t="s">
        <v>100</v>
      </c>
      <c r="U211" s="57" t="s">
        <v>113</v>
      </c>
      <c r="V211" s="146" t="s">
        <v>2159</v>
      </c>
      <c r="W211" s="51" t="s">
        <v>2101</v>
      </c>
      <c r="X211" s="130" t="s">
        <v>1429</v>
      </c>
      <c r="Y211" s="130" t="s">
        <v>1429</v>
      </c>
      <c r="Z211" s="51" t="s">
        <v>1585</v>
      </c>
      <c r="AA211" s="51" t="s">
        <v>1893</v>
      </c>
      <c r="AB211" s="51" t="s">
        <v>1435</v>
      </c>
      <c r="AC211" s="51" t="s">
        <v>1587</v>
      </c>
      <c r="AD211" s="59" t="str">
        <f t="shared" si="38"/>
        <v>TOUCH</v>
      </c>
      <c r="AE211" s="66"/>
      <c r="AF211" s="61" t="str">
        <f t="shared" si="39"/>
        <v>NORMAL</v>
      </c>
      <c r="AG211" s="61" t="str">
        <f t="shared" si="35"/>
        <v>NORMAL</v>
      </c>
      <c r="AH211" s="61" t="str">
        <f t="shared" si="40"/>
        <v>DISABLE</v>
      </c>
      <c r="AI211" s="67" t="str">
        <f t="shared" si="37"/>
        <v>N/A</v>
      </c>
      <c r="AJ211" s="176" t="b">
        <v>1</v>
      </c>
      <c r="AK211" s="176" t="b">
        <v>1</v>
      </c>
      <c r="AL211" s="176" t="b">
        <v>1</v>
      </c>
      <c r="AM211" s="176" t="b">
        <v>1</v>
      </c>
      <c r="AN211" s="176" t="b">
        <v>1</v>
      </c>
      <c r="AO211" s="176" t="b">
        <v>1</v>
      </c>
      <c r="AP211" s="64" t="str">
        <f t="shared" si="36"/>
        <v>VALID</v>
      </c>
      <c r="AQ211" s="226" t="s">
        <v>277</v>
      </c>
      <c r="AR211" s="182" t="s">
        <v>3495</v>
      </c>
      <c r="AS211" s="181"/>
      <c r="AT211" s="5"/>
      <c r="AU211" s="5"/>
      <c r="AV211" s="5"/>
      <c r="AW211" s="181" t="s">
        <v>125</v>
      </c>
      <c r="AX211" s="284"/>
      <c r="AY211" s="181"/>
      <c r="AZ211" s="181"/>
      <c r="BA211" s="7"/>
      <c r="BB211" s="212"/>
      <c r="BC211" s="10" t="s">
        <v>277</v>
      </c>
      <c r="BD211" s="238"/>
      <c r="BE211" s="239"/>
      <c r="BF211" s="239"/>
      <c r="BG211" s="239"/>
      <c r="BH211" s="239"/>
      <c r="BI211" s="239"/>
      <c r="BJ211" s="239"/>
      <c r="BK211" s="239"/>
      <c r="BL211" s="239"/>
      <c r="BM211" s="239"/>
      <c r="BN211" s="239"/>
      <c r="BO211" s="239"/>
      <c r="BP211" s="239"/>
      <c r="BQ211" s="239"/>
      <c r="BR211" s="239"/>
      <c r="BS211" s="239"/>
      <c r="BT211" s="239"/>
      <c r="BU211" s="239"/>
      <c r="BV211" s="239"/>
      <c r="BW211" s="239"/>
      <c r="BX211" s="239"/>
      <c r="BY211" s="239"/>
      <c r="BZ211" s="239"/>
      <c r="CA211" s="239"/>
      <c r="CB211" s="239"/>
      <c r="CC211" s="239"/>
      <c r="CD211" s="239"/>
      <c r="CE211" s="239"/>
    </row>
    <row r="212" spans="1:83" s="50" customFormat="1" ht="18" customHeight="1">
      <c r="A212" s="171" t="s">
        <v>1352</v>
      </c>
      <c r="B212" s="171"/>
      <c r="C212" s="171"/>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8"/>
      <c r="AY212" s="73"/>
      <c r="AZ212" s="73"/>
      <c r="BA212" s="73"/>
      <c r="BB212" s="168" t="s">
        <v>50</v>
      </c>
      <c r="BC212" s="172"/>
      <c r="BD212" s="169"/>
      <c r="BE212" s="308"/>
      <c r="BF212" s="243"/>
      <c r="BG212" s="243"/>
      <c r="BH212" s="243"/>
      <c r="BI212" s="243"/>
      <c r="BJ212" s="243"/>
      <c r="BK212" s="243"/>
      <c r="BL212" s="243"/>
      <c r="BM212" s="243"/>
      <c r="BN212" s="243"/>
      <c r="BO212" s="243"/>
      <c r="BP212" s="243"/>
      <c r="BQ212" s="243"/>
      <c r="BR212" s="243"/>
      <c r="BS212" s="243"/>
      <c r="BT212" s="243"/>
      <c r="BU212" s="243"/>
      <c r="BV212" s="243"/>
      <c r="BW212" s="243"/>
      <c r="BX212" s="243"/>
      <c r="BY212" s="243"/>
      <c r="BZ212" s="243"/>
      <c r="CA212" s="243"/>
      <c r="CB212" s="243"/>
      <c r="CC212" s="243"/>
      <c r="CD212" s="243"/>
      <c r="CE212" s="243"/>
    </row>
    <row r="213" spans="1:83" ht="12.95" customHeight="1">
      <c r="A213" s="21" t="s">
        <v>3466</v>
      </c>
      <c r="B213" s="21" t="s">
        <v>2384</v>
      </c>
      <c r="C213" s="51" t="s">
        <v>970</v>
      </c>
      <c r="D213" s="52" t="s">
        <v>1936</v>
      </c>
      <c r="E213" s="52" t="s">
        <v>2160</v>
      </c>
      <c r="F213" s="53" t="s">
        <v>1289</v>
      </c>
      <c r="G213" s="179"/>
      <c r="H213" s="180" t="s">
        <v>970</v>
      </c>
      <c r="I213" s="55" t="s">
        <v>1429</v>
      </c>
      <c r="J213" s="55" t="s">
        <v>1429</v>
      </c>
      <c r="K213" s="56" t="s">
        <v>1429</v>
      </c>
      <c r="L213" s="54" t="s">
        <v>1580</v>
      </c>
      <c r="M213" s="55" t="s">
        <v>1581</v>
      </c>
      <c r="N213" s="55" t="s">
        <v>1429</v>
      </c>
      <c r="O213" s="55" t="s">
        <v>1429</v>
      </c>
      <c r="P213" s="56" t="s">
        <v>1429</v>
      </c>
      <c r="Q213" s="6" t="s">
        <v>1374</v>
      </c>
      <c r="R213" s="52" t="s">
        <v>113</v>
      </c>
      <c r="S213" s="52" t="s">
        <v>99</v>
      </c>
      <c r="T213" s="52" t="s">
        <v>100</v>
      </c>
      <c r="U213" s="57" t="s">
        <v>113</v>
      </c>
      <c r="V213" s="146" t="s">
        <v>2161</v>
      </c>
      <c r="W213" s="51" t="s">
        <v>2162</v>
      </c>
      <c r="X213" s="130" t="s">
        <v>2163</v>
      </c>
      <c r="Y213" s="130" t="s">
        <v>1429</v>
      </c>
      <c r="Z213" s="51" t="s">
        <v>1678</v>
      </c>
      <c r="AA213" s="51" t="s">
        <v>2164</v>
      </c>
      <c r="AB213" s="51" t="s">
        <v>3665</v>
      </c>
      <c r="AC213" s="51" t="s">
        <v>1674</v>
      </c>
      <c r="AD213" s="59" t="str">
        <f t="shared" si="38"/>
        <v>CAN1</v>
      </c>
      <c r="AE213" s="66"/>
      <c r="AF213" s="61" t="str">
        <f t="shared" si="39"/>
        <v>NORMAL</v>
      </c>
      <c r="AG213" s="61" t="str">
        <f t="shared" si="35"/>
        <v>NORMAL</v>
      </c>
      <c r="AH213" s="61" t="str">
        <f t="shared" si="40"/>
        <v>DISABLE</v>
      </c>
      <c r="AI213" s="67" t="str">
        <f t="shared" ref="AI213:AI224" si="41">IF($AQ213&lt;&gt;$G213,"N/A",IF($AS213="Drive 1", "1", IF($AS213="Drive 0", "0", "")))</f>
        <v>N/A</v>
      </c>
      <c r="AJ213" s="176" t="b">
        <v>1</v>
      </c>
      <c r="AK213" s="176" t="b">
        <v>1</v>
      </c>
      <c r="AL213" s="176" t="b">
        <v>1</v>
      </c>
      <c r="AM213" s="176" t="b">
        <v>1</v>
      </c>
      <c r="AN213" s="176" t="b">
        <v>1</v>
      </c>
      <c r="AO213" s="176" t="b">
        <v>1</v>
      </c>
      <c r="AP213" s="64" t="str">
        <f t="shared" si="36"/>
        <v>VALID</v>
      </c>
      <c r="AQ213" s="227" t="s">
        <v>970</v>
      </c>
      <c r="AR213" s="182" t="s">
        <v>3495</v>
      </c>
      <c r="AS213" s="181"/>
      <c r="AT213" s="181" t="s">
        <v>104</v>
      </c>
      <c r="AU213" s="5"/>
      <c r="AV213" s="5"/>
      <c r="AW213" s="5"/>
      <c r="AX213" s="284"/>
      <c r="AY213" s="181"/>
      <c r="AZ213" s="181"/>
      <c r="BA213" s="7"/>
      <c r="BB213" s="212"/>
      <c r="BC213" s="10" t="s">
        <v>3770</v>
      </c>
      <c r="BD213" s="238"/>
      <c r="BE213" s="239"/>
      <c r="BF213" s="239"/>
      <c r="BG213" s="239"/>
      <c r="BH213" s="239"/>
      <c r="BI213" s="239"/>
      <c r="BJ213" s="239"/>
      <c r="BK213" s="239"/>
      <c r="BL213" s="239"/>
      <c r="BM213" s="239"/>
      <c r="BN213" s="239"/>
      <c r="BO213" s="239"/>
      <c r="BP213" s="239"/>
      <c r="BQ213" s="239"/>
      <c r="BR213" s="239"/>
      <c r="BS213" s="239"/>
      <c r="BT213" s="239"/>
      <c r="BU213" s="239"/>
      <c r="BV213" s="239"/>
      <c r="BW213" s="239"/>
      <c r="BX213" s="239"/>
      <c r="BY213" s="239"/>
      <c r="BZ213" s="239"/>
      <c r="CA213" s="239"/>
      <c r="CB213" s="239"/>
      <c r="CC213" s="239"/>
      <c r="CD213" s="239"/>
      <c r="CE213" s="239"/>
    </row>
    <row r="214" spans="1:83" ht="12.95" customHeight="1">
      <c r="A214" s="21" t="s">
        <v>3467</v>
      </c>
      <c r="B214" s="21" t="s">
        <v>2388</v>
      </c>
      <c r="C214" s="51" t="s">
        <v>971</v>
      </c>
      <c r="D214" s="52" t="s">
        <v>2165</v>
      </c>
      <c r="E214" s="52" t="s">
        <v>2165</v>
      </c>
      <c r="F214" s="53" t="s">
        <v>1290</v>
      </c>
      <c r="G214" s="179"/>
      <c r="H214" s="180" t="s">
        <v>971</v>
      </c>
      <c r="I214" s="55" t="s">
        <v>1429</v>
      </c>
      <c r="J214" s="55" t="s">
        <v>1429</v>
      </c>
      <c r="K214" s="56" t="s">
        <v>1429</v>
      </c>
      <c r="L214" s="54" t="s">
        <v>1580</v>
      </c>
      <c r="M214" s="55" t="s">
        <v>1590</v>
      </c>
      <c r="N214" s="55" t="s">
        <v>1429</v>
      </c>
      <c r="O214" s="55" t="s">
        <v>1429</v>
      </c>
      <c r="P214" s="56" t="s">
        <v>1429</v>
      </c>
      <c r="Q214" s="6" t="s">
        <v>1374</v>
      </c>
      <c r="R214" s="52" t="s">
        <v>113</v>
      </c>
      <c r="S214" s="52" t="s">
        <v>99</v>
      </c>
      <c r="T214" s="52" t="s">
        <v>100</v>
      </c>
      <c r="U214" s="57" t="s">
        <v>113</v>
      </c>
      <c r="V214" s="146" t="s">
        <v>2166</v>
      </c>
      <c r="W214" s="51" t="s">
        <v>2162</v>
      </c>
      <c r="X214" s="130" t="s">
        <v>2167</v>
      </c>
      <c r="Y214" s="130" t="s">
        <v>1429</v>
      </c>
      <c r="Z214" s="51" t="s">
        <v>1678</v>
      </c>
      <c r="AA214" s="51" t="s">
        <v>2164</v>
      </c>
      <c r="AB214" s="51" t="s">
        <v>3665</v>
      </c>
      <c r="AC214" s="51" t="s">
        <v>1674</v>
      </c>
      <c r="AD214" s="59" t="str">
        <f t="shared" si="38"/>
        <v>CAN1</v>
      </c>
      <c r="AE214" s="66"/>
      <c r="AF214" s="61" t="str">
        <f t="shared" si="39"/>
        <v>PULL_UP</v>
      </c>
      <c r="AG214" s="61" t="str">
        <f t="shared" si="35"/>
        <v>TRISTATE</v>
      </c>
      <c r="AH214" s="61" t="str">
        <f t="shared" si="40"/>
        <v>ENABLE</v>
      </c>
      <c r="AI214" s="67" t="str">
        <f t="shared" si="41"/>
        <v>N/A</v>
      </c>
      <c r="AJ214" s="176" t="b">
        <v>1</v>
      </c>
      <c r="AK214" s="176" t="b">
        <v>1</v>
      </c>
      <c r="AL214" s="176" t="b">
        <v>1</v>
      </c>
      <c r="AM214" s="176" t="b">
        <v>1</v>
      </c>
      <c r="AN214" s="176" t="b">
        <v>1</v>
      </c>
      <c r="AO214" s="176" t="b">
        <v>1</v>
      </c>
      <c r="AP214" s="64" t="str">
        <f t="shared" si="36"/>
        <v>VALID</v>
      </c>
      <c r="AQ214" s="227" t="s">
        <v>971</v>
      </c>
      <c r="AR214" s="182" t="s">
        <v>3496</v>
      </c>
      <c r="AS214" s="181" t="s">
        <v>3497</v>
      </c>
      <c r="AT214" s="181" t="s">
        <v>104</v>
      </c>
      <c r="AU214" s="5"/>
      <c r="AV214" s="5"/>
      <c r="AW214" s="5"/>
      <c r="AX214" s="284"/>
      <c r="AY214" s="181"/>
      <c r="AZ214" s="181"/>
      <c r="BA214" s="7"/>
      <c r="BB214" s="212"/>
      <c r="BC214" s="10" t="s">
        <v>3770</v>
      </c>
      <c r="BD214" s="238"/>
      <c r="BE214" s="239"/>
      <c r="BF214" s="239"/>
      <c r="BG214" s="239"/>
      <c r="BH214" s="239"/>
      <c r="BI214" s="239"/>
      <c r="BJ214" s="239"/>
      <c r="BK214" s="239"/>
      <c r="BL214" s="239"/>
      <c r="BM214" s="239"/>
      <c r="BN214" s="239"/>
      <c r="BO214" s="239"/>
      <c r="BP214" s="239"/>
      <c r="BQ214" s="239"/>
      <c r="BR214" s="239"/>
      <c r="BS214" s="239"/>
      <c r="BT214" s="239"/>
      <c r="BU214" s="239"/>
      <c r="BV214" s="239"/>
      <c r="BW214" s="239"/>
      <c r="BX214" s="239"/>
      <c r="BY214" s="239"/>
      <c r="BZ214" s="239"/>
      <c r="CA214" s="239"/>
      <c r="CB214" s="239"/>
      <c r="CC214" s="239"/>
      <c r="CD214" s="239"/>
      <c r="CE214" s="239"/>
    </row>
    <row r="215" spans="1:83" ht="12.95" customHeight="1">
      <c r="A215" s="21" t="s">
        <v>3465</v>
      </c>
      <c r="B215" s="21" t="s">
        <v>3645</v>
      </c>
      <c r="C215" s="51" t="s">
        <v>972</v>
      </c>
      <c r="D215" s="52" t="s">
        <v>1947</v>
      </c>
      <c r="E215" s="52" t="s">
        <v>2168</v>
      </c>
      <c r="F215" s="53" t="s">
        <v>1291</v>
      </c>
      <c r="G215" s="179"/>
      <c r="H215" s="180" t="s">
        <v>972</v>
      </c>
      <c r="I215" s="55" t="s">
        <v>1429</v>
      </c>
      <c r="J215" s="55" t="s">
        <v>1429</v>
      </c>
      <c r="K215" s="56" t="s">
        <v>1429</v>
      </c>
      <c r="L215" s="54" t="s">
        <v>1580</v>
      </c>
      <c r="M215" s="55" t="s">
        <v>1581</v>
      </c>
      <c r="N215" s="55" t="s">
        <v>1429</v>
      </c>
      <c r="O215" s="55" t="s">
        <v>1429</v>
      </c>
      <c r="P215" s="56" t="s">
        <v>1429</v>
      </c>
      <c r="Q215" s="6" t="s">
        <v>1375</v>
      </c>
      <c r="R215" s="52" t="s">
        <v>113</v>
      </c>
      <c r="S215" s="52" t="s">
        <v>99</v>
      </c>
      <c r="T215" s="52" t="s">
        <v>100</v>
      </c>
      <c r="U215" s="57" t="s">
        <v>113</v>
      </c>
      <c r="V215" s="146" t="s">
        <v>2169</v>
      </c>
      <c r="W215" s="51" t="s">
        <v>2162</v>
      </c>
      <c r="X215" s="130" t="s">
        <v>2170</v>
      </c>
      <c r="Y215" s="130" t="s">
        <v>1429</v>
      </c>
      <c r="Z215" s="51" t="s">
        <v>1678</v>
      </c>
      <c r="AA215" s="51" t="s">
        <v>2164</v>
      </c>
      <c r="AB215" s="51" t="s">
        <v>3665</v>
      </c>
      <c r="AC215" s="51" t="s">
        <v>1674</v>
      </c>
      <c r="AD215" s="59" t="str">
        <f t="shared" si="38"/>
        <v>CAN0</v>
      </c>
      <c r="AE215" s="66"/>
      <c r="AF215" s="61" t="str">
        <f t="shared" si="39"/>
        <v>NORMAL</v>
      </c>
      <c r="AG215" s="61" t="str">
        <f t="shared" si="35"/>
        <v>NORMAL</v>
      </c>
      <c r="AH215" s="61" t="str">
        <f t="shared" si="40"/>
        <v>DISABLE</v>
      </c>
      <c r="AI215" s="67" t="str">
        <f t="shared" si="41"/>
        <v>N/A</v>
      </c>
      <c r="AJ215" s="176" t="b">
        <v>1</v>
      </c>
      <c r="AK215" s="176" t="b">
        <v>1</v>
      </c>
      <c r="AL215" s="176" t="b">
        <v>1</v>
      </c>
      <c r="AM215" s="176" t="b">
        <v>1</v>
      </c>
      <c r="AN215" s="176" t="b">
        <v>1</v>
      </c>
      <c r="AO215" s="176" t="b">
        <v>1</v>
      </c>
      <c r="AP215" s="64" t="str">
        <f t="shared" si="36"/>
        <v>VALID</v>
      </c>
      <c r="AQ215" s="227" t="s">
        <v>972</v>
      </c>
      <c r="AR215" s="182" t="s">
        <v>3495</v>
      </c>
      <c r="AS215" s="181"/>
      <c r="AT215" s="181" t="s">
        <v>104</v>
      </c>
      <c r="AU215" s="5"/>
      <c r="AV215" s="5"/>
      <c r="AW215" s="5"/>
      <c r="AX215" s="284"/>
      <c r="AY215" s="181"/>
      <c r="AZ215" s="181"/>
      <c r="BA215" s="7"/>
      <c r="BB215" s="212"/>
      <c r="BC215" s="10" t="s">
        <v>3771</v>
      </c>
      <c r="BD215" s="238"/>
      <c r="BE215" s="239"/>
      <c r="BF215" s="239"/>
      <c r="BG215" s="239"/>
      <c r="BH215" s="239"/>
      <c r="BI215" s="239"/>
      <c r="BJ215" s="239"/>
      <c r="BK215" s="239"/>
      <c r="BL215" s="239"/>
      <c r="BM215" s="239"/>
      <c r="BN215" s="239"/>
      <c r="BO215" s="239"/>
      <c r="BP215" s="239"/>
      <c r="BQ215" s="239"/>
      <c r="BR215" s="239"/>
      <c r="BS215" s="239"/>
      <c r="BT215" s="239"/>
      <c r="BU215" s="239"/>
      <c r="BV215" s="239"/>
      <c r="BW215" s="239"/>
      <c r="BX215" s="239"/>
      <c r="BY215" s="239"/>
      <c r="BZ215" s="239"/>
      <c r="CA215" s="239"/>
      <c r="CB215" s="239"/>
      <c r="CC215" s="239"/>
      <c r="CD215" s="239"/>
      <c r="CE215" s="239"/>
    </row>
    <row r="216" spans="1:83" ht="12.95" customHeight="1">
      <c r="A216" s="21" t="s">
        <v>3464</v>
      </c>
      <c r="B216" s="21" t="s">
        <v>2386</v>
      </c>
      <c r="C216" s="51" t="s">
        <v>973</v>
      </c>
      <c r="D216" s="52" t="s">
        <v>1942</v>
      </c>
      <c r="E216" s="52" t="s">
        <v>2153</v>
      </c>
      <c r="F216" s="53" t="s">
        <v>1292</v>
      </c>
      <c r="G216" s="179"/>
      <c r="H216" s="180" t="s">
        <v>973</v>
      </c>
      <c r="I216" s="55" t="s">
        <v>1429</v>
      </c>
      <c r="J216" s="55" t="s">
        <v>1429</v>
      </c>
      <c r="K216" s="56" t="s">
        <v>1429</v>
      </c>
      <c r="L216" s="54" t="s">
        <v>1580</v>
      </c>
      <c r="M216" s="55" t="s">
        <v>1590</v>
      </c>
      <c r="N216" s="55" t="s">
        <v>1429</v>
      </c>
      <c r="O216" s="55" t="s">
        <v>1429</v>
      </c>
      <c r="P216" s="56" t="s">
        <v>1429</v>
      </c>
      <c r="Q216" s="6" t="s">
        <v>1375</v>
      </c>
      <c r="R216" s="52" t="s">
        <v>113</v>
      </c>
      <c r="S216" s="52" t="s">
        <v>99</v>
      </c>
      <c r="T216" s="52" t="s">
        <v>100</v>
      </c>
      <c r="U216" s="57" t="s">
        <v>113</v>
      </c>
      <c r="V216" s="146" t="s">
        <v>2171</v>
      </c>
      <c r="W216" s="51" t="s">
        <v>2162</v>
      </c>
      <c r="X216" s="130" t="s">
        <v>2172</v>
      </c>
      <c r="Y216" s="130" t="s">
        <v>1429</v>
      </c>
      <c r="Z216" s="51" t="s">
        <v>1678</v>
      </c>
      <c r="AA216" s="51" t="s">
        <v>2164</v>
      </c>
      <c r="AB216" s="51" t="s">
        <v>3665</v>
      </c>
      <c r="AC216" s="51" t="s">
        <v>1674</v>
      </c>
      <c r="AD216" s="59" t="str">
        <f t="shared" si="38"/>
        <v>CAN0</v>
      </c>
      <c r="AE216" s="66"/>
      <c r="AF216" s="61" t="str">
        <f t="shared" si="39"/>
        <v>PULL_UP</v>
      </c>
      <c r="AG216" s="61" t="str">
        <f t="shared" si="35"/>
        <v>TRISTATE</v>
      </c>
      <c r="AH216" s="61" t="str">
        <f t="shared" si="40"/>
        <v>ENABLE</v>
      </c>
      <c r="AI216" s="67" t="str">
        <f t="shared" si="41"/>
        <v>N/A</v>
      </c>
      <c r="AJ216" s="176" t="b">
        <v>1</v>
      </c>
      <c r="AK216" s="176" t="b">
        <v>1</v>
      </c>
      <c r="AL216" s="176" t="b">
        <v>1</v>
      </c>
      <c r="AM216" s="176" t="b">
        <v>1</v>
      </c>
      <c r="AN216" s="176" t="b">
        <v>1</v>
      </c>
      <c r="AO216" s="176" t="b">
        <v>1</v>
      </c>
      <c r="AP216" s="64" t="str">
        <f t="shared" si="36"/>
        <v>VALID</v>
      </c>
      <c r="AQ216" s="227" t="s">
        <v>973</v>
      </c>
      <c r="AR216" s="182" t="s">
        <v>3496</v>
      </c>
      <c r="AS216" s="181" t="s">
        <v>3497</v>
      </c>
      <c r="AT216" s="181" t="s">
        <v>104</v>
      </c>
      <c r="AU216" s="5"/>
      <c r="AV216" s="5"/>
      <c r="AW216" s="5"/>
      <c r="AX216" s="284"/>
      <c r="AY216" s="181"/>
      <c r="AZ216" s="181"/>
      <c r="BA216" s="7"/>
      <c r="BB216" s="212"/>
      <c r="BC216" s="10" t="s">
        <v>3771</v>
      </c>
      <c r="BD216" s="238"/>
      <c r="BE216" s="239"/>
      <c r="BF216" s="239"/>
      <c r="BG216" s="239"/>
      <c r="BH216" s="239"/>
      <c r="BI216" s="239"/>
      <c r="BJ216" s="239"/>
      <c r="BK216" s="239"/>
      <c r="BL216" s="239"/>
      <c r="BM216" s="239"/>
      <c r="BN216" s="239"/>
      <c r="BO216" s="239"/>
      <c r="BP216" s="239"/>
      <c r="BQ216" s="239"/>
      <c r="BR216" s="239"/>
      <c r="BS216" s="239"/>
      <c r="BT216" s="239"/>
      <c r="BU216" s="239"/>
      <c r="BV216" s="239"/>
      <c r="BW216" s="239"/>
      <c r="BX216" s="239"/>
      <c r="BY216" s="239"/>
      <c r="BZ216" s="239"/>
      <c r="CA216" s="239"/>
      <c r="CB216" s="239"/>
      <c r="CC216" s="239"/>
      <c r="CD216" s="239"/>
      <c r="CE216" s="239"/>
    </row>
    <row r="217" spans="1:83" ht="12.95" customHeight="1">
      <c r="A217" s="21" t="s">
        <v>3463</v>
      </c>
      <c r="B217" s="21" t="s">
        <v>3647</v>
      </c>
      <c r="C217" s="51" t="s">
        <v>974</v>
      </c>
      <c r="D217" s="52" t="s">
        <v>1895</v>
      </c>
      <c r="E217" s="52" t="s">
        <v>2173</v>
      </c>
      <c r="F217" s="53" t="s">
        <v>1293</v>
      </c>
      <c r="G217" s="179"/>
      <c r="H217" s="180" t="s">
        <v>1429</v>
      </c>
      <c r="I217" s="55" t="s">
        <v>2174</v>
      </c>
      <c r="J217" s="55" t="s">
        <v>2175</v>
      </c>
      <c r="K217" s="56" t="s">
        <v>1429</v>
      </c>
      <c r="L217" s="54" t="s">
        <v>1580</v>
      </c>
      <c r="M217" s="55" t="s">
        <v>1429</v>
      </c>
      <c r="N217" s="55" t="s">
        <v>1590</v>
      </c>
      <c r="O217" s="55" t="s">
        <v>1590</v>
      </c>
      <c r="P217" s="56" t="s">
        <v>1429</v>
      </c>
      <c r="Q217" s="6" t="s">
        <v>755</v>
      </c>
      <c r="R217" s="52" t="s">
        <v>744</v>
      </c>
      <c r="S217" s="52" t="s">
        <v>1376</v>
      </c>
      <c r="T217" s="52" t="s">
        <v>100</v>
      </c>
      <c r="U217" s="57" t="s">
        <v>755</v>
      </c>
      <c r="V217" s="146" t="s">
        <v>2176</v>
      </c>
      <c r="W217" s="51" t="s">
        <v>2162</v>
      </c>
      <c r="X217" s="130" t="s">
        <v>2177</v>
      </c>
      <c r="Y217" s="130" t="s">
        <v>1429</v>
      </c>
      <c r="Z217" s="51" t="s">
        <v>1678</v>
      </c>
      <c r="AA217" s="51" t="s">
        <v>2164</v>
      </c>
      <c r="AB217" s="51" t="s">
        <v>3665</v>
      </c>
      <c r="AC217" s="51" t="s">
        <v>1587</v>
      </c>
      <c r="AD217" s="59" t="str">
        <f t="shared" si="38"/>
        <v>DMIC5</v>
      </c>
      <c r="AE217" s="66"/>
      <c r="AF217" s="61" t="str">
        <f t="shared" si="39"/>
        <v>NORMAL</v>
      </c>
      <c r="AG217" s="61" t="str">
        <f t="shared" si="35"/>
        <v>TRISTATE</v>
      </c>
      <c r="AH217" s="61" t="str">
        <f t="shared" si="40"/>
        <v>ENABLE</v>
      </c>
      <c r="AI217" s="67" t="str">
        <f t="shared" si="41"/>
        <v>N/A</v>
      </c>
      <c r="AJ217" s="176" t="b">
        <v>1</v>
      </c>
      <c r="AK217" s="176" t="b">
        <v>1</v>
      </c>
      <c r="AL217" s="176" t="b">
        <v>1</v>
      </c>
      <c r="AM217" s="176" t="b">
        <v>1</v>
      </c>
      <c r="AN217" s="176" t="b">
        <v>1</v>
      </c>
      <c r="AO217" s="176" t="b">
        <v>1</v>
      </c>
      <c r="AP217" s="64" t="str">
        <f t="shared" si="36"/>
        <v>VALID</v>
      </c>
      <c r="AQ217" s="226" t="s">
        <v>2175</v>
      </c>
      <c r="AR217" s="182" t="s">
        <v>3496</v>
      </c>
      <c r="AS217" s="181"/>
      <c r="AT217" s="181" t="s">
        <v>104</v>
      </c>
      <c r="AU217" s="5"/>
      <c r="AV217" s="5"/>
      <c r="AW217" s="5"/>
      <c r="AX217" s="284"/>
      <c r="AY217" s="181"/>
      <c r="AZ217" s="181"/>
      <c r="BA217" s="7"/>
      <c r="BB217" s="212"/>
      <c r="BC217" s="10" t="s">
        <v>3524</v>
      </c>
      <c r="BD217" s="238"/>
      <c r="BE217" s="239"/>
      <c r="BF217" s="239"/>
      <c r="BG217" s="239"/>
      <c r="BH217" s="239"/>
      <c r="BI217" s="239"/>
      <c r="BJ217" s="239"/>
      <c r="BK217" s="239"/>
      <c r="BL217" s="239"/>
      <c r="BM217" s="239"/>
      <c r="BN217" s="239"/>
      <c r="BO217" s="239"/>
      <c r="BP217" s="239"/>
      <c r="BQ217" s="239"/>
      <c r="BR217" s="239"/>
      <c r="BS217" s="239"/>
      <c r="BT217" s="239"/>
      <c r="BU217" s="239"/>
      <c r="BV217" s="239"/>
      <c r="BW217" s="239"/>
      <c r="BX217" s="239"/>
      <c r="BY217" s="239"/>
      <c r="BZ217" s="239"/>
      <c r="CA217" s="239"/>
      <c r="CB217" s="239"/>
      <c r="CC217" s="239"/>
      <c r="CD217" s="239"/>
      <c r="CE217" s="239"/>
    </row>
    <row r="218" spans="1:83" ht="12.95" customHeight="1">
      <c r="A218" s="21" t="s">
        <v>3462</v>
      </c>
      <c r="B218" s="21" t="s">
        <v>3646</v>
      </c>
      <c r="C218" s="51" t="s">
        <v>975</v>
      </c>
      <c r="D218" s="52" t="s">
        <v>2178</v>
      </c>
      <c r="E218" s="52" t="s">
        <v>2145</v>
      </c>
      <c r="F218" s="53" t="s">
        <v>1294</v>
      </c>
      <c r="G218" s="179"/>
      <c r="H218" s="180" t="s">
        <v>1429</v>
      </c>
      <c r="I218" s="55" t="s">
        <v>2179</v>
      </c>
      <c r="J218" s="55" t="s">
        <v>2180</v>
      </c>
      <c r="K218" s="56" t="s">
        <v>1429</v>
      </c>
      <c r="L218" s="54" t="s">
        <v>1580</v>
      </c>
      <c r="M218" s="55" t="s">
        <v>1429</v>
      </c>
      <c r="N218" s="55" t="s">
        <v>1581</v>
      </c>
      <c r="O218" s="55" t="s">
        <v>1581</v>
      </c>
      <c r="P218" s="56" t="s">
        <v>1429</v>
      </c>
      <c r="Q218" s="52" t="s">
        <v>755</v>
      </c>
      <c r="R218" s="52" t="s">
        <v>744</v>
      </c>
      <c r="S218" s="52" t="s">
        <v>1376</v>
      </c>
      <c r="T218" s="52" t="s">
        <v>100</v>
      </c>
      <c r="U218" s="52" t="s">
        <v>755</v>
      </c>
      <c r="V218" s="146" t="s">
        <v>2181</v>
      </c>
      <c r="W218" s="51" t="s">
        <v>2162</v>
      </c>
      <c r="X218" s="130" t="s">
        <v>2182</v>
      </c>
      <c r="Y218" s="130" t="s">
        <v>1429</v>
      </c>
      <c r="Z218" s="51" t="s">
        <v>1678</v>
      </c>
      <c r="AA218" s="51" t="s">
        <v>2164</v>
      </c>
      <c r="AB218" s="51" t="s">
        <v>3665</v>
      </c>
      <c r="AC218" s="51" t="s">
        <v>1587</v>
      </c>
      <c r="AD218" s="59" t="str">
        <f t="shared" si="38"/>
        <v>DMIC5</v>
      </c>
      <c r="AE218" s="66"/>
      <c r="AF218" s="61" t="str">
        <f t="shared" si="39"/>
        <v>NORMAL</v>
      </c>
      <c r="AG218" s="61" t="str">
        <f t="shared" si="35"/>
        <v>NORMAL</v>
      </c>
      <c r="AH218" s="61" t="str">
        <f t="shared" si="40"/>
        <v>DISABLE</v>
      </c>
      <c r="AI218" s="67" t="str">
        <f t="shared" si="41"/>
        <v>N/A</v>
      </c>
      <c r="AJ218" s="176" t="b">
        <v>1</v>
      </c>
      <c r="AK218" s="176" t="b">
        <v>1</v>
      </c>
      <c r="AL218" s="176" t="b">
        <v>1</v>
      </c>
      <c r="AM218" s="176" t="b">
        <v>1</v>
      </c>
      <c r="AN218" s="176" t="b">
        <v>1</v>
      </c>
      <c r="AO218" s="176" t="b">
        <v>1</v>
      </c>
      <c r="AP218" s="64" t="str">
        <f t="shared" si="36"/>
        <v>VALID</v>
      </c>
      <c r="AQ218" s="226" t="s">
        <v>2180</v>
      </c>
      <c r="AR218" s="182" t="s">
        <v>3495</v>
      </c>
      <c r="AS218" s="181"/>
      <c r="AT218" s="181" t="s">
        <v>104</v>
      </c>
      <c r="AU218" s="5"/>
      <c r="AV218" s="5"/>
      <c r="AW218" s="5"/>
      <c r="AX218" s="284"/>
      <c r="AY218" s="181"/>
      <c r="AZ218" s="181"/>
      <c r="BA218" s="7"/>
      <c r="BB218" s="212"/>
      <c r="BC218" s="10" t="s">
        <v>3525</v>
      </c>
      <c r="BD218" s="238"/>
      <c r="BE218" s="239"/>
      <c r="BF218" s="239"/>
      <c r="BG218" s="239"/>
      <c r="BH218" s="239"/>
      <c r="BI218" s="239"/>
      <c r="BJ218" s="239"/>
      <c r="BK218" s="239"/>
      <c r="BL218" s="239"/>
      <c r="BM218" s="239"/>
      <c r="BN218" s="239"/>
      <c r="BO218" s="239"/>
      <c r="BP218" s="239"/>
      <c r="BQ218" s="239"/>
      <c r="BR218" s="239"/>
      <c r="BS218" s="239"/>
      <c r="BT218" s="239"/>
      <c r="BU218" s="239"/>
      <c r="BV218" s="239"/>
      <c r="BW218" s="239"/>
      <c r="BX218" s="239"/>
      <c r="BY218" s="239"/>
      <c r="BZ218" s="239"/>
      <c r="CA218" s="239"/>
      <c r="CB218" s="239"/>
      <c r="CC218" s="239"/>
      <c r="CD218" s="239"/>
      <c r="CE218" s="239"/>
    </row>
    <row r="219" spans="1:83" ht="12.95" customHeight="1">
      <c r="A219" s="21" t="s">
        <v>3808</v>
      </c>
      <c r="B219" s="21" t="s">
        <v>2389</v>
      </c>
      <c r="C219" s="51" t="s">
        <v>976</v>
      </c>
      <c r="D219" s="52" t="s">
        <v>1930</v>
      </c>
      <c r="E219" s="52" t="s">
        <v>2183</v>
      </c>
      <c r="F219" s="53" t="s">
        <v>1295</v>
      </c>
      <c r="G219" s="179" t="s">
        <v>2184</v>
      </c>
      <c r="H219" s="180"/>
      <c r="I219" s="55" t="s">
        <v>1429</v>
      </c>
      <c r="J219" s="55" t="s">
        <v>1429</v>
      </c>
      <c r="K219" s="56" t="s">
        <v>1429</v>
      </c>
      <c r="L219" s="54" t="s">
        <v>1580</v>
      </c>
      <c r="M219" s="55" t="s">
        <v>1580</v>
      </c>
      <c r="N219" s="55" t="s">
        <v>1429</v>
      </c>
      <c r="O219" s="55" t="s">
        <v>1429</v>
      </c>
      <c r="P219" s="56" t="s">
        <v>1429</v>
      </c>
      <c r="Q219" s="52" t="s">
        <v>69</v>
      </c>
      <c r="R219" s="52" t="s">
        <v>113</v>
      </c>
      <c r="S219" s="52" t="s">
        <v>99</v>
      </c>
      <c r="T219" s="52" t="s">
        <v>100</v>
      </c>
      <c r="U219" s="52" t="s">
        <v>113</v>
      </c>
      <c r="V219" s="146" t="s">
        <v>2185</v>
      </c>
      <c r="W219" s="51" t="s">
        <v>2162</v>
      </c>
      <c r="X219" s="130" t="s">
        <v>2186</v>
      </c>
      <c r="Y219" s="130" t="s">
        <v>1429</v>
      </c>
      <c r="Z219" s="51" t="s">
        <v>1678</v>
      </c>
      <c r="AA219" s="51" t="s">
        <v>2164</v>
      </c>
      <c r="AB219" s="51" t="s">
        <v>3665</v>
      </c>
      <c r="AC219" s="51" t="s">
        <v>1633</v>
      </c>
      <c r="AD219" s="59" t="str">
        <f t="shared" si="38"/>
        <v>GPIO_PAA2</v>
      </c>
      <c r="AE219" s="66"/>
      <c r="AF219" s="61" t="str">
        <f t="shared" si="39"/>
        <v>PULL_UP</v>
      </c>
      <c r="AG219" s="61" t="str">
        <f t="shared" si="35"/>
        <v>TRISTATE</v>
      </c>
      <c r="AH219" s="61" t="str">
        <f t="shared" si="40"/>
        <v>ENABLE</v>
      </c>
      <c r="AI219" s="67" t="str">
        <f t="shared" si="41"/>
        <v/>
      </c>
      <c r="AJ219" s="176" t="b">
        <v>1</v>
      </c>
      <c r="AK219" s="176" t="b">
        <v>1</v>
      </c>
      <c r="AL219" s="176" t="b">
        <v>1</v>
      </c>
      <c r="AM219" s="176" t="b">
        <v>1</v>
      </c>
      <c r="AN219" s="176" t="b">
        <v>1</v>
      </c>
      <c r="AO219" s="176" t="b">
        <v>1</v>
      </c>
      <c r="AP219" s="64" t="str">
        <f t="shared" si="36"/>
        <v>VALID</v>
      </c>
      <c r="AQ219" s="226" t="s">
        <v>2184</v>
      </c>
      <c r="AR219" s="182" t="s">
        <v>3496</v>
      </c>
      <c r="AS219" s="181" t="s">
        <v>3497</v>
      </c>
      <c r="AT219" s="181" t="s">
        <v>3499</v>
      </c>
      <c r="AU219" s="5"/>
      <c r="AV219" s="5"/>
      <c r="AW219" s="5"/>
      <c r="AX219" s="284"/>
      <c r="AY219" s="181"/>
      <c r="AZ219" s="181"/>
      <c r="BA219" s="7"/>
      <c r="BB219" s="212"/>
      <c r="BC219" s="10" t="s">
        <v>3526</v>
      </c>
      <c r="BD219" s="238"/>
      <c r="BE219" s="239"/>
      <c r="BF219" s="239"/>
      <c r="BG219" s="239"/>
      <c r="BH219" s="239"/>
      <c r="BI219" s="239"/>
      <c r="BJ219" s="239"/>
      <c r="BK219" s="239"/>
      <c r="BL219" s="239"/>
      <c r="BM219" s="239"/>
      <c r="BN219" s="239"/>
      <c r="BO219" s="239"/>
      <c r="BP219" s="239"/>
      <c r="BQ219" s="239"/>
      <c r="BR219" s="239"/>
      <c r="BS219" s="239"/>
      <c r="BT219" s="239"/>
      <c r="BU219" s="239"/>
      <c r="BV219" s="239"/>
      <c r="BW219" s="239"/>
      <c r="BX219" s="239"/>
      <c r="BY219" s="239"/>
      <c r="BZ219" s="239"/>
      <c r="CA219" s="239"/>
      <c r="CB219" s="239"/>
      <c r="CC219" s="239"/>
      <c r="CD219" s="239"/>
      <c r="CE219" s="239"/>
    </row>
    <row r="220" spans="1:83" ht="12.95" customHeight="1">
      <c r="A220" s="21" t="s">
        <v>3461</v>
      </c>
      <c r="B220" s="21" t="s">
        <v>3644</v>
      </c>
      <c r="C220" s="51" t="s">
        <v>977</v>
      </c>
      <c r="D220" s="52" t="s">
        <v>1900</v>
      </c>
      <c r="E220" s="52" t="s">
        <v>2187</v>
      </c>
      <c r="F220" s="53" t="s">
        <v>1296</v>
      </c>
      <c r="G220" s="179" t="s">
        <v>1568</v>
      </c>
      <c r="H220" s="180" t="s">
        <v>1429</v>
      </c>
      <c r="I220" s="55" t="s">
        <v>1429</v>
      </c>
      <c r="J220" s="55" t="s">
        <v>1429</v>
      </c>
      <c r="K220" s="56" t="s">
        <v>1429</v>
      </c>
      <c r="L220" s="54" t="s">
        <v>1580</v>
      </c>
      <c r="M220" s="55" t="s">
        <v>1429</v>
      </c>
      <c r="N220" s="55" t="s">
        <v>1429</v>
      </c>
      <c r="O220" s="55" t="s">
        <v>1429</v>
      </c>
      <c r="P220" s="56" t="s">
        <v>1429</v>
      </c>
      <c r="Q220" s="52" t="s">
        <v>755</v>
      </c>
      <c r="R220" s="52" t="s">
        <v>113</v>
      </c>
      <c r="S220" s="52" t="s">
        <v>99</v>
      </c>
      <c r="T220" s="52" t="s">
        <v>100</v>
      </c>
      <c r="U220" s="57" t="s">
        <v>755</v>
      </c>
      <c r="V220" s="146" t="s">
        <v>2188</v>
      </c>
      <c r="W220" s="51" t="s">
        <v>2162</v>
      </c>
      <c r="X220" s="130" t="s">
        <v>2189</v>
      </c>
      <c r="Y220" s="130" t="s">
        <v>1429</v>
      </c>
      <c r="Z220" s="51" t="s">
        <v>1678</v>
      </c>
      <c r="AA220" s="51" t="s">
        <v>2164</v>
      </c>
      <c r="AB220" s="51" t="s">
        <v>3665</v>
      </c>
      <c r="AC220" s="51" t="s">
        <v>1633</v>
      </c>
      <c r="AD220" s="59" t="str">
        <f t="shared" si="38"/>
        <v>GPIO_PAA3</v>
      </c>
      <c r="AE220" s="66"/>
      <c r="AF220" s="61" t="str">
        <f t="shared" si="39"/>
        <v>NORMAL</v>
      </c>
      <c r="AG220" s="61" t="str">
        <f t="shared" si="35"/>
        <v>NORMAL</v>
      </c>
      <c r="AH220" s="61" t="str">
        <f t="shared" si="40"/>
        <v>ENABLE</v>
      </c>
      <c r="AI220" s="67" t="str">
        <f t="shared" si="41"/>
        <v/>
      </c>
      <c r="AJ220" s="176" t="b">
        <v>1</v>
      </c>
      <c r="AK220" s="176" t="b">
        <v>1</v>
      </c>
      <c r="AL220" s="176" t="b">
        <v>1</v>
      </c>
      <c r="AM220" s="176" t="b">
        <v>1</v>
      </c>
      <c r="AN220" s="176" t="b">
        <v>1</v>
      </c>
      <c r="AO220" s="176" t="b">
        <v>1</v>
      </c>
      <c r="AP220" s="64" t="str">
        <f t="shared" si="36"/>
        <v>VALID</v>
      </c>
      <c r="AQ220" s="226" t="s">
        <v>1568</v>
      </c>
      <c r="AR220" s="182" t="s">
        <v>3501</v>
      </c>
      <c r="AS220" s="181"/>
      <c r="AT220" s="181" t="s">
        <v>3499</v>
      </c>
      <c r="AU220" s="5"/>
      <c r="AV220" s="5"/>
      <c r="AW220" s="5"/>
      <c r="AX220" s="284"/>
      <c r="AY220" s="181"/>
      <c r="AZ220" s="181"/>
      <c r="BA220" s="7"/>
      <c r="BB220" s="212"/>
      <c r="BC220" s="10" t="s">
        <v>3527</v>
      </c>
      <c r="BD220" s="240"/>
      <c r="BE220" s="239"/>
      <c r="BF220" s="239"/>
      <c r="BG220" s="239"/>
      <c r="BH220" s="239"/>
      <c r="BI220" s="239"/>
      <c r="BJ220" s="239"/>
      <c r="BK220" s="239"/>
      <c r="BL220" s="239"/>
      <c r="BM220" s="239"/>
      <c r="BN220" s="239"/>
      <c r="BO220" s="239"/>
      <c r="BP220" s="239"/>
      <c r="BQ220" s="239"/>
      <c r="BR220" s="239"/>
      <c r="BS220" s="239"/>
      <c r="BT220" s="239"/>
      <c r="BU220" s="239"/>
      <c r="BV220" s="239"/>
      <c r="BW220" s="239"/>
      <c r="BX220" s="239"/>
      <c r="BY220" s="239"/>
      <c r="BZ220" s="239"/>
      <c r="CA220" s="239"/>
      <c r="CB220" s="239"/>
      <c r="CC220" s="239"/>
      <c r="CD220" s="239"/>
      <c r="CE220" s="239"/>
    </row>
    <row r="221" spans="1:83" ht="12.95" customHeight="1">
      <c r="A221" s="21" t="s">
        <v>3460</v>
      </c>
      <c r="B221" s="21" t="s">
        <v>1864</v>
      </c>
      <c r="C221" s="51" t="s">
        <v>978</v>
      </c>
      <c r="D221" s="52" t="s">
        <v>1952</v>
      </c>
      <c r="E221" s="52" t="s">
        <v>2190</v>
      </c>
      <c r="F221" s="53" t="s">
        <v>1297</v>
      </c>
      <c r="G221" s="179" t="s">
        <v>1569</v>
      </c>
      <c r="H221" s="180" t="s">
        <v>1429</v>
      </c>
      <c r="I221" s="55" t="s">
        <v>1429</v>
      </c>
      <c r="J221" s="55" t="s">
        <v>1429</v>
      </c>
      <c r="K221" s="56" t="s">
        <v>1429</v>
      </c>
      <c r="L221" s="54" t="s">
        <v>1580</v>
      </c>
      <c r="M221" s="55" t="s">
        <v>1429</v>
      </c>
      <c r="N221" s="55" t="s">
        <v>1429</v>
      </c>
      <c r="O221" s="55" t="s">
        <v>1429</v>
      </c>
      <c r="P221" s="56" t="s">
        <v>1429</v>
      </c>
      <c r="Q221" s="52" t="s">
        <v>755</v>
      </c>
      <c r="R221" s="52" t="s">
        <v>113</v>
      </c>
      <c r="S221" s="52" t="s">
        <v>99</v>
      </c>
      <c r="T221" s="52" t="s">
        <v>100</v>
      </c>
      <c r="U221" s="57" t="s">
        <v>755</v>
      </c>
      <c r="V221" s="146" t="s">
        <v>2191</v>
      </c>
      <c r="W221" s="51" t="s">
        <v>2162</v>
      </c>
      <c r="X221" s="130" t="s">
        <v>2192</v>
      </c>
      <c r="Y221" s="130" t="s">
        <v>1429</v>
      </c>
      <c r="Z221" s="51" t="s">
        <v>1678</v>
      </c>
      <c r="AA221" s="51" t="s">
        <v>2164</v>
      </c>
      <c r="AB221" s="51" t="s">
        <v>3665</v>
      </c>
      <c r="AC221" s="51" t="s">
        <v>1633</v>
      </c>
      <c r="AD221" s="59" t="str">
        <f t="shared" si="38"/>
        <v>GPIO_PAA4</v>
      </c>
      <c r="AE221" s="66"/>
      <c r="AF221" s="61" t="str">
        <f t="shared" si="39"/>
        <v>PULL_UP</v>
      </c>
      <c r="AG221" s="61" t="str">
        <f t="shared" si="35"/>
        <v>TRISTATE</v>
      </c>
      <c r="AH221" s="61" t="str">
        <f t="shared" si="40"/>
        <v>ENABLE</v>
      </c>
      <c r="AI221" s="67" t="str">
        <f t="shared" si="41"/>
        <v/>
      </c>
      <c r="AJ221" s="176" t="b">
        <v>1</v>
      </c>
      <c r="AK221" s="176" t="b">
        <v>1</v>
      </c>
      <c r="AL221" s="176" t="b">
        <v>1</v>
      </c>
      <c r="AM221" s="176" t="b">
        <v>1</v>
      </c>
      <c r="AN221" s="176" t="b">
        <v>1</v>
      </c>
      <c r="AO221" s="176" t="b">
        <v>1</v>
      </c>
      <c r="AP221" s="64" t="str">
        <f t="shared" si="36"/>
        <v>VALID</v>
      </c>
      <c r="AQ221" s="226" t="s">
        <v>1569</v>
      </c>
      <c r="AR221" s="182" t="s">
        <v>3496</v>
      </c>
      <c r="AS221" s="181" t="s">
        <v>3497</v>
      </c>
      <c r="AT221" s="181" t="s">
        <v>3499</v>
      </c>
      <c r="AU221" s="5"/>
      <c r="AV221" s="5"/>
      <c r="AW221" s="5"/>
      <c r="AX221" s="284"/>
      <c r="AY221" s="181"/>
      <c r="AZ221" s="181"/>
      <c r="BA221" s="7"/>
      <c r="BB221" s="212"/>
      <c r="BC221" s="10" t="s">
        <v>3528</v>
      </c>
      <c r="BD221" s="240"/>
      <c r="BE221" s="239"/>
      <c r="BF221" s="239"/>
      <c r="BG221" s="239"/>
      <c r="BH221" s="239"/>
      <c r="BI221" s="239"/>
      <c r="BJ221" s="239"/>
      <c r="BK221" s="239"/>
      <c r="BL221" s="239"/>
      <c r="BM221" s="239"/>
      <c r="BN221" s="239"/>
      <c r="BO221" s="239"/>
      <c r="BP221" s="239"/>
      <c r="BQ221" s="239"/>
      <c r="BR221" s="239"/>
      <c r="BS221" s="239"/>
      <c r="BT221" s="239"/>
      <c r="BU221" s="239"/>
      <c r="BV221" s="239"/>
      <c r="BW221" s="239"/>
      <c r="BX221" s="239"/>
      <c r="BY221" s="239"/>
      <c r="BZ221" s="239"/>
      <c r="CA221" s="239"/>
      <c r="CB221" s="239"/>
      <c r="CC221" s="239"/>
      <c r="CD221" s="239"/>
      <c r="CE221" s="239"/>
    </row>
    <row r="222" spans="1:83" ht="12.95" customHeight="1">
      <c r="A222" s="21" t="s">
        <v>3459</v>
      </c>
      <c r="B222" s="21" t="s">
        <v>2399</v>
      </c>
      <c r="C222" s="51" t="s">
        <v>979</v>
      </c>
      <c r="D222" s="52" t="s">
        <v>2193</v>
      </c>
      <c r="E222" s="52" t="s">
        <v>2194</v>
      </c>
      <c r="F222" s="53" t="s">
        <v>1298</v>
      </c>
      <c r="G222" s="179" t="s">
        <v>1570</v>
      </c>
      <c r="H222" s="180" t="s">
        <v>1429</v>
      </c>
      <c r="I222" s="55" t="s">
        <v>1429</v>
      </c>
      <c r="J222" s="55" t="s">
        <v>1429</v>
      </c>
      <c r="K222" s="56" t="s">
        <v>1429</v>
      </c>
      <c r="L222" s="54" t="s">
        <v>1580</v>
      </c>
      <c r="M222" s="55" t="s">
        <v>1429</v>
      </c>
      <c r="N222" s="55" t="s">
        <v>1429</v>
      </c>
      <c r="O222" s="55" t="s">
        <v>1429</v>
      </c>
      <c r="P222" s="56" t="s">
        <v>1429</v>
      </c>
      <c r="Q222" s="52" t="s">
        <v>755</v>
      </c>
      <c r="R222" s="52" t="s">
        <v>113</v>
      </c>
      <c r="S222" s="52" t="s">
        <v>99</v>
      </c>
      <c r="T222" s="52" t="s">
        <v>100</v>
      </c>
      <c r="U222" s="57" t="s">
        <v>755</v>
      </c>
      <c r="V222" s="146" t="s">
        <v>2195</v>
      </c>
      <c r="W222" s="51" t="s">
        <v>2162</v>
      </c>
      <c r="X222" s="130" t="s">
        <v>2196</v>
      </c>
      <c r="Y222" s="130" t="s">
        <v>1429</v>
      </c>
      <c r="Z222" s="51" t="s">
        <v>1678</v>
      </c>
      <c r="AA222" s="51" t="s">
        <v>2164</v>
      </c>
      <c r="AB222" s="51" t="s">
        <v>3665</v>
      </c>
      <c r="AC222" s="51" t="s">
        <v>1633</v>
      </c>
      <c r="AD222" s="59" t="str">
        <f t="shared" si="38"/>
        <v>GPIO_PAA5</v>
      </c>
      <c r="AE222" s="66"/>
      <c r="AF222" s="61" t="str">
        <f t="shared" si="39"/>
        <v>NORMAL</v>
      </c>
      <c r="AG222" s="61" t="str">
        <f t="shared" si="35"/>
        <v>NORMAL</v>
      </c>
      <c r="AH222" s="61" t="str">
        <f t="shared" si="40"/>
        <v>ENABLE</v>
      </c>
      <c r="AI222" s="67" t="str">
        <f t="shared" si="41"/>
        <v/>
      </c>
      <c r="AJ222" s="176" t="b">
        <v>1</v>
      </c>
      <c r="AK222" s="176" t="b">
        <v>1</v>
      </c>
      <c r="AL222" s="176" t="b">
        <v>1</v>
      </c>
      <c r="AM222" s="176" t="b">
        <v>1</v>
      </c>
      <c r="AN222" s="176" t="b">
        <v>1</v>
      </c>
      <c r="AO222" s="176" t="b">
        <v>1</v>
      </c>
      <c r="AP222" s="64" t="str">
        <f t="shared" si="36"/>
        <v>VALID</v>
      </c>
      <c r="AQ222" s="226" t="s">
        <v>1570</v>
      </c>
      <c r="AR222" s="182" t="s">
        <v>3501</v>
      </c>
      <c r="AS222" s="181"/>
      <c r="AT222" s="181" t="s">
        <v>3499</v>
      </c>
      <c r="AU222" s="5"/>
      <c r="AV222" s="5"/>
      <c r="AW222" s="5"/>
      <c r="AX222" s="284"/>
      <c r="AY222" s="181"/>
      <c r="AZ222" s="181"/>
      <c r="BA222" s="7"/>
      <c r="BB222" s="212"/>
      <c r="BC222" s="10" t="s">
        <v>3529</v>
      </c>
      <c r="BD222" s="240"/>
      <c r="BE222" s="239"/>
      <c r="BF222" s="239"/>
      <c r="BG222" s="239"/>
      <c r="BH222" s="239"/>
      <c r="BI222" s="239"/>
      <c r="BJ222" s="239"/>
      <c r="BK222" s="239"/>
      <c r="BL222" s="239"/>
      <c r="BM222" s="239"/>
      <c r="BN222" s="239"/>
      <c r="BO222" s="239"/>
      <c r="BP222" s="239"/>
      <c r="BQ222" s="239"/>
      <c r="BR222" s="239"/>
      <c r="BS222" s="239"/>
      <c r="BT222" s="239"/>
      <c r="BU222" s="239"/>
      <c r="BV222" s="239"/>
      <c r="BW222" s="239"/>
      <c r="BX222" s="239"/>
      <c r="BY222" s="239"/>
      <c r="BZ222" s="239"/>
      <c r="CA222" s="239"/>
      <c r="CB222" s="239"/>
      <c r="CC222" s="239"/>
      <c r="CD222" s="239"/>
      <c r="CE222" s="239"/>
    </row>
    <row r="223" spans="1:83" ht="12.95" customHeight="1">
      <c r="A223" s="21" t="s">
        <v>3458</v>
      </c>
      <c r="B223" s="21" t="s">
        <v>2378</v>
      </c>
      <c r="C223" s="51" t="s">
        <v>980</v>
      </c>
      <c r="D223" s="52" t="s">
        <v>2187</v>
      </c>
      <c r="E223" s="52" t="s">
        <v>2197</v>
      </c>
      <c r="F223" s="53" t="s">
        <v>1299</v>
      </c>
      <c r="G223" s="179" t="s">
        <v>1571</v>
      </c>
      <c r="H223" s="180" t="s">
        <v>1429</v>
      </c>
      <c r="I223" s="55" t="s">
        <v>1429</v>
      </c>
      <c r="J223" s="55" t="s">
        <v>1429</v>
      </c>
      <c r="K223" s="56" t="s">
        <v>1429</v>
      </c>
      <c r="L223" s="54" t="s">
        <v>1580</v>
      </c>
      <c r="M223" s="55" t="s">
        <v>1429</v>
      </c>
      <c r="N223" s="55" t="s">
        <v>1429</v>
      </c>
      <c r="O223" s="55" t="s">
        <v>1429</v>
      </c>
      <c r="P223" s="56" t="s">
        <v>1429</v>
      </c>
      <c r="Q223" s="6" t="s">
        <v>755</v>
      </c>
      <c r="R223" s="52" t="s">
        <v>113</v>
      </c>
      <c r="S223" s="52" t="s">
        <v>99</v>
      </c>
      <c r="T223" s="52" t="s">
        <v>100</v>
      </c>
      <c r="U223" s="57" t="s">
        <v>755</v>
      </c>
      <c r="V223" s="146" t="s">
        <v>2198</v>
      </c>
      <c r="W223" s="51" t="s">
        <v>2162</v>
      </c>
      <c r="X223" s="130" t="s">
        <v>2199</v>
      </c>
      <c r="Y223" s="130" t="s">
        <v>1429</v>
      </c>
      <c r="Z223" s="51" t="s">
        <v>1678</v>
      </c>
      <c r="AA223" s="51" t="s">
        <v>2164</v>
      </c>
      <c r="AB223" s="51" t="s">
        <v>3665</v>
      </c>
      <c r="AC223" s="51" t="s">
        <v>1587</v>
      </c>
      <c r="AD223" s="59" t="str">
        <f t="shared" si="38"/>
        <v>GPIO_PAA6</v>
      </c>
      <c r="AE223" s="66"/>
      <c r="AF223" s="61" t="str">
        <f t="shared" si="39"/>
        <v>NORMAL</v>
      </c>
      <c r="AG223" s="61" t="str">
        <f t="shared" si="35"/>
        <v>NORMAL</v>
      </c>
      <c r="AH223" s="61" t="str">
        <f t="shared" si="40"/>
        <v>DISABLE</v>
      </c>
      <c r="AI223" s="67" t="str">
        <f t="shared" si="41"/>
        <v>0</v>
      </c>
      <c r="AJ223" s="176" t="b">
        <v>1</v>
      </c>
      <c r="AK223" s="176" t="b">
        <v>1</v>
      </c>
      <c r="AL223" s="176" t="b">
        <v>1</v>
      </c>
      <c r="AM223" s="176" t="b">
        <v>1</v>
      </c>
      <c r="AN223" s="176" t="b">
        <v>1</v>
      </c>
      <c r="AO223" s="176" t="b">
        <v>1</v>
      </c>
      <c r="AP223" s="64" t="str">
        <f t="shared" si="36"/>
        <v>VALID</v>
      </c>
      <c r="AQ223" s="227" t="s">
        <v>1571</v>
      </c>
      <c r="AR223" s="182" t="s">
        <v>3495</v>
      </c>
      <c r="AS223" s="181" t="s">
        <v>3500</v>
      </c>
      <c r="AT223" s="181" t="s">
        <v>104</v>
      </c>
      <c r="AU223" s="5"/>
      <c r="AV223" s="5"/>
      <c r="AW223" s="5"/>
      <c r="AX223" s="284"/>
      <c r="AY223" s="181"/>
      <c r="AZ223" s="181"/>
      <c r="BA223" s="7"/>
      <c r="BB223" s="212"/>
      <c r="BC223" s="10" t="s">
        <v>3530</v>
      </c>
      <c r="BD223" s="240"/>
      <c r="BE223" s="239"/>
      <c r="BF223" s="239"/>
      <c r="BG223" s="239"/>
      <c r="BH223" s="239"/>
      <c r="BI223" s="239"/>
      <c r="BJ223" s="239"/>
      <c r="BK223" s="239"/>
      <c r="BL223" s="239"/>
      <c r="BM223" s="239"/>
      <c r="BN223" s="239"/>
      <c r="BO223" s="239"/>
      <c r="BP223" s="239"/>
      <c r="BQ223" s="239"/>
      <c r="BR223" s="239"/>
      <c r="BS223" s="239"/>
      <c r="BT223" s="239"/>
      <c r="BU223" s="239"/>
      <c r="BV223" s="239"/>
      <c r="BW223" s="239"/>
      <c r="BX223" s="239"/>
      <c r="BY223" s="239"/>
      <c r="BZ223" s="239"/>
      <c r="CA223" s="239"/>
      <c r="CB223" s="239"/>
      <c r="CC223" s="239"/>
      <c r="CD223" s="239"/>
      <c r="CE223" s="239"/>
    </row>
    <row r="224" spans="1:83" ht="12.95" customHeight="1">
      <c r="A224" s="21" t="s">
        <v>3809</v>
      </c>
      <c r="B224" s="21" t="s">
        <v>3568</v>
      </c>
      <c r="C224" s="51" t="s">
        <v>981</v>
      </c>
      <c r="D224" s="52" t="s">
        <v>1904</v>
      </c>
      <c r="E224" s="52" t="s">
        <v>2200</v>
      </c>
      <c r="F224" s="53" t="s">
        <v>1300</v>
      </c>
      <c r="G224" s="179" t="s">
        <v>1572</v>
      </c>
      <c r="H224" s="180" t="s">
        <v>1429</v>
      </c>
      <c r="I224" s="55"/>
      <c r="J224" s="55" t="s">
        <v>1429</v>
      </c>
      <c r="K224" s="56" t="s">
        <v>1429</v>
      </c>
      <c r="L224" s="54" t="s">
        <v>1580</v>
      </c>
      <c r="M224" s="55" t="s">
        <v>1429</v>
      </c>
      <c r="N224" s="55" t="s">
        <v>1581</v>
      </c>
      <c r="O224" s="55" t="s">
        <v>1429</v>
      </c>
      <c r="P224" s="56" t="s">
        <v>1429</v>
      </c>
      <c r="Q224" s="6" t="s">
        <v>755</v>
      </c>
      <c r="R224" s="52" t="s">
        <v>1373</v>
      </c>
      <c r="S224" s="52" t="s">
        <v>99</v>
      </c>
      <c r="T224" s="52" t="s">
        <v>100</v>
      </c>
      <c r="U224" s="57" t="s">
        <v>755</v>
      </c>
      <c r="V224" s="146" t="s">
        <v>2201</v>
      </c>
      <c r="W224" s="51" t="s">
        <v>2162</v>
      </c>
      <c r="X224" s="130" t="s">
        <v>2202</v>
      </c>
      <c r="Y224" s="130" t="s">
        <v>1429</v>
      </c>
      <c r="Z224" s="51" t="s">
        <v>1678</v>
      </c>
      <c r="AA224" s="51" t="s">
        <v>2164</v>
      </c>
      <c r="AB224" s="51" t="s">
        <v>3665</v>
      </c>
      <c r="AC224" s="51">
        <v>1</v>
      </c>
      <c r="AD224" s="59" t="str">
        <f t="shared" si="38"/>
        <v>GPIO_PAA7</v>
      </c>
      <c r="AE224" s="66"/>
      <c r="AF224" s="61" t="str">
        <f t="shared" si="39"/>
        <v>NORMAL</v>
      </c>
      <c r="AG224" s="61" t="str">
        <f t="shared" si="35"/>
        <v>TRISTATE</v>
      </c>
      <c r="AH224" s="61" t="str">
        <f t="shared" si="40"/>
        <v>ENABLE</v>
      </c>
      <c r="AI224" s="67" t="str">
        <f t="shared" si="41"/>
        <v/>
      </c>
      <c r="AJ224" s="176" t="b">
        <v>1</v>
      </c>
      <c r="AK224" s="176" t="b">
        <v>1</v>
      </c>
      <c r="AL224" s="176" t="b">
        <v>1</v>
      </c>
      <c r="AM224" s="176" t="b">
        <v>1</v>
      </c>
      <c r="AN224" s="176" t="b">
        <v>1</v>
      </c>
      <c r="AO224" s="176" t="b">
        <v>1</v>
      </c>
      <c r="AP224" s="64" t="str">
        <f t="shared" si="36"/>
        <v>VALID</v>
      </c>
      <c r="AQ224" s="227" t="s">
        <v>1572</v>
      </c>
      <c r="AR224" s="182" t="s">
        <v>3496</v>
      </c>
      <c r="AS224" s="181"/>
      <c r="AT224" s="181" t="s">
        <v>3499</v>
      </c>
      <c r="AU224" s="5"/>
      <c r="AV224" s="5"/>
      <c r="AW224" s="5"/>
      <c r="AX224" s="284"/>
      <c r="AY224" s="181"/>
      <c r="AZ224" s="181"/>
      <c r="BA224" s="7"/>
      <c r="BB224" s="212"/>
      <c r="BC224" s="10" t="s">
        <v>3531</v>
      </c>
      <c r="BD224" s="240"/>
      <c r="BE224" s="239"/>
      <c r="BF224" s="239"/>
      <c r="BG224" s="239"/>
      <c r="BH224" s="239"/>
      <c r="BI224" s="239"/>
      <c r="BJ224" s="239"/>
      <c r="BK224" s="239"/>
      <c r="BL224" s="239"/>
      <c r="BM224" s="239"/>
      <c r="BN224" s="239"/>
      <c r="BO224" s="239"/>
      <c r="BP224" s="239"/>
      <c r="BQ224" s="239"/>
      <c r="BR224" s="239"/>
      <c r="BS224" s="239"/>
      <c r="BT224" s="239"/>
      <c r="BU224" s="239"/>
      <c r="BV224" s="239"/>
      <c r="BW224" s="239"/>
      <c r="BX224" s="239"/>
      <c r="BY224" s="239"/>
      <c r="BZ224" s="239"/>
      <c r="CA224" s="239"/>
      <c r="CB224" s="239"/>
      <c r="CC224" s="239"/>
      <c r="CD224" s="239"/>
      <c r="CE224" s="239"/>
    </row>
    <row r="225" spans="1:83" s="50" customFormat="1" ht="18" customHeight="1">
      <c r="A225" s="171" t="s">
        <v>303</v>
      </c>
      <c r="B225" s="171"/>
      <c r="C225" s="171"/>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8"/>
      <c r="AY225" s="73"/>
      <c r="AZ225" s="73"/>
      <c r="BA225" s="73"/>
      <c r="BB225" s="168" t="s">
        <v>49</v>
      </c>
      <c r="BC225" s="172"/>
      <c r="BD225" s="169"/>
      <c r="BE225" s="308"/>
      <c r="BF225" s="243"/>
      <c r="BG225" s="243"/>
      <c r="BH225" s="243"/>
      <c r="BI225" s="243"/>
      <c r="BJ225" s="243"/>
      <c r="BK225" s="243"/>
      <c r="BL225" s="243"/>
      <c r="BM225" s="243"/>
      <c r="BN225" s="243"/>
      <c r="BO225" s="243"/>
      <c r="BP225" s="243"/>
      <c r="BQ225" s="243"/>
      <c r="BR225" s="243"/>
      <c r="BS225" s="243"/>
      <c r="BT225" s="243"/>
      <c r="BU225" s="243"/>
      <c r="BV225" s="243"/>
      <c r="BW225" s="243"/>
      <c r="BX225" s="243"/>
      <c r="BY225" s="243"/>
      <c r="BZ225" s="243"/>
      <c r="CA225" s="243"/>
      <c r="CB225" s="243"/>
      <c r="CC225" s="243"/>
      <c r="CD225" s="243"/>
      <c r="CE225" s="243"/>
    </row>
    <row r="226" spans="1:83" ht="12.95" customHeight="1">
      <c r="A226" s="21" t="s">
        <v>3810</v>
      </c>
      <c r="B226" s="21" t="s">
        <v>2246</v>
      </c>
      <c r="C226" s="51" t="s">
        <v>345</v>
      </c>
      <c r="D226" s="52" t="s">
        <v>2203</v>
      </c>
      <c r="E226" s="52" t="s">
        <v>2204</v>
      </c>
      <c r="F226" s="53" t="s">
        <v>557</v>
      </c>
      <c r="G226" s="179" t="s">
        <v>2205</v>
      </c>
      <c r="H226" s="180"/>
      <c r="I226" s="55" t="s">
        <v>1429</v>
      </c>
      <c r="J226" s="55" t="s">
        <v>1429</v>
      </c>
      <c r="K226" s="56" t="s">
        <v>1429</v>
      </c>
      <c r="L226" s="54" t="s">
        <v>1580</v>
      </c>
      <c r="M226" s="55" t="s">
        <v>1580</v>
      </c>
      <c r="N226" s="55" t="s">
        <v>1429</v>
      </c>
      <c r="O226" s="55" t="s">
        <v>1429</v>
      </c>
      <c r="P226" s="56" t="s">
        <v>1429</v>
      </c>
      <c r="Q226" s="52" t="s">
        <v>753</v>
      </c>
      <c r="R226" s="52" t="s">
        <v>113</v>
      </c>
      <c r="S226" s="52" t="s">
        <v>99</v>
      </c>
      <c r="T226" s="52" t="s">
        <v>100</v>
      </c>
      <c r="U226" s="57" t="s">
        <v>113</v>
      </c>
      <c r="V226" s="146" t="s">
        <v>2206</v>
      </c>
      <c r="W226" s="51" t="s">
        <v>2207</v>
      </c>
      <c r="X226" s="130" t="s">
        <v>1429</v>
      </c>
      <c r="Y226" s="130" t="s">
        <v>1429</v>
      </c>
      <c r="Z226" s="51" t="s">
        <v>2208</v>
      </c>
      <c r="AA226" s="51" t="s">
        <v>2209</v>
      </c>
      <c r="AB226" s="51" t="s">
        <v>3666</v>
      </c>
      <c r="AC226" s="51" t="s">
        <v>1674</v>
      </c>
      <c r="AD226" s="59" t="str">
        <f t="shared" ref="AD226:AD231" si="42">IF(OR($AQ226="",$AQ226=$F226),$U226,IF($AQ226=$G226,SUBSTITUTE(SUBSTITUTE($AQ226,"GPIO3_","GPIO_"),".0",""),IF($AQ226=$H226,$Q226,IF($AQ226=$I226,$R226,IF($AQ226=$J226,$S226,IF($AQ226=$K226,$T226,"INVALID"))))))</f>
        <v>GPIO_PR1</v>
      </c>
      <c r="AE226" s="66"/>
      <c r="AF226" s="61" t="str">
        <f t="shared" ref="AF226:AF232" si="43">IF(AND(OR($AS226="Int PU",$AS226="Int PD"),OR(AND($AY226&lt;&gt;"",$AY226&lt;&gt;"0"),AND($AZ226&lt;&gt;"",$AZ226&lt;&gt;"0"))),"INVALID",IF(OR($AQ226=$F226,$AS226="Int PD"),"PULL_DOWN",IF(OR($AS226="Int PU",AND($AE226="YES",OR($AY226="",$AY226="0"),OR($AZ226="",$AZ226="0"),OR($AR226="Input",$AR226="Bidirectional"))),"PULL_UP","NORMAL")))</f>
        <v>NORMAL</v>
      </c>
      <c r="AG226" s="61" t="str">
        <f t="shared" si="35"/>
        <v>NORMAL</v>
      </c>
      <c r="AH226" s="61" t="str">
        <f t="shared" ref="AH226:AH232" si="44">IF(OR($AQ226=$F226,$AR226="Output"),"DISABLE","ENABLE")</f>
        <v>DISABLE</v>
      </c>
      <c r="AI226" s="67" t="str">
        <f t="shared" si="37"/>
        <v>0</v>
      </c>
      <c r="AJ226" s="176" t="b">
        <v>1</v>
      </c>
      <c r="AK226" s="176" t="b">
        <v>1</v>
      </c>
      <c r="AL226" s="176" t="b">
        <v>1</v>
      </c>
      <c r="AM226" s="176" t="b">
        <v>1</v>
      </c>
      <c r="AN226" s="176" t="b">
        <v>1</v>
      </c>
      <c r="AO226" s="176" t="b">
        <v>1</v>
      </c>
      <c r="AP226" s="64" t="str">
        <f t="shared" ref="AP226:AP232" si="45">IF(AND($AJ226:$AO226), "VALID", "INVALID")</f>
        <v>VALID</v>
      </c>
      <c r="AQ226" s="211" t="s">
        <v>2205</v>
      </c>
      <c r="AR226" s="182" t="s">
        <v>3495</v>
      </c>
      <c r="AS226" s="181" t="s">
        <v>3500</v>
      </c>
      <c r="AT226" s="5"/>
      <c r="AU226" s="5"/>
      <c r="AV226" s="5"/>
      <c r="AW226" s="5"/>
      <c r="AX226" s="284"/>
      <c r="AY226" s="181"/>
      <c r="AZ226" s="181"/>
      <c r="BA226" s="7"/>
      <c r="BB226" s="212"/>
      <c r="BC226" s="10" t="s">
        <v>1420</v>
      </c>
      <c r="BD226" s="240"/>
      <c r="BE226" s="239"/>
      <c r="BF226" s="239"/>
      <c r="BG226" s="239"/>
      <c r="BH226" s="239"/>
      <c r="BI226" s="239"/>
      <c r="BJ226" s="239"/>
      <c r="BK226" s="239"/>
      <c r="BL226" s="239"/>
      <c r="BM226" s="239"/>
      <c r="BN226" s="239"/>
      <c r="BO226" s="239"/>
      <c r="BP226" s="239"/>
      <c r="BQ226" s="239"/>
      <c r="BR226" s="239"/>
      <c r="BS226" s="239"/>
      <c r="BT226" s="239"/>
      <c r="BU226" s="239"/>
      <c r="BV226" s="239"/>
      <c r="BW226" s="239"/>
      <c r="BX226" s="239"/>
      <c r="BY226" s="239"/>
      <c r="BZ226" s="239"/>
      <c r="CA226" s="239"/>
      <c r="CB226" s="239"/>
      <c r="CC226" s="239"/>
      <c r="CD226" s="239"/>
      <c r="CE226" s="239"/>
    </row>
    <row r="227" spans="1:83" s="84" customFormat="1" ht="12.95" customHeight="1">
      <c r="A227" s="84" t="s">
        <v>1423</v>
      </c>
      <c r="B227" s="84" t="s">
        <v>2295</v>
      </c>
      <c r="C227" s="79" t="s">
        <v>346</v>
      </c>
      <c r="D227" s="52" t="s">
        <v>2210</v>
      </c>
      <c r="E227" s="52" t="s">
        <v>2211</v>
      </c>
      <c r="F227" s="53" t="s">
        <v>514</v>
      </c>
      <c r="G227" s="179" t="s">
        <v>2212</v>
      </c>
      <c r="H227" s="180"/>
      <c r="I227" s="55" t="s">
        <v>1429</v>
      </c>
      <c r="J227" s="55" t="s">
        <v>1429</v>
      </c>
      <c r="K227" s="56" t="s">
        <v>1429</v>
      </c>
      <c r="L227" s="54" t="s">
        <v>1580</v>
      </c>
      <c r="M227" s="55" t="s">
        <v>1580</v>
      </c>
      <c r="N227" s="55" t="s">
        <v>1429</v>
      </c>
      <c r="O227" s="55" t="s">
        <v>1429</v>
      </c>
      <c r="P227" s="56" t="s">
        <v>1429</v>
      </c>
      <c r="Q227" s="52" t="s">
        <v>753</v>
      </c>
      <c r="R227" s="52" t="s">
        <v>113</v>
      </c>
      <c r="S227" s="52" t="s">
        <v>99</v>
      </c>
      <c r="T227" s="52" t="s">
        <v>100</v>
      </c>
      <c r="U227" s="57" t="s">
        <v>113</v>
      </c>
      <c r="V227" s="146" t="s">
        <v>2213</v>
      </c>
      <c r="W227" s="51" t="s">
        <v>2207</v>
      </c>
      <c r="X227" s="130" t="s">
        <v>1429</v>
      </c>
      <c r="Y227" s="130" t="s">
        <v>1429</v>
      </c>
      <c r="Z227" s="51" t="s">
        <v>2208</v>
      </c>
      <c r="AA227" s="51" t="s">
        <v>2209</v>
      </c>
      <c r="AB227" s="51" t="s">
        <v>3666</v>
      </c>
      <c r="AC227" s="51" t="s">
        <v>1674</v>
      </c>
      <c r="AD227" s="59" t="str">
        <f t="shared" si="42"/>
        <v>GPIO_PR2</v>
      </c>
      <c r="AE227" s="66"/>
      <c r="AF227" s="61" t="str">
        <f t="shared" si="43"/>
        <v>NORMAL</v>
      </c>
      <c r="AG227" s="61" t="str">
        <f t="shared" si="35"/>
        <v>NORMAL</v>
      </c>
      <c r="AH227" s="61" t="str">
        <f t="shared" si="44"/>
        <v>DISABLE</v>
      </c>
      <c r="AI227" s="67" t="str">
        <f t="shared" si="37"/>
        <v>0</v>
      </c>
      <c r="AJ227" s="176" t="b">
        <v>1</v>
      </c>
      <c r="AK227" s="176" t="b">
        <v>1</v>
      </c>
      <c r="AL227" s="176" t="b">
        <v>1</v>
      </c>
      <c r="AM227" s="176" t="b">
        <v>1</v>
      </c>
      <c r="AN227" s="176" t="b">
        <v>1</v>
      </c>
      <c r="AO227" s="176" t="b">
        <v>1</v>
      </c>
      <c r="AP227" s="64" t="str">
        <f t="shared" si="45"/>
        <v>VALID</v>
      </c>
      <c r="AQ227" s="228" t="s">
        <v>2212</v>
      </c>
      <c r="AR227" s="182" t="s">
        <v>3495</v>
      </c>
      <c r="AS227" s="181" t="s">
        <v>3500</v>
      </c>
      <c r="AT227" s="5"/>
      <c r="AU227" s="5"/>
      <c r="AV227" s="5"/>
      <c r="AW227" s="5"/>
      <c r="AX227" s="284"/>
      <c r="AY227" s="181"/>
      <c r="AZ227" s="181"/>
      <c r="BA227" s="7"/>
      <c r="BB227" s="212"/>
      <c r="BC227" s="10" t="s">
        <v>1421</v>
      </c>
      <c r="BD227" s="240"/>
      <c r="BE227" s="249"/>
      <c r="BF227" s="249"/>
      <c r="BG227" s="249"/>
      <c r="BH227" s="249"/>
      <c r="BI227" s="249"/>
      <c r="BJ227" s="249"/>
      <c r="BK227" s="249"/>
      <c r="BL227" s="249"/>
      <c r="BM227" s="249"/>
      <c r="BN227" s="249"/>
      <c r="BO227" s="249"/>
      <c r="BP227" s="249"/>
      <c r="BQ227" s="249"/>
      <c r="BR227" s="249"/>
      <c r="BS227" s="249"/>
      <c r="BT227" s="249"/>
      <c r="BU227" s="249"/>
      <c r="BV227" s="249"/>
      <c r="BW227" s="249"/>
      <c r="BX227" s="249"/>
      <c r="BY227" s="249"/>
      <c r="BZ227" s="249"/>
      <c r="CA227" s="249"/>
      <c r="CB227" s="249"/>
      <c r="CC227" s="249"/>
      <c r="CD227" s="249"/>
      <c r="CE227" s="249"/>
    </row>
    <row r="228" spans="1:83" s="84" customFormat="1" ht="12.95" customHeight="1">
      <c r="A228" s="84" t="s">
        <v>3811</v>
      </c>
      <c r="B228" s="84" t="s">
        <v>2314</v>
      </c>
      <c r="C228" s="79" t="s">
        <v>347</v>
      </c>
      <c r="D228" s="52" t="s">
        <v>2214</v>
      </c>
      <c r="E228" s="52" t="s">
        <v>2215</v>
      </c>
      <c r="F228" s="53" t="s">
        <v>515</v>
      </c>
      <c r="G228" s="179" t="s">
        <v>2216</v>
      </c>
      <c r="H228" s="180"/>
      <c r="I228" s="55" t="s">
        <v>1429</v>
      </c>
      <c r="J228" s="55" t="s">
        <v>1429</v>
      </c>
      <c r="K228" s="56" t="s">
        <v>1429</v>
      </c>
      <c r="L228" s="54" t="s">
        <v>1580</v>
      </c>
      <c r="M228" s="55" t="s">
        <v>1580</v>
      </c>
      <c r="N228" s="55" t="s">
        <v>1429</v>
      </c>
      <c r="O228" s="55" t="s">
        <v>1429</v>
      </c>
      <c r="P228" s="56" t="s">
        <v>1429</v>
      </c>
      <c r="Q228" s="52" t="s">
        <v>753</v>
      </c>
      <c r="R228" s="52" t="s">
        <v>113</v>
      </c>
      <c r="S228" s="52" t="s">
        <v>99</v>
      </c>
      <c r="T228" s="52" t="s">
        <v>100</v>
      </c>
      <c r="U228" s="57" t="s">
        <v>113</v>
      </c>
      <c r="V228" s="146" t="s">
        <v>2217</v>
      </c>
      <c r="W228" s="51" t="s">
        <v>2207</v>
      </c>
      <c r="X228" s="130" t="s">
        <v>1429</v>
      </c>
      <c r="Y228" s="130" t="s">
        <v>1429</v>
      </c>
      <c r="Z228" s="51" t="s">
        <v>2208</v>
      </c>
      <c r="AA228" s="51" t="s">
        <v>2209</v>
      </c>
      <c r="AB228" s="51" t="s">
        <v>3666</v>
      </c>
      <c r="AC228" s="51" t="s">
        <v>1587</v>
      </c>
      <c r="AD228" s="59" t="str">
        <f t="shared" si="42"/>
        <v>GPIO_PR0</v>
      </c>
      <c r="AE228" s="66"/>
      <c r="AF228" s="61" t="str">
        <f t="shared" si="43"/>
        <v>NORMAL</v>
      </c>
      <c r="AG228" s="61" t="str">
        <f t="shared" si="35"/>
        <v>NORMAL</v>
      </c>
      <c r="AH228" s="61" t="str">
        <f t="shared" si="44"/>
        <v>DISABLE</v>
      </c>
      <c r="AI228" s="67" t="str">
        <f t="shared" si="37"/>
        <v>0</v>
      </c>
      <c r="AJ228" s="176" t="b">
        <v>1</v>
      </c>
      <c r="AK228" s="176" t="b">
        <v>1</v>
      </c>
      <c r="AL228" s="176" t="b">
        <v>1</v>
      </c>
      <c r="AM228" s="176" t="b">
        <v>1</v>
      </c>
      <c r="AN228" s="176" t="b">
        <v>1</v>
      </c>
      <c r="AO228" s="176" t="b">
        <v>1</v>
      </c>
      <c r="AP228" s="64" t="str">
        <f t="shared" si="45"/>
        <v>VALID</v>
      </c>
      <c r="AQ228" s="224" t="s">
        <v>2216</v>
      </c>
      <c r="AR228" s="182" t="s">
        <v>3495</v>
      </c>
      <c r="AS228" s="181" t="s">
        <v>3500</v>
      </c>
      <c r="AT228" s="5"/>
      <c r="AU228" s="5"/>
      <c r="AV228" s="5"/>
      <c r="AW228" s="5"/>
      <c r="AX228" s="289" t="s">
        <v>125</v>
      </c>
      <c r="AY228" s="181"/>
      <c r="AZ228" s="181"/>
      <c r="BA228" s="7"/>
      <c r="BB228" s="212"/>
      <c r="BC228" s="10" t="s">
        <v>1422</v>
      </c>
      <c r="BD228" s="240"/>
      <c r="BE228" s="249"/>
      <c r="BF228" s="249"/>
      <c r="BG228" s="249"/>
      <c r="BH228" s="249"/>
      <c r="BI228" s="249"/>
      <c r="BJ228" s="249"/>
      <c r="BK228" s="249"/>
      <c r="BL228" s="249"/>
      <c r="BM228" s="249"/>
      <c r="BN228" s="249"/>
      <c r="BO228" s="249"/>
      <c r="BP228" s="249"/>
      <c r="BQ228" s="249"/>
      <c r="BR228" s="249"/>
      <c r="BS228" s="249"/>
      <c r="BT228" s="249"/>
      <c r="BU228" s="249"/>
      <c r="BV228" s="249"/>
      <c r="BW228" s="249"/>
      <c r="BX228" s="249"/>
      <c r="BY228" s="249"/>
      <c r="BZ228" s="249"/>
      <c r="CA228" s="249"/>
      <c r="CB228" s="249"/>
      <c r="CC228" s="249"/>
      <c r="CD228" s="249"/>
      <c r="CE228" s="249"/>
    </row>
    <row r="229" spans="1:83" s="84" customFormat="1" ht="12.95" customHeight="1">
      <c r="A229" s="84" t="s">
        <v>3812</v>
      </c>
      <c r="B229" s="84" t="s">
        <v>3619</v>
      </c>
      <c r="C229" s="79" t="s">
        <v>348</v>
      </c>
      <c r="D229" s="52" t="s">
        <v>2218</v>
      </c>
      <c r="E229" s="52" t="s">
        <v>2219</v>
      </c>
      <c r="F229" s="53" t="s">
        <v>516</v>
      </c>
      <c r="G229" s="179" t="s">
        <v>2220</v>
      </c>
      <c r="H229" s="180"/>
      <c r="I229" s="55" t="s">
        <v>1429</v>
      </c>
      <c r="J229" s="55" t="s">
        <v>1429</v>
      </c>
      <c r="K229" s="56" t="s">
        <v>1429</v>
      </c>
      <c r="L229" s="54" t="s">
        <v>1580</v>
      </c>
      <c r="M229" s="55" t="s">
        <v>1581</v>
      </c>
      <c r="N229" s="55" t="s">
        <v>1429</v>
      </c>
      <c r="O229" s="55" t="s">
        <v>1429</v>
      </c>
      <c r="P229" s="56" t="s">
        <v>1429</v>
      </c>
      <c r="Q229" s="52" t="s">
        <v>753</v>
      </c>
      <c r="R229" s="52" t="s">
        <v>113</v>
      </c>
      <c r="S229" s="52" t="s">
        <v>99</v>
      </c>
      <c r="T229" s="52" t="s">
        <v>100</v>
      </c>
      <c r="U229" s="57" t="s">
        <v>113</v>
      </c>
      <c r="V229" s="146" t="s">
        <v>2221</v>
      </c>
      <c r="W229" s="51" t="s">
        <v>2207</v>
      </c>
      <c r="X229" s="130" t="s">
        <v>2222</v>
      </c>
      <c r="Y229" s="130" t="s">
        <v>1429</v>
      </c>
      <c r="Z229" s="51" t="s">
        <v>2208</v>
      </c>
      <c r="AA229" s="51" t="s">
        <v>2209</v>
      </c>
      <c r="AB229" s="51" t="s">
        <v>3666</v>
      </c>
      <c r="AC229" s="51" t="s">
        <v>1674</v>
      </c>
      <c r="AD229" s="59" t="str">
        <f t="shared" si="42"/>
        <v>GPIO_PR5</v>
      </c>
      <c r="AE229" s="66"/>
      <c r="AF229" s="61" t="str">
        <f t="shared" si="43"/>
        <v>PULL_UP</v>
      </c>
      <c r="AG229" s="61" t="str">
        <f t="shared" si="35"/>
        <v>TRISTATE</v>
      </c>
      <c r="AH229" s="61" t="str">
        <f t="shared" si="44"/>
        <v>ENABLE</v>
      </c>
      <c r="AI229" s="67" t="str">
        <f t="shared" si="37"/>
        <v/>
      </c>
      <c r="AJ229" s="176" t="b">
        <v>1</v>
      </c>
      <c r="AK229" s="176" t="b">
        <v>1</v>
      </c>
      <c r="AL229" s="176" t="b">
        <v>1</v>
      </c>
      <c r="AM229" s="176" t="b">
        <v>1</v>
      </c>
      <c r="AN229" s="176" t="b">
        <v>1</v>
      </c>
      <c r="AO229" s="176" t="b">
        <v>1</v>
      </c>
      <c r="AP229" s="64" t="str">
        <f t="shared" si="45"/>
        <v>VALID</v>
      </c>
      <c r="AQ229" s="224" t="s">
        <v>2220</v>
      </c>
      <c r="AR229" s="182" t="s">
        <v>3496</v>
      </c>
      <c r="AS229" s="181" t="s">
        <v>3497</v>
      </c>
      <c r="AT229" s="181" t="s">
        <v>3499</v>
      </c>
      <c r="AU229" s="5"/>
      <c r="AV229" s="5"/>
      <c r="AW229" s="5"/>
      <c r="AX229" s="284"/>
      <c r="AY229" s="181"/>
      <c r="AZ229" s="181"/>
      <c r="BA229" s="7"/>
      <c r="BB229" s="212"/>
      <c r="BC229" s="10" t="s">
        <v>1423</v>
      </c>
      <c r="BD229" s="240"/>
      <c r="BE229" s="249"/>
      <c r="BF229" s="249"/>
      <c r="BG229" s="249"/>
      <c r="BH229" s="249"/>
      <c r="BI229" s="249"/>
      <c r="BJ229" s="249"/>
      <c r="BK229" s="249"/>
      <c r="BL229" s="249"/>
      <c r="BM229" s="249"/>
      <c r="BN229" s="249"/>
      <c r="BO229" s="249"/>
      <c r="BP229" s="249"/>
      <c r="BQ229" s="249"/>
      <c r="BR229" s="249"/>
      <c r="BS229" s="249"/>
      <c r="BT229" s="249"/>
      <c r="BU229" s="249"/>
      <c r="BV229" s="249"/>
      <c r="BW229" s="249"/>
      <c r="BX229" s="249"/>
      <c r="BY229" s="249"/>
      <c r="BZ229" s="249"/>
      <c r="CA229" s="249"/>
      <c r="CB229" s="249"/>
      <c r="CC229" s="249"/>
      <c r="CD229" s="249"/>
      <c r="CE229" s="249"/>
    </row>
    <row r="230" spans="1:83" s="84" customFormat="1" ht="12.95" customHeight="1">
      <c r="A230" s="1"/>
      <c r="B230" s="1"/>
      <c r="C230" s="79" t="s">
        <v>349</v>
      </c>
      <c r="D230" s="52" t="s">
        <v>2223</v>
      </c>
      <c r="E230" s="52" t="s">
        <v>2224</v>
      </c>
      <c r="F230" s="53" t="s">
        <v>517</v>
      </c>
      <c r="G230" s="179" t="s">
        <v>2225</v>
      </c>
      <c r="H230" s="180" t="s">
        <v>349</v>
      </c>
      <c r="I230" s="55" t="s">
        <v>1429</v>
      </c>
      <c r="J230" s="55" t="s">
        <v>1429</v>
      </c>
      <c r="K230" s="56" t="s">
        <v>1429</v>
      </c>
      <c r="L230" s="54" t="s">
        <v>1580</v>
      </c>
      <c r="M230" s="55" t="s">
        <v>1580</v>
      </c>
      <c r="N230" s="55" t="s">
        <v>1429</v>
      </c>
      <c r="O230" s="55" t="s">
        <v>1429</v>
      </c>
      <c r="P230" s="56" t="s">
        <v>1429</v>
      </c>
      <c r="Q230" s="52" t="s">
        <v>753</v>
      </c>
      <c r="R230" s="52" t="s">
        <v>113</v>
      </c>
      <c r="S230" s="52" t="s">
        <v>99</v>
      </c>
      <c r="T230" s="52" t="s">
        <v>100</v>
      </c>
      <c r="U230" s="57" t="s">
        <v>113</v>
      </c>
      <c r="V230" s="146" t="s">
        <v>2226</v>
      </c>
      <c r="W230" s="51" t="s">
        <v>2207</v>
      </c>
      <c r="X230" s="130" t="s">
        <v>1429</v>
      </c>
      <c r="Y230" s="130" t="s">
        <v>1429</v>
      </c>
      <c r="Z230" s="51" t="s">
        <v>2208</v>
      </c>
      <c r="AA230" s="51" t="s">
        <v>2209</v>
      </c>
      <c r="AB230" s="51" t="s">
        <v>3666</v>
      </c>
      <c r="AC230" s="51" t="s">
        <v>1674</v>
      </c>
      <c r="AD230" s="59" t="str">
        <f t="shared" si="42"/>
        <v>GPIO_PR3</v>
      </c>
      <c r="AE230" s="66"/>
      <c r="AF230" s="61" t="str">
        <f t="shared" si="43"/>
        <v>NORMAL</v>
      </c>
      <c r="AG230" s="61" t="str">
        <f t="shared" si="35"/>
        <v>NORMAL</v>
      </c>
      <c r="AH230" s="61" t="str">
        <f t="shared" si="44"/>
        <v>DISABLE</v>
      </c>
      <c r="AI230" s="67" t="str">
        <f t="shared" si="37"/>
        <v>1</v>
      </c>
      <c r="AJ230" s="176" t="b">
        <v>1</v>
      </c>
      <c r="AK230" s="176" t="b">
        <v>1</v>
      </c>
      <c r="AL230" s="176" t="b">
        <v>1</v>
      </c>
      <c r="AM230" s="176" t="b">
        <v>1</v>
      </c>
      <c r="AN230" s="176" t="b">
        <v>1</v>
      </c>
      <c r="AO230" s="176" t="b">
        <v>1</v>
      </c>
      <c r="AP230" s="64" t="str">
        <f t="shared" si="45"/>
        <v>VALID</v>
      </c>
      <c r="AQ230" s="349" t="s">
        <v>2225</v>
      </c>
      <c r="AR230" s="336" t="s">
        <v>3495</v>
      </c>
      <c r="AS230" s="337" t="s">
        <v>3498</v>
      </c>
      <c r="AT230" s="342"/>
      <c r="AU230" s="342"/>
      <c r="AV230" s="342"/>
      <c r="AW230" s="342"/>
      <c r="AX230" s="342"/>
      <c r="AY230" s="337"/>
      <c r="AZ230" s="337"/>
      <c r="BA230" s="343"/>
      <c r="BB230" s="338"/>
      <c r="BC230" s="344" t="s">
        <v>3762</v>
      </c>
      <c r="BD230" s="174"/>
      <c r="BE230" s="249"/>
      <c r="BF230" s="249"/>
      <c r="BG230" s="249"/>
      <c r="BH230" s="249"/>
      <c r="BI230" s="249"/>
      <c r="BJ230" s="249"/>
      <c r="BK230" s="249"/>
      <c r="BL230" s="249"/>
      <c r="BM230" s="249"/>
      <c r="BN230" s="249"/>
      <c r="BO230" s="249"/>
      <c r="BP230" s="249"/>
      <c r="BQ230" s="249"/>
      <c r="BR230" s="249"/>
      <c r="BS230" s="249"/>
      <c r="BT230" s="249"/>
      <c r="BU230" s="249"/>
      <c r="BV230" s="249"/>
      <c r="BW230" s="249"/>
      <c r="BX230" s="249"/>
      <c r="BY230" s="249"/>
      <c r="BZ230" s="249"/>
      <c r="CA230" s="249"/>
      <c r="CB230" s="249"/>
      <c r="CC230" s="249"/>
      <c r="CD230" s="249"/>
      <c r="CE230" s="249"/>
    </row>
    <row r="231" spans="1:83" ht="12.95" customHeight="1">
      <c r="A231" s="1"/>
      <c r="B231" s="1"/>
      <c r="C231" s="51" t="s">
        <v>350</v>
      </c>
      <c r="D231" s="52" t="s">
        <v>2227</v>
      </c>
      <c r="E231" s="52" t="s">
        <v>2228</v>
      </c>
      <c r="F231" s="53" t="s">
        <v>513</v>
      </c>
      <c r="G231" s="179" t="s">
        <v>2229</v>
      </c>
      <c r="H231" s="180" t="s">
        <v>350</v>
      </c>
      <c r="I231" s="55" t="s">
        <v>1429</v>
      </c>
      <c r="J231" s="55" t="s">
        <v>1429</v>
      </c>
      <c r="K231" s="56" t="s">
        <v>1429</v>
      </c>
      <c r="L231" s="54" t="s">
        <v>1580</v>
      </c>
      <c r="M231" s="55" t="s">
        <v>1580</v>
      </c>
      <c r="N231" s="55" t="s">
        <v>1429</v>
      </c>
      <c r="O231" s="55" t="s">
        <v>1429</v>
      </c>
      <c r="P231" s="56" t="s">
        <v>1429</v>
      </c>
      <c r="Q231" s="52" t="s">
        <v>753</v>
      </c>
      <c r="R231" s="52" t="s">
        <v>113</v>
      </c>
      <c r="S231" s="52" t="s">
        <v>99</v>
      </c>
      <c r="T231" s="52" t="s">
        <v>100</v>
      </c>
      <c r="U231" s="57" t="s">
        <v>113</v>
      </c>
      <c r="V231" s="146" t="s">
        <v>2230</v>
      </c>
      <c r="W231" s="51" t="s">
        <v>2207</v>
      </c>
      <c r="X231" s="130" t="s">
        <v>1429</v>
      </c>
      <c r="Y231" s="130" t="s">
        <v>1429</v>
      </c>
      <c r="Z231" s="51" t="s">
        <v>2208</v>
      </c>
      <c r="AA231" s="51" t="s">
        <v>2209</v>
      </c>
      <c r="AB231" s="51" t="s">
        <v>3666</v>
      </c>
      <c r="AC231" s="51" t="s">
        <v>1674</v>
      </c>
      <c r="AD231" s="59" t="str">
        <f t="shared" si="42"/>
        <v>GPIO_PR4</v>
      </c>
      <c r="AE231" s="66"/>
      <c r="AF231" s="61" t="str">
        <f t="shared" si="43"/>
        <v>NORMAL</v>
      </c>
      <c r="AG231" s="61" t="str">
        <f t="shared" si="35"/>
        <v>NORMAL</v>
      </c>
      <c r="AH231" s="61" t="str">
        <f t="shared" si="44"/>
        <v>DISABLE</v>
      </c>
      <c r="AI231" s="67" t="str">
        <f t="shared" si="37"/>
        <v>1</v>
      </c>
      <c r="AJ231" s="176" t="b">
        <v>1</v>
      </c>
      <c r="AK231" s="176" t="b">
        <v>1</v>
      </c>
      <c r="AL231" s="176" t="b">
        <v>1</v>
      </c>
      <c r="AM231" s="176" t="b">
        <v>1</v>
      </c>
      <c r="AN231" s="176" t="b">
        <v>1</v>
      </c>
      <c r="AO231" s="176" t="b">
        <v>1</v>
      </c>
      <c r="AP231" s="64" t="str">
        <f t="shared" si="45"/>
        <v>VALID</v>
      </c>
      <c r="AQ231" s="341" t="s">
        <v>2229</v>
      </c>
      <c r="AR231" s="336" t="s">
        <v>3495</v>
      </c>
      <c r="AS231" s="337" t="s">
        <v>3498</v>
      </c>
      <c r="AT231" s="342"/>
      <c r="AU231" s="342"/>
      <c r="AV231" s="342"/>
      <c r="AW231" s="342"/>
      <c r="AX231" s="342"/>
      <c r="AY231" s="337"/>
      <c r="AZ231" s="337"/>
      <c r="BA231" s="343"/>
      <c r="BB231" s="338"/>
      <c r="BC231" s="344" t="s">
        <v>3763</v>
      </c>
      <c r="BD231" s="250"/>
      <c r="BE231" s="239"/>
      <c r="BF231" s="239"/>
      <c r="BG231" s="239"/>
      <c r="BH231" s="239"/>
      <c r="BI231" s="239"/>
      <c r="BJ231" s="239"/>
      <c r="BK231" s="239"/>
      <c r="BL231" s="239"/>
      <c r="BM231" s="239"/>
      <c r="BN231" s="239"/>
      <c r="BO231" s="239"/>
      <c r="BP231" s="239"/>
      <c r="BQ231" s="239"/>
      <c r="BR231" s="239"/>
      <c r="BS231" s="239"/>
      <c r="BT231" s="239"/>
      <c r="BU231" s="239"/>
      <c r="BV231" s="239"/>
      <c r="BW231" s="239"/>
      <c r="BX231" s="239"/>
      <c r="BY231" s="239"/>
      <c r="BZ231" s="239"/>
      <c r="CA231" s="239"/>
      <c r="CB231" s="239"/>
      <c r="CC231" s="239"/>
      <c r="CD231" s="239"/>
      <c r="CE231" s="239"/>
    </row>
    <row r="232" spans="1:83" s="84" customFormat="1" ht="12.95" customHeight="1">
      <c r="A232" s="1"/>
      <c r="B232" s="1"/>
      <c r="C232" s="79" t="s">
        <v>911</v>
      </c>
      <c r="D232" s="52" t="s">
        <v>2231</v>
      </c>
      <c r="E232" s="52" t="s">
        <v>2232</v>
      </c>
      <c r="F232" s="53" t="s">
        <v>1301</v>
      </c>
      <c r="G232" s="179" t="s">
        <v>1429</v>
      </c>
      <c r="H232" s="180" t="s">
        <v>911</v>
      </c>
      <c r="I232" s="55" t="s">
        <v>1429</v>
      </c>
      <c r="J232" s="55" t="s">
        <v>1429</v>
      </c>
      <c r="K232" s="56" t="s">
        <v>1429</v>
      </c>
      <c r="L232" s="54" t="s">
        <v>1429</v>
      </c>
      <c r="M232" s="55" t="s">
        <v>1580</v>
      </c>
      <c r="N232" s="55" t="s">
        <v>1429</v>
      </c>
      <c r="O232" s="55" t="s">
        <v>1429</v>
      </c>
      <c r="P232" s="56" t="s">
        <v>1429</v>
      </c>
      <c r="Q232" s="52" t="s">
        <v>753</v>
      </c>
      <c r="R232" s="52" t="s">
        <v>113</v>
      </c>
      <c r="S232" s="52" t="s">
        <v>99</v>
      </c>
      <c r="T232" s="52" t="s">
        <v>100</v>
      </c>
      <c r="U232" s="57" t="s">
        <v>113</v>
      </c>
      <c r="V232" s="146" t="s">
        <v>2233</v>
      </c>
      <c r="W232" s="51" t="s">
        <v>2207</v>
      </c>
      <c r="X232" s="130" t="s">
        <v>1429</v>
      </c>
      <c r="Y232" s="130" t="s">
        <v>1429</v>
      </c>
      <c r="Z232" s="51" t="s">
        <v>2234</v>
      </c>
      <c r="AA232" s="51" t="s">
        <v>2235</v>
      </c>
      <c r="AB232" s="51"/>
      <c r="AC232" s="51" t="s">
        <v>1429</v>
      </c>
      <c r="AD232" s="175"/>
      <c r="AE232" s="66"/>
      <c r="AF232" s="61" t="str">
        <f t="shared" si="43"/>
        <v>NORMAL</v>
      </c>
      <c r="AG232" s="61" t="str">
        <f t="shared" si="35"/>
        <v>NORMAL</v>
      </c>
      <c r="AH232" s="61" t="str">
        <f t="shared" si="44"/>
        <v>ENABLE</v>
      </c>
      <c r="AI232" s="67" t="str">
        <f t="shared" si="37"/>
        <v>N/A</v>
      </c>
      <c r="AJ232" s="176" t="b">
        <v>1</v>
      </c>
      <c r="AK232" s="176" t="b">
        <v>1</v>
      </c>
      <c r="AL232" s="176" t="b">
        <v>1</v>
      </c>
      <c r="AM232" s="176" t="b">
        <v>1</v>
      </c>
      <c r="AN232" s="176" t="b">
        <v>1</v>
      </c>
      <c r="AO232" s="176" t="b">
        <v>1</v>
      </c>
      <c r="AP232" s="64" t="str">
        <f t="shared" si="45"/>
        <v>VALID</v>
      </c>
      <c r="AQ232" s="350" t="s">
        <v>911</v>
      </c>
      <c r="AR232" s="338"/>
      <c r="AS232" s="338"/>
      <c r="AT232" s="342"/>
      <c r="AU232" s="342"/>
      <c r="AV232" s="342"/>
      <c r="AW232" s="342"/>
      <c r="AX232" s="342"/>
      <c r="AY232" s="337"/>
      <c r="AZ232" s="337"/>
      <c r="BA232" s="351"/>
      <c r="BB232" s="338"/>
      <c r="BC232" s="344"/>
      <c r="BD232" s="250"/>
      <c r="BE232" s="249"/>
      <c r="BF232" s="249"/>
      <c r="BG232" s="249"/>
      <c r="BH232" s="249"/>
      <c r="BI232" s="249"/>
      <c r="BJ232" s="249"/>
      <c r="BK232" s="249"/>
      <c r="BL232" s="249"/>
      <c r="BM232" s="249"/>
      <c r="BN232" s="249"/>
      <c r="BO232" s="249"/>
      <c r="BP232" s="249"/>
      <c r="BQ232" s="249"/>
      <c r="BR232" s="249"/>
      <c r="BS232" s="249"/>
      <c r="BT232" s="249"/>
      <c r="BU232" s="249"/>
      <c r="BV232" s="249"/>
      <c r="BW232" s="249"/>
      <c r="BX232" s="249"/>
      <c r="BY232" s="249"/>
      <c r="BZ232" s="249"/>
      <c r="CA232" s="249"/>
      <c r="CB232" s="249"/>
      <c r="CC232" s="249"/>
      <c r="CD232" s="249"/>
      <c r="CE232" s="249"/>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8"/>
      <c r="AY233" s="73"/>
      <c r="AZ233" s="73"/>
      <c r="BA233" s="73"/>
      <c r="BB233" s="168" t="s">
        <v>49</v>
      </c>
      <c r="BC233" s="172"/>
      <c r="BD233" s="169"/>
      <c r="BE233" s="308"/>
      <c r="BF233" s="243"/>
      <c r="BG233" s="243"/>
      <c r="BH233" s="243"/>
      <c r="BI233" s="243"/>
      <c r="BJ233" s="243"/>
      <c r="BK233" s="243"/>
      <c r="BL233" s="243"/>
      <c r="BM233" s="243"/>
      <c r="BN233" s="243"/>
      <c r="BO233" s="243"/>
      <c r="BP233" s="243"/>
      <c r="BQ233" s="243"/>
      <c r="BR233" s="243"/>
      <c r="BS233" s="243"/>
      <c r="BT233" s="243"/>
      <c r="BU233" s="243"/>
      <c r="BV233" s="243"/>
      <c r="BW233" s="243"/>
      <c r="BX233" s="243"/>
      <c r="BY233" s="243"/>
      <c r="BZ233" s="243"/>
      <c r="CA233" s="243"/>
      <c r="CB233" s="243"/>
      <c r="CC233" s="243"/>
      <c r="CD233" s="243"/>
      <c r="CE233" s="243"/>
    </row>
    <row r="234" spans="1:83" ht="12.95" customHeight="1">
      <c r="A234" s="21" t="s">
        <v>3451</v>
      </c>
      <c r="B234" s="21" t="s">
        <v>1626</v>
      </c>
      <c r="C234" s="51" t="s">
        <v>63</v>
      </c>
      <c r="D234" s="52" t="s">
        <v>82</v>
      </c>
      <c r="E234" s="52" t="s">
        <v>2236</v>
      </c>
      <c r="F234" s="53" t="s">
        <v>239</v>
      </c>
      <c r="G234" s="179" t="s">
        <v>1429</v>
      </c>
      <c r="H234" s="180" t="s">
        <v>63</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5"/>
      <c r="AE234" s="66"/>
      <c r="AF234" s="61" t="str">
        <f t="shared" ref="AF234:AF240" si="46">IF(AND(OR($AS234="Int PU",$AS234="Int PD"),OR(AND($AY234&lt;&gt;"",$AY234&lt;&gt;"0"),AND($AZ234&lt;&gt;"",$AZ234&lt;&gt;"0"))),"INVALID",IF(OR($AQ234=$F234,$AS234="Int PD"),"PULL_DOWN",IF(OR($AS234="Int PU",AND($AE234="YES",OR($AY234="",$AY234="0"),OR($AZ234="",$AZ234="0"),OR($AR234="Input",$AR234="Bidirectional"))),"PULL_UP","NORMAL")))</f>
        <v>NORMAL</v>
      </c>
      <c r="AG234" s="61" t="str">
        <f t="shared" si="35"/>
        <v>NORMAL</v>
      </c>
      <c r="AH234" s="61" t="str">
        <f t="shared" ref="AH234:AH240" si="47">IF(OR($AQ234=$F234,$AR234="Output"),"DISABLE","ENABLE")</f>
        <v>ENABLE</v>
      </c>
      <c r="AI234" s="67" t="str">
        <f t="shared" si="37"/>
        <v>N/A</v>
      </c>
      <c r="AJ234" s="176" t="b">
        <v>1</v>
      </c>
      <c r="AK234" s="176" t="b">
        <v>1</v>
      </c>
      <c r="AL234" s="176" t="b">
        <v>1</v>
      </c>
      <c r="AM234" s="176" t="b">
        <v>1</v>
      </c>
      <c r="AN234" s="176" t="b">
        <v>1</v>
      </c>
      <c r="AO234" s="176" t="b">
        <v>1</v>
      </c>
      <c r="AP234" s="64" t="str">
        <f t="shared" ref="AP234:AP247" si="48">IF(AND($AJ234:$AO234), "VALID", "INVALID")</f>
        <v>VALID</v>
      </c>
      <c r="AQ234" s="227" t="s">
        <v>63</v>
      </c>
      <c r="AR234" s="3" t="s">
        <v>3501</v>
      </c>
      <c r="AS234" s="181"/>
      <c r="AT234" s="214"/>
      <c r="AU234" s="214"/>
      <c r="AV234" s="5"/>
      <c r="AW234" s="5"/>
      <c r="AX234" s="284"/>
      <c r="AY234" s="4"/>
      <c r="AZ234" s="4"/>
      <c r="BA234" s="12" t="s">
        <v>101</v>
      </c>
      <c r="BB234" s="216"/>
      <c r="BC234" s="15" t="s">
        <v>63</v>
      </c>
      <c r="BD234" s="238"/>
      <c r="BE234" s="239"/>
      <c r="BF234" s="239"/>
      <c r="BG234" s="239"/>
      <c r="BH234" s="239"/>
      <c r="BI234" s="239"/>
      <c r="BJ234" s="239"/>
      <c r="BK234" s="239"/>
      <c r="BL234" s="239"/>
      <c r="BM234" s="239"/>
      <c r="BN234" s="239"/>
      <c r="BO234" s="239"/>
      <c r="BP234" s="239"/>
      <c r="BQ234" s="239"/>
      <c r="BR234" s="239"/>
      <c r="BS234" s="239"/>
      <c r="BT234" s="239"/>
      <c r="BU234" s="239"/>
      <c r="BV234" s="239"/>
      <c r="BW234" s="239"/>
      <c r="BX234" s="239"/>
      <c r="BY234" s="239"/>
      <c r="BZ234" s="239"/>
      <c r="CA234" s="239"/>
      <c r="CB234" s="239"/>
      <c r="CC234" s="239"/>
      <c r="CD234" s="239"/>
      <c r="CE234" s="239"/>
    </row>
    <row r="235" spans="1:83" ht="12.95" customHeight="1">
      <c r="A235" s="21" t="s">
        <v>3452</v>
      </c>
      <c r="B235" s="21" t="s">
        <v>3570</v>
      </c>
      <c r="C235" s="51" t="s">
        <v>64</v>
      </c>
      <c r="D235" s="52" t="s">
        <v>83</v>
      </c>
      <c r="E235" s="52" t="s">
        <v>2242</v>
      </c>
      <c r="F235" s="53" t="s">
        <v>240</v>
      </c>
      <c r="G235" s="179" t="s">
        <v>1429</v>
      </c>
      <c r="H235" s="180" t="s">
        <v>64</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5"/>
      <c r="AE235" s="66"/>
      <c r="AF235" s="61" t="str">
        <f t="shared" si="46"/>
        <v>NORMAL</v>
      </c>
      <c r="AG235" s="61" t="str">
        <f t="shared" si="35"/>
        <v>NORMAL</v>
      </c>
      <c r="AH235" s="61" t="str">
        <f t="shared" si="47"/>
        <v>ENABLE</v>
      </c>
      <c r="AI235" s="67" t="str">
        <f t="shared" si="37"/>
        <v>N/A</v>
      </c>
      <c r="AJ235" s="176" t="b">
        <v>1</v>
      </c>
      <c r="AK235" s="176" t="b">
        <v>1</v>
      </c>
      <c r="AL235" s="176" t="b">
        <v>1</v>
      </c>
      <c r="AM235" s="176" t="b">
        <v>1</v>
      </c>
      <c r="AN235" s="176" t="b">
        <v>1</v>
      </c>
      <c r="AO235" s="176" t="b">
        <v>1</v>
      </c>
      <c r="AP235" s="64" t="str">
        <f t="shared" si="48"/>
        <v>VALID</v>
      </c>
      <c r="AQ235" s="227" t="s">
        <v>64</v>
      </c>
      <c r="AR235" s="182" t="s">
        <v>3501</v>
      </c>
      <c r="AS235" s="181"/>
      <c r="AT235" s="5"/>
      <c r="AU235" s="5"/>
      <c r="AV235" s="219"/>
      <c r="AW235" s="219"/>
      <c r="AX235" s="287"/>
      <c r="AY235" s="181"/>
      <c r="AZ235" s="181"/>
      <c r="BA235" s="7"/>
      <c r="BB235" s="212"/>
      <c r="BC235" s="10" t="s">
        <v>64</v>
      </c>
      <c r="BD235" s="238"/>
      <c r="BE235" s="239"/>
      <c r="BF235" s="239"/>
      <c r="BG235" s="239"/>
      <c r="BH235" s="239"/>
      <c r="BI235" s="239"/>
      <c r="BJ235" s="239"/>
      <c r="BK235" s="239"/>
      <c r="BL235" s="239"/>
      <c r="BM235" s="239"/>
      <c r="BN235" s="239"/>
      <c r="BO235" s="239"/>
      <c r="BP235" s="239"/>
      <c r="BQ235" s="239"/>
      <c r="BR235" s="239"/>
      <c r="BS235" s="239"/>
      <c r="BT235" s="239"/>
      <c r="BU235" s="239"/>
      <c r="BV235" s="239"/>
      <c r="BW235" s="239"/>
      <c r="BX235" s="239"/>
      <c r="BY235" s="239"/>
      <c r="BZ235" s="239"/>
      <c r="CA235" s="239"/>
      <c r="CB235" s="239"/>
      <c r="CC235" s="239"/>
      <c r="CD235" s="239"/>
      <c r="CE235" s="239"/>
    </row>
    <row r="236" spans="1:83" ht="12.95" customHeight="1">
      <c r="A236" s="21" t="s">
        <v>3453</v>
      </c>
      <c r="B236" s="21" t="s">
        <v>1579</v>
      </c>
      <c r="C236" s="51" t="s">
        <v>1009</v>
      </c>
      <c r="D236" s="52" t="s">
        <v>2245</v>
      </c>
      <c r="E236" s="52" t="s">
        <v>2246</v>
      </c>
      <c r="F236" s="53" t="s">
        <v>1302</v>
      </c>
      <c r="G236" s="179" t="s">
        <v>2247</v>
      </c>
      <c r="H236" s="180" t="s">
        <v>1009</v>
      </c>
      <c r="I236" s="55" t="s">
        <v>1429</v>
      </c>
      <c r="J236" s="55" t="s">
        <v>1429</v>
      </c>
      <c r="K236" s="56" t="s">
        <v>1429</v>
      </c>
      <c r="L236" s="54" t="s">
        <v>1580</v>
      </c>
      <c r="M236" s="55" t="s">
        <v>1590</v>
      </c>
      <c r="N236" s="55" t="s">
        <v>1429</v>
      </c>
      <c r="O236" s="55" t="s">
        <v>1429</v>
      </c>
      <c r="P236" s="56" t="s">
        <v>1429</v>
      </c>
      <c r="Q236" s="52" t="s">
        <v>1383</v>
      </c>
      <c r="R236" s="52" t="s">
        <v>113</v>
      </c>
      <c r="S236" s="52" t="s">
        <v>99</v>
      </c>
      <c r="T236" s="52" t="s">
        <v>100</v>
      </c>
      <c r="U236" s="57" t="s">
        <v>113</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46"/>
        <v>NORMAL</v>
      </c>
      <c r="AG236" s="61" t="str">
        <f t="shared" si="35"/>
        <v>TRISTATE</v>
      </c>
      <c r="AH236" s="61" t="str">
        <f t="shared" si="47"/>
        <v>ENABLE</v>
      </c>
      <c r="AI236" s="67" t="str">
        <f t="shared" si="37"/>
        <v>N/A</v>
      </c>
      <c r="AJ236" s="176" t="b">
        <v>1</v>
      </c>
      <c r="AK236" s="176" t="b">
        <v>1</v>
      </c>
      <c r="AL236" s="176" t="b">
        <v>1</v>
      </c>
      <c r="AM236" s="176" t="b">
        <v>1</v>
      </c>
      <c r="AN236" s="176" t="b">
        <v>1</v>
      </c>
      <c r="AO236" s="176" t="b">
        <v>1</v>
      </c>
      <c r="AP236" s="64" t="str">
        <f t="shared" si="48"/>
        <v>VALID</v>
      </c>
      <c r="AQ236" s="227" t="s">
        <v>1009</v>
      </c>
      <c r="AR236" s="182" t="s">
        <v>3496</v>
      </c>
      <c r="AS236" s="181"/>
      <c r="AT236" s="181" t="s">
        <v>3499</v>
      </c>
      <c r="AU236" s="5"/>
      <c r="AV236" s="181" t="s">
        <v>125</v>
      </c>
      <c r="AW236" s="181" t="s">
        <v>125</v>
      </c>
      <c r="AX236" s="287"/>
      <c r="AY236" s="181" t="s">
        <v>3505</v>
      </c>
      <c r="AZ236" s="181"/>
      <c r="BA236" s="7"/>
      <c r="BB236" s="212"/>
      <c r="BC236" s="10" t="s">
        <v>1009</v>
      </c>
      <c r="BD236" s="238"/>
      <c r="BE236" s="239"/>
      <c r="BF236" s="239"/>
      <c r="BG236" s="239"/>
      <c r="BH236" s="239"/>
      <c r="BI236" s="239"/>
      <c r="BJ236" s="239"/>
      <c r="BK236" s="239"/>
      <c r="BL236" s="239"/>
      <c r="BM236" s="239"/>
      <c r="BN236" s="239"/>
      <c r="BO236" s="239"/>
      <c r="BP236" s="239"/>
      <c r="BQ236" s="239"/>
      <c r="BR236" s="239"/>
      <c r="BS236" s="239"/>
      <c r="BT236" s="239"/>
      <c r="BU236" s="239"/>
      <c r="BV236" s="239"/>
      <c r="BW236" s="239"/>
      <c r="BX236" s="239"/>
      <c r="BY236" s="239"/>
      <c r="BZ236" s="239"/>
      <c r="CA236" s="239"/>
      <c r="CB236" s="239"/>
      <c r="CC236" s="239"/>
      <c r="CD236" s="239"/>
      <c r="CE236" s="239"/>
    </row>
    <row r="237" spans="1:83" ht="12.95" customHeight="1">
      <c r="A237" s="21" t="s">
        <v>3454</v>
      </c>
      <c r="B237" s="21" t="s">
        <v>1620</v>
      </c>
      <c r="C237" s="51" t="s">
        <v>319</v>
      </c>
      <c r="D237" s="52" t="s">
        <v>2251</v>
      </c>
      <c r="E237" s="52" t="s">
        <v>2252</v>
      </c>
      <c r="F237" s="53" t="s">
        <v>558</v>
      </c>
      <c r="G237" s="179" t="s">
        <v>1429</v>
      </c>
      <c r="H237" s="180" t="s">
        <v>319</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5"/>
      <c r="AE237" s="66"/>
      <c r="AF237" s="61" t="str">
        <f t="shared" si="46"/>
        <v>NORMAL</v>
      </c>
      <c r="AG237" s="61" t="str">
        <f t="shared" si="35"/>
        <v>NORMAL</v>
      </c>
      <c r="AH237" s="61" t="str">
        <f t="shared" si="47"/>
        <v>ENABLE</v>
      </c>
      <c r="AI237" s="67" t="str">
        <f t="shared" si="37"/>
        <v>N/A</v>
      </c>
      <c r="AJ237" s="176" t="b">
        <v>1</v>
      </c>
      <c r="AK237" s="176" t="b">
        <v>1</v>
      </c>
      <c r="AL237" s="176" t="b">
        <v>1</v>
      </c>
      <c r="AM237" s="176" t="b">
        <v>1</v>
      </c>
      <c r="AN237" s="176" t="b">
        <v>1</v>
      </c>
      <c r="AO237" s="176" t="b">
        <v>1</v>
      </c>
      <c r="AP237" s="64" t="str">
        <f t="shared" si="48"/>
        <v>VALID</v>
      </c>
      <c r="AQ237" s="227" t="s">
        <v>1468</v>
      </c>
      <c r="AR237" s="182" t="s">
        <v>3501</v>
      </c>
      <c r="AS237" s="181"/>
      <c r="AT237" s="5"/>
      <c r="AU237" s="5"/>
      <c r="AV237" s="5"/>
      <c r="AW237" s="219"/>
      <c r="AX237" s="287"/>
      <c r="AY237" s="181" t="s">
        <v>67</v>
      </c>
      <c r="AZ237" s="181"/>
      <c r="BA237" s="7"/>
      <c r="BB237" s="212"/>
      <c r="BC237" s="10" t="s">
        <v>1468</v>
      </c>
      <c r="BD237" s="238"/>
      <c r="BE237" s="239"/>
      <c r="BF237" s="239"/>
      <c r="BG237" s="239"/>
      <c r="BH237" s="239"/>
      <c r="BI237" s="239"/>
      <c r="BJ237" s="239"/>
      <c r="BK237" s="239"/>
      <c r="BL237" s="239"/>
      <c r="BM237" s="239"/>
      <c r="BN237" s="239"/>
      <c r="BO237" s="239"/>
      <c r="BP237" s="239"/>
      <c r="BQ237" s="239"/>
      <c r="BR237" s="239"/>
      <c r="BS237" s="239"/>
      <c r="BT237" s="239"/>
      <c r="BU237" s="239"/>
      <c r="BV237" s="239"/>
      <c r="BW237" s="239"/>
      <c r="BX237" s="239"/>
      <c r="BY237" s="239"/>
      <c r="BZ237" s="239"/>
      <c r="CA237" s="239"/>
      <c r="CB237" s="239"/>
      <c r="CC237" s="239"/>
      <c r="CD237" s="239"/>
      <c r="CE237" s="239"/>
    </row>
    <row r="238" spans="1:83" ht="12.95" customHeight="1">
      <c r="A238" s="21" t="s">
        <v>3455</v>
      </c>
      <c r="B238" s="21" t="s">
        <v>3558</v>
      </c>
      <c r="C238" s="51" t="s">
        <v>320</v>
      </c>
      <c r="D238" s="52" t="s">
        <v>2254</v>
      </c>
      <c r="E238" s="52" t="s">
        <v>2255</v>
      </c>
      <c r="F238" s="53" t="s">
        <v>559</v>
      </c>
      <c r="G238" s="179" t="s">
        <v>1429</v>
      </c>
      <c r="H238" s="180" t="s">
        <v>320</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5"/>
      <c r="AE238" s="66"/>
      <c r="AF238" s="61" t="str">
        <f t="shared" si="46"/>
        <v>NORMAL</v>
      </c>
      <c r="AG238" s="61" t="str">
        <f t="shared" si="35"/>
        <v>NORMAL</v>
      </c>
      <c r="AH238" s="61" t="str">
        <f t="shared" si="47"/>
        <v>ENABLE</v>
      </c>
      <c r="AI238" s="67" t="str">
        <f t="shared" si="37"/>
        <v>N/A</v>
      </c>
      <c r="AJ238" s="176" t="b">
        <v>1</v>
      </c>
      <c r="AK238" s="176" t="b">
        <v>1</v>
      </c>
      <c r="AL238" s="176" t="b">
        <v>1</v>
      </c>
      <c r="AM238" s="176" t="b">
        <v>1</v>
      </c>
      <c r="AN238" s="176" t="b">
        <v>1</v>
      </c>
      <c r="AO238" s="176" t="b">
        <v>1</v>
      </c>
      <c r="AP238" s="64" t="str">
        <f t="shared" si="48"/>
        <v>VALID</v>
      </c>
      <c r="AQ238" s="226" t="s">
        <v>1469</v>
      </c>
      <c r="AR238" s="182" t="s">
        <v>3501</v>
      </c>
      <c r="AS238" s="181"/>
      <c r="AT238" s="5"/>
      <c r="AU238" s="5"/>
      <c r="AV238" s="5"/>
      <c r="AW238" s="219"/>
      <c r="AX238" s="287"/>
      <c r="AY238" s="181" t="s">
        <v>67</v>
      </c>
      <c r="AZ238" s="181"/>
      <c r="BA238" s="7"/>
      <c r="BB238" s="212"/>
      <c r="BC238" s="10" t="s">
        <v>1469</v>
      </c>
      <c r="BD238" s="238"/>
      <c r="BE238" s="239"/>
      <c r="BF238" s="239"/>
      <c r="BG238" s="239"/>
      <c r="BH238" s="239"/>
      <c r="BI238" s="239"/>
      <c r="BJ238" s="239"/>
      <c r="BK238" s="239"/>
      <c r="BL238" s="239"/>
      <c r="BM238" s="239"/>
      <c r="BN238" s="239"/>
      <c r="BO238" s="239"/>
      <c r="BP238" s="239"/>
      <c r="BQ238" s="239"/>
      <c r="BR238" s="239"/>
      <c r="BS238" s="239"/>
      <c r="BT238" s="239"/>
      <c r="BU238" s="239"/>
      <c r="BV238" s="239"/>
      <c r="BW238" s="239"/>
      <c r="BX238" s="239"/>
      <c r="BY238" s="239"/>
      <c r="BZ238" s="239"/>
      <c r="CA238" s="239"/>
      <c r="CB238" s="239"/>
      <c r="CC238" s="239"/>
      <c r="CD238" s="239"/>
      <c r="CE238" s="239"/>
    </row>
    <row r="239" spans="1:83" ht="12.95" customHeight="1">
      <c r="A239" s="21" t="s">
        <v>33</v>
      </c>
      <c r="B239" s="21" t="s">
        <v>1887</v>
      </c>
      <c r="C239" s="51" t="s">
        <v>33</v>
      </c>
      <c r="D239" s="52" t="s">
        <v>2257</v>
      </c>
      <c r="E239" s="52" t="s">
        <v>82</v>
      </c>
      <c r="F239" s="53" t="s">
        <v>167</v>
      </c>
      <c r="G239" s="179"/>
      <c r="H239" s="180" t="s">
        <v>33</v>
      </c>
      <c r="I239" s="55" t="s">
        <v>1429</v>
      </c>
      <c r="J239" s="55" t="s">
        <v>1429</v>
      </c>
      <c r="K239" s="56" t="s">
        <v>1429</v>
      </c>
      <c r="L239" s="54" t="s">
        <v>1580</v>
      </c>
      <c r="M239" s="55" t="s">
        <v>1580</v>
      </c>
      <c r="N239" s="55" t="s">
        <v>1429</v>
      </c>
      <c r="O239" s="55" t="s">
        <v>1429</v>
      </c>
      <c r="P239" s="56" t="s">
        <v>1429</v>
      </c>
      <c r="Q239" s="185" t="s">
        <v>223</v>
      </c>
      <c r="R239" s="185" t="s">
        <v>113</v>
      </c>
      <c r="S239" s="185" t="s">
        <v>99</v>
      </c>
      <c r="T239" s="185" t="s">
        <v>100</v>
      </c>
      <c r="U239" s="185" t="s">
        <v>113</v>
      </c>
      <c r="V239" s="146" t="s">
        <v>2258</v>
      </c>
      <c r="W239" s="51" t="s">
        <v>2239</v>
      </c>
      <c r="X239" s="130" t="s">
        <v>2259</v>
      </c>
      <c r="Y239" s="130" t="s">
        <v>1429</v>
      </c>
      <c r="Z239" s="51" t="s">
        <v>1631</v>
      </c>
      <c r="AA239" s="51" t="s">
        <v>2250</v>
      </c>
      <c r="AB239" s="51" t="s">
        <v>1435</v>
      </c>
      <c r="AC239" s="51" t="s">
        <v>1633</v>
      </c>
      <c r="AD239" s="59" t="str">
        <f t="shared" ref="AD239:AD244" si="49">IF(OR($AQ239="",$AQ239=$F239),$U239,IF($AQ239=$G239,SUBSTITUTE(SUBSTITUTE($AQ239,"GPIO3_","GPIO_"),".0",""),IF($AQ239=$H239,$Q239,IF($AQ239=$I239,$R239,IF($AQ239=$J239,$S239,IF($AQ239=$K239,$T239,"INVALID"))))))</f>
        <v>HDMI</v>
      </c>
      <c r="AE239" s="66"/>
      <c r="AF239" s="61" t="str">
        <f t="shared" si="46"/>
        <v>NORMAL</v>
      </c>
      <c r="AG239" s="61" t="str">
        <f t="shared" si="35"/>
        <v>NORMAL</v>
      </c>
      <c r="AH239" s="61" t="str">
        <f t="shared" si="47"/>
        <v>ENABLE</v>
      </c>
      <c r="AI239" s="67" t="str">
        <f t="shared" si="37"/>
        <v>N/A</v>
      </c>
      <c r="AJ239" s="176" t="b">
        <v>1</v>
      </c>
      <c r="AK239" s="176" t="b">
        <v>1</v>
      </c>
      <c r="AL239" s="176" t="b">
        <v>1</v>
      </c>
      <c r="AM239" s="176" t="b">
        <v>1</v>
      </c>
      <c r="AN239" s="176" t="b">
        <v>1</v>
      </c>
      <c r="AO239" s="176" t="b">
        <v>1</v>
      </c>
      <c r="AP239" s="64" t="str">
        <f t="shared" si="48"/>
        <v>VALID</v>
      </c>
      <c r="AQ239" s="226" t="s">
        <v>33</v>
      </c>
      <c r="AR239" s="182" t="s">
        <v>3501</v>
      </c>
      <c r="AS239" s="181"/>
      <c r="AT239" s="181" t="s">
        <v>3499</v>
      </c>
      <c r="AU239" s="5"/>
      <c r="AV239" s="181" t="s">
        <v>3502</v>
      </c>
      <c r="AW239" s="181" t="s">
        <v>125</v>
      </c>
      <c r="AX239" s="287"/>
      <c r="AY239" s="181"/>
      <c r="AZ239" s="181"/>
      <c r="BA239" s="7"/>
      <c r="BB239" s="212"/>
      <c r="BC239" s="10" t="s">
        <v>33</v>
      </c>
      <c r="BD239" s="238"/>
      <c r="BE239" s="239"/>
      <c r="BF239" s="239"/>
      <c r="BG239" s="239"/>
      <c r="BH239" s="239"/>
      <c r="BI239" s="239"/>
      <c r="BJ239" s="239"/>
      <c r="BK239" s="239"/>
      <c r="BL239" s="239"/>
      <c r="BM239" s="239"/>
      <c r="BN239" s="239"/>
      <c r="BO239" s="239"/>
      <c r="BP239" s="239"/>
      <c r="BQ239" s="239"/>
      <c r="BR239" s="239"/>
      <c r="BS239" s="239"/>
      <c r="BT239" s="239"/>
      <c r="BU239" s="239"/>
      <c r="BV239" s="239"/>
      <c r="BW239" s="239"/>
      <c r="BX239" s="239"/>
      <c r="BY239" s="239"/>
      <c r="BZ239" s="239"/>
      <c r="CA239" s="239"/>
      <c r="CB239" s="239"/>
      <c r="CC239" s="239"/>
      <c r="CD239" s="239"/>
      <c r="CE239" s="239"/>
    </row>
    <row r="240" spans="1:83" ht="12.95" customHeight="1">
      <c r="A240" s="21" t="s">
        <v>3456</v>
      </c>
      <c r="B240" s="21" t="s">
        <v>1914</v>
      </c>
      <c r="C240" s="51" t="s">
        <v>1010</v>
      </c>
      <c r="D240" s="52" t="s">
        <v>2260</v>
      </c>
      <c r="E240" s="52" t="s">
        <v>2261</v>
      </c>
      <c r="F240" s="53" t="s">
        <v>1303</v>
      </c>
      <c r="G240" s="179" t="s">
        <v>1573</v>
      </c>
      <c r="H240" s="180" t="s">
        <v>1010</v>
      </c>
      <c r="I240" s="55" t="s">
        <v>1429</v>
      </c>
      <c r="J240" s="55" t="s">
        <v>1429</v>
      </c>
      <c r="K240" s="56" t="s">
        <v>1429</v>
      </c>
      <c r="L240" s="54" t="s">
        <v>1580</v>
      </c>
      <c r="M240" s="55" t="s">
        <v>1590</v>
      </c>
      <c r="N240" s="55" t="s">
        <v>1429</v>
      </c>
      <c r="O240" s="55" t="s">
        <v>1429</v>
      </c>
      <c r="P240" s="56" t="s">
        <v>1429</v>
      </c>
      <c r="Q240" s="185" t="s">
        <v>1383</v>
      </c>
      <c r="R240" s="185" t="s">
        <v>113</v>
      </c>
      <c r="S240" s="185" t="s">
        <v>99</v>
      </c>
      <c r="T240" s="185" t="s">
        <v>100</v>
      </c>
      <c r="U240" s="185" t="s">
        <v>113</v>
      </c>
      <c r="V240" s="146" t="s">
        <v>2262</v>
      </c>
      <c r="W240" s="51" t="s">
        <v>2239</v>
      </c>
      <c r="X240" s="130" t="s">
        <v>2263</v>
      </c>
      <c r="Y240" s="130" t="s">
        <v>1429</v>
      </c>
      <c r="Z240" s="51" t="s">
        <v>1631</v>
      </c>
      <c r="AA240" s="51" t="s">
        <v>2250</v>
      </c>
      <c r="AB240" s="51" t="s">
        <v>1435</v>
      </c>
      <c r="AC240" s="51" t="s">
        <v>1587</v>
      </c>
      <c r="AD240" s="59" t="str">
        <f t="shared" si="49"/>
        <v>DP</v>
      </c>
      <c r="AE240" s="66"/>
      <c r="AF240" s="61" t="str">
        <f t="shared" si="46"/>
        <v>NORMAL</v>
      </c>
      <c r="AG240" s="61" t="str">
        <f t="shared" si="35"/>
        <v>TRISTATE</v>
      </c>
      <c r="AH240" s="61" t="str">
        <f t="shared" si="47"/>
        <v>ENABLE</v>
      </c>
      <c r="AI240" s="67" t="str">
        <f t="shared" si="37"/>
        <v>N/A</v>
      </c>
      <c r="AJ240" s="176" t="b">
        <v>1</v>
      </c>
      <c r="AK240" s="176" t="b">
        <v>1</v>
      </c>
      <c r="AL240" s="176" t="b">
        <v>1</v>
      </c>
      <c r="AM240" s="176" t="b">
        <v>1</v>
      </c>
      <c r="AN240" s="176" t="b">
        <v>1</v>
      </c>
      <c r="AO240" s="176" t="b">
        <v>1</v>
      </c>
      <c r="AP240" s="64" t="str">
        <f t="shared" si="48"/>
        <v>VALID</v>
      </c>
      <c r="AQ240" s="226" t="s">
        <v>1010</v>
      </c>
      <c r="AR240" s="182" t="s">
        <v>3496</v>
      </c>
      <c r="AS240" s="181"/>
      <c r="AT240" s="181" t="s">
        <v>3499</v>
      </c>
      <c r="AU240" s="219"/>
      <c r="AV240" s="181" t="s">
        <v>125</v>
      </c>
      <c r="AW240" s="181" t="s">
        <v>125</v>
      </c>
      <c r="AX240" s="287"/>
      <c r="AY240" s="181" t="s">
        <v>3505</v>
      </c>
      <c r="AZ240" s="181"/>
      <c r="BA240" s="13"/>
      <c r="BB240" s="220"/>
      <c r="BC240" s="11" t="s">
        <v>1010</v>
      </c>
      <c r="BD240" s="238"/>
      <c r="BE240" s="239"/>
      <c r="BF240" s="239"/>
      <c r="BG240" s="239"/>
      <c r="BH240" s="239"/>
      <c r="BI240" s="239"/>
      <c r="BJ240" s="239"/>
      <c r="BK240" s="239"/>
      <c r="BL240" s="239"/>
      <c r="BM240" s="239"/>
      <c r="BN240" s="239"/>
      <c r="BO240" s="239"/>
      <c r="BP240" s="239"/>
      <c r="BQ240" s="239"/>
      <c r="BR240" s="239"/>
      <c r="BS240" s="239"/>
      <c r="BT240" s="239"/>
      <c r="BU240" s="239"/>
      <c r="BV240" s="239"/>
      <c r="BW240" s="239"/>
      <c r="BX240" s="239"/>
      <c r="BY240" s="239"/>
      <c r="BZ240" s="239"/>
      <c r="CA240" s="239"/>
      <c r="CB240" s="239"/>
      <c r="CC240" s="239"/>
      <c r="CD240" s="239"/>
      <c r="CE240" s="239"/>
    </row>
    <row r="241" spans="1:83" ht="12.95" customHeight="1">
      <c r="A241" s="21" t="s">
        <v>1424</v>
      </c>
      <c r="B241" s="21" t="s">
        <v>2113</v>
      </c>
      <c r="C241" s="51" t="s">
        <v>1011</v>
      </c>
      <c r="D241" s="52" t="s">
        <v>2264</v>
      </c>
      <c r="E241" s="52" t="s">
        <v>2265</v>
      </c>
      <c r="F241" s="53" t="s">
        <v>1304</v>
      </c>
      <c r="G241" s="179" t="s">
        <v>1574</v>
      </c>
      <c r="H241" s="180" t="s">
        <v>1429</v>
      </c>
      <c r="I241" s="55"/>
      <c r="J241" s="55"/>
      <c r="K241" s="56" t="s">
        <v>1429</v>
      </c>
      <c r="L241" s="54" t="s">
        <v>1580</v>
      </c>
      <c r="M241" s="55" t="s">
        <v>1429</v>
      </c>
      <c r="N241" s="55" t="s">
        <v>1581</v>
      </c>
      <c r="O241" s="55" t="s">
        <v>1590</v>
      </c>
      <c r="P241" s="56" t="s">
        <v>1429</v>
      </c>
      <c r="Q241" s="6" t="s">
        <v>755</v>
      </c>
      <c r="R241" s="6" t="s">
        <v>1377</v>
      </c>
      <c r="S241" s="6" t="s">
        <v>55</v>
      </c>
      <c r="T241" s="6" t="s">
        <v>100</v>
      </c>
      <c r="U241" s="186" t="s">
        <v>755</v>
      </c>
      <c r="V241" s="146" t="s">
        <v>2266</v>
      </c>
      <c r="W241" s="51" t="s">
        <v>2239</v>
      </c>
      <c r="X241" s="130" t="s">
        <v>1429</v>
      </c>
      <c r="Y241" s="130" t="s">
        <v>1429</v>
      </c>
      <c r="Z241" s="51" t="s">
        <v>1585</v>
      </c>
      <c r="AA241" s="51" t="s">
        <v>2267</v>
      </c>
      <c r="AB241" s="51" t="s">
        <v>1435</v>
      </c>
      <c r="AC241" s="51" t="s">
        <v>1587</v>
      </c>
      <c r="AD241" s="59" t="str">
        <f t="shared" si="49"/>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5"/>
        <v>NORMAL</v>
      </c>
      <c r="AH241" s="61" t="str">
        <f>IF(OR($AQ241=$F241,$AR241="Output"),"DISABLE","ENABLE")</f>
        <v>DISABLE</v>
      </c>
      <c r="AI241" s="67" t="str">
        <f t="shared" si="37"/>
        <v>0</v>
      </c>
      <c r="AJ241" s="176" t="b">
        <v>1</v>
      </c>
      <c r="AK241" s="176" t="b">
        <v>1</v>
      </c>
      <c r="AL241" s="176" t="b">
        <v>1</v>
      </c>
      <c r="AM241" s="176" t="b">
        <v>1</v>
      </c>
      <c r="AN241" s="176" t="b">
        <v>1</v>
      </c>
      <c r="AO241" s="176" t="b">
        <v>1</v>
      </c>
      <c r="AP241" s="64" t="str">
        <f t="shared" si="48"/>
        <v>VALID</v>
      </c>
      <c r="AQ241" s="226" t="s">
        <v>1574</v>
      </c>
      <c r="AR241" s="164" t="s">
        <v>3495</v>
      </c>
      <c r="AS241" s="9" t="s">
        <v>3500</v>
      </c>
      <c r="AT241" s="5"/>
      <c r="AU241" s="219"/>
      <c r="AV241" s="219"/>
      <c r="AW241" s="181" t="s">
        <v>125</v>
      </c>
      <c r="AX241" s="287"/>
      <c r="AY241" s="9"/>
      <c r="AZ241" s="9"/>
      <c r="BA241" s="13"/>
      <c r="BB241" s="220"/>
      <c r="BC241" s="11" t="s">
        <v>69</v>
      </c>
      <c r="BD241" s="240"/>
      <c r="BE241" s="239"/>
      <c r="BF241" s="239"/>
      <c r="BG241" s="239"/>
      <c r="BH241" s="239"/>
      <c r="BI241" s="239"/>
      <c r="BJ241" s="239"/>
      <c r="BK241" s="239"/>
      <c r="BL241" s="239"/>
      <c r="BM241" s="239"/>
      <c r="BN241" s="239"/>
      <c r="BO241" s="239"/>
      <c r="BP241" s="239"/>
      <c r="BQ241" s="239"/>
      <c r="BR241" s="239"/>
      <c r="BS241" s="239"/>
      <c r="BT241" s="239"/>
      <c r="BU241" s="239"/>
      <c r="BV241" s="239"/>
      <c r="BW241" s="239"/>
      <c r="BX241" s="239"/>
      <c r="BY241" s="239"/>
      <c r="BZ241" s="239"/>
      <c r="CA241" s="239"/>
      <c r="CB241" s="239"/>
      <c r="CC241" s="239"/>
      <c r="CD241" s="239"/>
      <c r="CE241" s="239"/>
    </row>
    <row r="242" spans="1:83" ht="12.95" customHeight="1">
      <c r="A242" s="21" t="s">
        <v>1425</v>
      </c>
      <c r="B242" s="21" t="s">
        <v>2414</v>
      </c>
      <c r="C242" s="51" t="s">
        <v>1012</v>
      </c>
      <c r="D242" s="52" t="s">
        <v>2268</v>
      </c>
      <c r="E242" s="52" t="s">
        <v>2260</v>
      </c>
      <c r="F242" s="53" t="s">
        <v>1305</v>
      </c>
      <c r="G242" s="179" t="s">
        <v>1575</v>
      </c>
      <c r="H242" s="180" t="s">
        <v>1429</v>
      </c>
      <c r="I242" s="55"/>
      <c r="J242" s="55" t="s">
        <v>2269</v>
      </c>
      <c r="K242" s="56" t="s">
        <v>1429</v>
      </c>
      <c r="L242" s="54" t="s">
        <v>1580</v>
      </c>
      <c r="M242" s="55" t="s">
        <v>1429</v>
      </c>
      <c r="N242" s="55" t="s">
        <v>1590</v>
      </c>
      <c r="O242" s="55" t="s">
        <v>1590</v>
      </c>
      <c r="P242" s="56" t="s">
        <v>1429</v>
      </c>
      <c r="Q242" s="185" t="s">
        <v>755</v>
      </c>
      <c r="R242" s="185" t="s">
        <v>1377</v>
      </c>
      <c r="S242" s="185" t="s">
        <v>56</v>
      </c>
      <c r="T242" s="185" t="s">
        <v>100</v>
      </c>
      <c r="U242" s="185" t="s">
        <v>755</v>
      </c>
      <c r="V242" s="146" t="s">
        <v>2270</v>
      </c>
      <c r="W242" s="51" t="s">
        <v>2239</v>
      </c>
      <c r="X242" s="130" t="s">
        <v>1429</v>
      </c>
      <c r="Y242" s="130" t="s">
        <v>1429</v>
      </c>
      <c r="Z242" s="51" t="s">
        <v>1585</v>
      </c>
      <c r="AA242" s="51" t="s">
        <v>2267</v>
      </c>
      <c r="AB242" s="51" t="s">
        <v>1435</v>
      </c>
      <c r="AC242" s="51" t="s">
        <v>1587</v>
      </c>
      <c r="AD242" s="59" t="str">
        <f t="shared" si="49"/>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5"/>
        <v>TRISTATE</v>
      </c>
      <c r="AH242" s="61" t="str">
        <f>IF(OR($AQ242=$F242,$AR242="Output"),"DISABLE","ENABLE")</f>
        <v>ENABLE</v>
      </c>
      <c r="AI242" s="67" t="str">
        <f t="shared" si="37"/>
        <v/>
      </c>
      <c r="AJ242" s="176" t="b">
        <v>1</v>
      </c>
      <c r="AK242" s="176" t="b">
        <v>1</v>
      </c>
      <c r="AL242" s="176" t="b">
        <v>1</v>
      </c>
      <c r="AM242" s="176" t="b">
        <v>1</v>
      </c>
      <c r="AN242" s="176" t="b">
        <v>1</v>
      </c>
      <c r="AO242" s="176" t="b">
        <v>1</v>
      </c>
      <c r="AP242" s="64" t="str">
        <f t="shared" si="48"/>
        <v>VALID</v>
      </c>
      <c r="AQ242" s="226" t="s">
        <v>1575</v>
      </c>
      <c r="AR242" s="182" t="s">
        <v>3496</v>
      </c>
      <c r="AS242" s="181" t="s">
        <v>3497</v>
      </c>
      <c r="AT242" s="5"/>
      <c r="AU242" s="5"/>
      <c r="AV242" s="5"/>
      <c r="AW242" s="181" t="s">
        <v>125</v>
      </c>
      <c r="AX242" s="284"/>
      <c r="AY242" s="181"/>
      <c r="AZ242" s="181"/>
      <c r="BA242" s="7"/>
      <c r="BB242" s="212"/>
      <c r="BC242" s="10" t="s">
        <v>69</v>
      </c>
      <c r="BD242" s="240"/>
      <c r="BE242" s="239"/>
      <c r="BF242" s="239"/>
      <c r="BG242" s="239"/>
      <c r="BH242" s="239"/>
      <c r="BI242" s="239"/>
      <c r="BJ242" s="239"/>
      <c r="BK242" s="239"/>
      <c r="BL242" s="239"/>
      <c r="BM242" s="239"/>
      <c r="BN242" s="239"/>
      <c r="BO242" s="239"/>
      <c r="BP242" s="239"/>
      <c r="BQ242" s="239"/>
      <c r="BR242" s="239"/>
      <c r="BS242" s="239"/>
      <c r="BT242" s="239"/>
      <c r="BU242" s="239"/>
      <c r="BV242" s="239"/>
      <c r="BW242" s="239"/>
      <c r="BX242" s="239"/>
      <c r="BY242" s="239"/>
      <c r="BZ242" s="239"/>
      <c r="CA242" s="239"/>
      <c r="CB242" s="239"/>
      <c r="CC242" s="239"/>
      <c r="CD242" s="239"/>
      <c r="CE242" s="239"/>
    </row>
    <row r="243" spans="1:83" ht="12.95" customHeight="1">
      <c r="A243" s="21" t="s">
        <v>3457</v>
      </c>
      <c r="B243" s="21" t="s">
        <v>2394</v>
      </c>
      <c r="C243" s="51" t="s">
        <v>1013</v>
      </c>
      <c r="D243" s="52" t="s">
        <v>84</v>
      </c>
      <c r="E243" s="52" t="s">
        <v>2271</v>
      </c>
      <c r="F243" s="53" t="s">
        <v>1306</v>
      </c>
      <c r="G243" s="179" t="s">
        <v>1576</v>
      </c>
      <c r="H243" s="180" t="s">
        <v>1429</v>
      </c>
      <c r="I243" s="55"/>
      <c r="J243" s="55"/>
      <c r="K243" s="56" t="s">
        <v>1429</v>
      </c>
      <c r="L243" s="54" t="s">
        <v>1580</v>
      </c>
      <c r="M243" s="55" t="s">
        <v>1429</v>
      </c>
      <c r="N243" s="55" t="s">
        <v>1581</v>
      </c>
      <c r="O243" s="55" t="s">
        <v>1590</v>
      </c>
      <c r="P243" s="56" t="s">
        <v>1429</v>
      </c>
      <c r="Q243" s="185" t="s">
        <v>755</v>
      </c>
      <c r="R243" s="185" t="s">
        <v>1377</v>
      </c>
      <c r="S243" s="185" t="s">
        <v>55</v>
      </c>
      <c r="T243" s="185" t="s">
        <v>100</v>
      </c>
      <c r="U243" s="185" t="s">
        <v>755</v>
      </c>
      <c r="V243" s="146" t="s">
        <v>2272</v>
      </c>
      <c r="W243" s="51" t="s">
        <v>2239</v>
      </c>
      <c r="X243" s="130" t="s">
        <v>2273</v>
      </c>
      <c r="Y243" s="130" t="s">
        <v>1429</v>
      </c>
      <c r="Z243" s="51" t="s">
        <v>1631</v>
      </c>
      <c r="AA243" s="51" t="s">
        <v>2250</v>
      </c>
      <c r="AB243" s="51" t="s">
        <v>1435</v>
      </c>
      <c r="AC243" s="51" t="s">
        <v>1587</v>
      </c>
      <c r="AD243" s="59" t="str">
        <f t="shared" si="49"/>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5"/>
        <v>TRISTATE</v>
      </c>
      <c r="AH243" s="61" t="str">
        <f>IF(OR($AQ243=$F243,$AR243="Output"),"DISABLE","ENABLE")</f>
        <v>ENABLE</v>
      </c>
      <c r="AI243" s="67" t="str">
        <f t="shared" si="37"/>
        <v/>
      </c>
      <c r="AJ243" s="176" t="b">
        <v>1</v>
      </c>
      <c r="AK243" s="176" t="b">
        <v>1</v>
      </c>
      <c r="AL243" s="176" t="b">
        <v>1</v>
      </c>
      <c r="AM243" s="176" t="b">
        <v>1</v>
      </c>
      <c r="AN243" s="176" t="b">
        <v>1</v>
      </c>
      <c r="AO243" s="176" t="b">
        <v>1</v>
      </c>
      <c r="AP243" s="64" t="str">
        <f t="shared" si="48"/>
        <v>VALID</v>
      </c>
      <c r="AQ243" s="226" t="s">
        <v>1576</v>
      </c>
      <c r="AR243" s="182" t="s">
        <v>3496</v>
      </c>
      <c r="AS243" s="181" t="s">
        <v>3497</v>
      </c>
      <c r="AT243" s="181" t="s">
        <v>3499</v>
      </c>
      <c r="AU243" s="5"/>
      <c r="AV243" s="181" t="s">
        <v>125</v>
      </c>
      <c r="AW243" s="181" t="s">
        <v>125</v>
      </c>
      <c r="AX243" s="284"/>
      <c r="AY243" s="181"/>
      <c r="AZ243" s="181"/>
      <c r="BA243" s="7"/>
      <c r="BB243" s="212"/>
      <c r="BC243" s="10" t="s">
        <v>3550</v>
      </c>
      <c r="BD243" s="240"/>
      <c r="BE243" s="239"/>
      <c r="BF243" s="239"/>
      <c r="BG243" s="239"/>
      <c r="BH243" s="239"/>
      <c r="BI243" s="239"/>
      <c r="BJ243" s="239"/>
      <c r="BK243" s="239"/>
      <c r="BL243" s="239"/>
      <c r="BM243" s="239"/>
      <c r="BN243" s="239"/>
      <c r="BO243" s="239"/>
      <c r="BP243" s="239"/>
      <c r="BQ243" s="239"/>
      <c r="BR243" s="239"/>
      <c r="BS243" s="239"/>
      <c r="BT243" s="239"/>
      <c r="BU243" s="239"/>
      <c r="BV243" s="239"/>
      <c r="BW243" s="239"/>
      <c r="BX243" s="239"/>
      <c r="BY243" s="239"/>
      <c r="BZ243" s="239"/>
      <c r="CA243" s="239"/>
      <c r="CB243" s="239"/>
      <c r="CC243" s="239"/>
      <c r="CD243" s="239"/>
      <c r="CE243" s="239"/>
    </row>
    <row r="244" spans="1:83" ht="12.95" customHeight="1">
      <c r="A244" s="21" t="s">
        <v>1426</v>
      </c>
      <c r="B244" s="21" t="s">
        <v>3621</v>
      </c>
      <c r="C244" s="51" t="s">
        <v>1014</v>
      </c>
      <c r="D244" s="52" t="s">
        <v>2274</v>
      </c>
      <c r="E244" s="52" t="s">
        <v>2275</v>
      </c>
      <c r="F244" s="53" t="s">
        <v>1307</v>
      </c>
      <c r="G244" s="179" t="s">
        <v>1577</v>
      </c>
      <c r="H244" s="180" t="s">
        <v>1429</v>
      </c>
      <c r="I244" s="55"/>
      <c r="J244" s="55" t="s">
        <v>2276</v>
      </c>
      <c r="K244" s="56" t="s">
        <v>1429</v>
      </c>
      <c r="L244" s="54" t="s">
        <v>1580</v>
      </c>
      <c r="M244" s="55" t="s">
        <v>1429</v>
      </c>
      <c r="N244" s="55" t="s">
        <v>1590</v>
      </c>
      <c r="O244" s="55" t="s">
        <v>1590</v>
      </c>
      <c r="P244" s="56" t="s">
        <v>1429</v>
      </c>
      <c r="Q244" s="6" t="s">
        <v>755</v>
      </c>
      <c r="R244" s="6" t="s">
        <v>1377</v>
      </c>
      <c r="S244" s="6" t="s">
        <v>56</v>
      </c>
      <c r="T244" s="6" t="s">
        <v>100</v>
      </c>
      <c r="U244" s="186" t="s">
        <v>755</v>
      </c>
      <c r="V244" s="146" t="s">
        <v>2277</v>
      </c>
      <c r="W244" s="51" t="s">
        <v>2239</v>
      </c>
      <c r="X244" s="130" t="s">
        <v>1429</v>
      </c>
      <c r="Y244" s="130" t="s">
        <v>1429</v>
      </c>
      <c r="Z244" s="51" t="s">
        <v>1585</v>
      </c>
      <c r="AA244" s="51" t="s">
        <v>2267</v>
      </c>
      <c r="AB244" s="51" t="s">
        <v>1435</v>
      </c>
      <c r="AC244" s="51" t="s">
        <v>1587</v>
      </c>
      <c r="AD244" s="59" t="str">
        <f t="shared" si="49"/>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5"/>
        <v>NORMAL</v>
      </c>
      <c r="AH244" s="61" t="str">
        <f>IF(OR($AQ244=$F244,$AR244="Output"),"DISABLE","ENABLE")</f>
        <v>DISABLE</v>
      </c>
      <c r="AI244" s="67" t="str">
        <f t="shared" si="37"/>
        <v>0</v>
      </c>
      <c r="AJ244" s="176" t="b">
        <v>1</v>
      </c>
      <c r="AK244" s="176" t="b">
        <v>1</v>
      </c>
      <c r="AL244" s="176" t="b">
        <v>1</v>
      </c>
      <c r="AM244" s="176" t="b">
        <v>1</v>
      </c>
      <c r="AN244" s="176" t="b">
        <v>1</v>
      </c>
      <c r="AO244" s="176" t="b">
        <v>1</v>
      </c>
      <c r="AP244" s="64" t="str">
        <f t="shared" si="48"/>
        <v>VALID</v>
      </c>
      <c r="AQ244" s="227" t="s">
        <v>1577</v>
      </c>
      <c r="AR244" s="164" t="s">
        <v>3495</v>
      </c>
      <c r="AS244" s="9" t="s">
        <v>3500</v>
      </c>
      <c r="AT244" s="5"/>
      <c r="AU244" s="219"/>
      <c r="AV244" s="5"/>
      <c r="AW244" s="181" t="s">
        <v>125</v>
      </c>
      <c r="AX244" s="284"/>
      <c r="AY244" s="9"/>
      <c r="AZ244" s="9"/>
      <c r="BA244" s="13"/>
      <c r="BB244" s="220"/>
      <c r="BC244" s="11" t="s">
        <v>3549</v>
      </c>
      <c r="BD244" s="240"/>
      <c r="BE244" s="239"/>
      <c r="BF244" s="239"/>
      <c r="BG244" s="239"/>
      <c r="BH244" s="239"/>
      <c r="BI244" s="239"/>
      <c r="BJ244" s="239"/>
      <c r="BK244" s="239"/>
      <c r="BL244" s="239"/>
      <c r="BM244" s="239"/>
      <c r="BN244" s="239"/>
      <c r="BO244" s="239"/>
      <c r="BP244" s="239"/>
      <c r="BQ244" s="239"/>
      <c r="BR244" s="239"/>
      <c r="BS244" s="239"/>
      <c r="BT244" s="239"/>
      <c r="BU244" s="239"/>
      <c r="BV244" s="239"/>
      <c r="BW244" s="239"/>
      <c r="BX244" s="239"/>
      <c r="BY244" s="239"/>
      <c r="BZ244" s="239"/>
      <c r="CA244" s="239"/>
      <c r="CB244" s="239"/>
      <c r="CC244" s="239"/>
      <c r="CD244" s="239"/>
      <c r="CE244" s="239"/>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1"/>
      <c r="AR245" s="251"/>
      <c r="AS245" s="252"/>
      <c r="AT245" s="252"/>
      <c r="AU245" s="252"/>
      <c r="AV245" s="252"/>
      <c r="AW245" s="252"/>
      <c r="AX245" s="291"/>
      <c r="AY245" s="252"/>
      <c r="AZ245" s="252"/>
      <c r="BA245" s="252"/>
      <c r="BB245" s="168" t="s">
        <v>49</v>
      </c>
      <c r="BC245" s="253"/>
      <c r="BD245" s="253"/>
      <c r="BE245" s="254"/>
      <c r="BF245" s="254"/>
      <c r="BG245" s="254"/>
      <c r="BH245" s="254"/>
      <c r="BI245" s="254"/>
      <c r="BJ245" s="254"/>
      <c r="BK245" s="254"/>
      <c r="BL245" s="254"/>
      <c r="BM245" s="254"/>
      <c r="BN245" s="254"/>
      <c r="BO245" s="254"/>
      <c r="BP245" s="254"/>
      <c r="BQ245" s="254"/>
      <c r="BR245" s="254"/>
      <c r="BS245" s="254"/>
      <c r="BT245" s="254"/>
      <c r="BU245" s="254"/>
      <c r="BV245" s="254"/>
      <c r="BW245" s="254"/>
      <c r="BX245" s="254"/>
      <c r="BY245" s="254"/>
      <c r="BZ245" s="254"/>
      <c r="CA245" s="254"/>
      <c r="CB245" s="254"/>
      <c r="CC245" s="254"/>
      <c r="CD245" s="254"/>
      <c r="CE245" s="254"/>
    </row>
    <row r="246" spans="1:83" s="84" customFormat="1" ht="12.95" customHeight="1">
      <c r="A246" s="84" t="s">
        <v>3813</v>
      </c>
      <c r="B246" s="84" t="s">
        <v>2307</v>
      </c>
      <c r="C246" s="79" t="s">
        <v>1051</v>
      </c>
      <c r="D246" s="52" t="s">
        <v>2278</v>
      </c>
      <c r="E246" s="52" t="s">
        <v>2279</v>
      </c>
      <c r="F246" s="53" t="s">
        <v>1349</v>
      </c>
      <c r="G246" s="179" t="s">
        <v>2280</v>
      </c>
      <c r="H246" s="180"/>
      <c r="I246" s="55" t="s">
        <v>1429</v>
      </c>
      <c r="J246" s="55" t="s">
        <v>1429</v>
      </c>
      <c r="K246" s="56" t="s">
        <v>1429</v>
      </c>
      <c r="L246" s="54" t="s">
        <v>1580</v>
      </c>
      <c r="M246" s="55" t="s">
        <v>1581</v>
      </c>
      <c r="N246" s="55" t="s">
        <v>1429</v>
      </c>
      <c r="O246" s="55" t="s">
        <v>1429</v>
      </c>
      <c r="P246" s="56" t="s">
        <v>1429</v>
      </c>
      <c r="Q246" s="52" t="s">
        <v>1378</v>
      </c>
      <c r="R246" s="52" t="s">
        <v>113</v>
      </c>
      <c r="S246" s="52" t="s">
        <v>99</v>
      </c>
      <c r="T246" s="52" t="s">
        <v>100</v>
      </c>
      <c r="U246" s="57" t="s">
        <v>113</v>
      </c>
      <c r="V246" s="146" t="s">
        <v>2281</v>
      </c>
      <c r="W246" s="51" t="s">
        <v>2282</v>
      </c>
      <c r="X246" s="130" t="s">
        <v>1429</v>
      </c>
      <c r="Y246" s="130" t="s">
        <v>1429</v>
      </c>
      <c r="Z246" s="51" t="s">
        <v>2208</v>
      </c>
      <c r="AA246" s="51" t="s">
        <v>2283</v>
      </c>
      <c r="AB246" s="51" t="s">
        <v>3666</v>
      </c>
      <c r="AC246" s="51">
        <v>0</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NORMAL</v>
      </c>
      <c r="AG246" s="61" t="str">
        <f t="shared" si="35"/>
        <v>NORMAL</v>
      </c>
      <c r="AH246" s="61" t="str">
        <f>IF(OR($AQ246=$F246,$AR246="Output"),"DISABLE","ENABLE")</f>
        <v>DISABLE</v>
      </c>
      <c r="AI246" s="67" t="str">
        <f t="shared" si="37"/>
        <v>0</v>
      </c>
      <c r="AJ246" s="176" t="b">
        <v>1</v>
      </c>
      <c r="AK246" s="176" t="b">
        <v>1</v>
      </c>
      <c r="AL246" s="176" t="b">
        <v>1</v>
      </c>
      <c r="AM246" s="176" t="b">
        <v>1</v>
      </c>
      <c r="AN246" s="176" t="b">
        <v>1</v>
      </c>
      <c r="AO246" s="176" t="b">
        <v>1</v>
      </c>
      <c r="AP246" s="64" t="str">
        <f t="shared" si="48"/>
        <v>VALID</v>
      </c>
      <c r="AQ246" s="227" t="s">
        <v>2280</v>
      </c>
      <c r="AR246" s="182" t="s">
        <v>3495</v>
      </c>
      <c r="AS246" s="181" t="s">
        <v>3500</v>
      </c>
      <c r="AT246" s="5"/>
      <c r="AU246" s="5"/>
      <c r="AV246" s="219"/>
      <c r="AW246" s="219"/>
      <c r="AX246" s="287"/>
      <c r="AY246" s="181"/>
      <c r="AZ246" s="181"/>
      <c r="BA246" s="7"/>
      <c r="BB246" s="212"/>
      <c r="BC246" s="10" t="s">
        <v>3764</v>
      </c>
      <c r="BD246" s="240"/>
      <c r="BE246" s="249"/>
      <c r="BF246" s="249"/>
      <c r="BG246" s="249"/>
      <c r="BH246" s="249"/>
      <c r="BI246" s="249"/>
      <c r="BJ246" s="249"/>
      <c r="BK246" s="249"/>
      <c r="BL246" s="249"/>
      <c r="BM246" s="249"/>
      <c r="BN246" s="249"/>
      <c r="BO246" s="249"/>
      <c r="BP246" s="249"/>
      <c r="BQ246" s="249"/>
      <c r="BR246" s="249"/>
      <c r="BS246" s="249"/>
      <c r="BT246" s="249"/>
      <c r="BU246" s="249"/>
      <c r="BV246" s="249"/>
      <c r="BW246" s="249"/>
      <c r="BX246" s="249"/>
      <c r="BY246" s="249"/>
      <c r="BZ246" s="249"/>
      <c r="CA246" s="249"/>
      <c r="CB246" s="249"/>
      <c r="CC246" s="249"/>
      <c r="CD246" s="249"/>
      <c r="CE246" s="249"/>
    </row>
    <row r="247" spans="1:83" s="84" customFormat="1" ht="12.95" customHeight="1">
      <c r="A247" s="84" t="s">
        <v>3814</v>
      </c>
      <c r="B247" s="84" t="s">
        <v>2309</v>
      </c>
      <c r="C247" s="79" t="s">
        <v>1052</v>
      </c>
      <c r="D247" s="52" t="s">
        <v>1778</v>
      </c>
      <c r="E247" s="52" t="s">
        <v>2284</v>
      </c>
      <c r="F247" s="53" t="s">
        <v>1350</v>
      </c>
      <c r="G247" s="179" t="s">
        <v>2285</v>
      </c>
      <c r="H247" s="180"/>
      <c r="I247" s="55" t="s">
        <v>1429</v>
      </c>
      <c r="J247" s="55" t="s">
        <v>1429</v>
      </c>
      <c r="K247" s="56" t="s">
        <v>1429</v>
      </c>
      <c r="L247" s="54" t="s">
        <v>1580</v>
      </c>
      <c r="M247" s="55" t="s">
        <v>1581</v>
      </c>
      <c r="N247" s="55" t="s">
        <v>1429</v>
      </c>
      <c r="O247" s="55" t="s">
        <v>1429</v>
      </c>
      <c r="P247" s="56" t="s">
        <v>1429</v>
      </c>
      <c r="Q247" s="52" t="s">
        <v>1378</v>
      </c>
      <c r="R247" s="52" t="s">
        <v>113</v>
      </c>
      <c r="S247" s="52" t="s">
        <v>99</v>
      </c>
      <c r="T247" s="52" t="s">
        <v>100</v>
      </c>
      <c r="U247" s="57" t="s">
        <v>113</v>
      </c>
      <c r="V247" s="146" t="s">
        <v>2286</v>
      </c>
      <c r="W247" s="51" t="s">
        <v>2282</v>
      </c>
      <c r="X247" s="130" t="s">
        <v>1429</v>
      </c>
      <c r="Y247" s="130" t="s">
        <v>1429</v>
      </c>
      <c r="Z247" s="51" t="s">
        <v>2208</v>
      </c>
      <c r="AA247" s="51" t="s">
        <v>2283</v>
      </c>
      <c r="AB247" s="51" t="s">
        <v>3666</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5"/>
        <v>NORMAL</v>
      </c>
      <c r="AH247" s="61" t="str">
        <f>IF(OR($AQ247=$F247,$AR247="Output"),"DISABLE","ENABLE")</f>
        <v>DISABLE</v>
      </c>
      <c r="AI247" s="67" t="str">
        <f t="shared" si="37"/>
        <v>0</v>
      </c>
      <c r="AJ247" s="176" t="b">
        <v>1</v>
      </c>
      <c r="AK247" s="176" t="b">
        <v>1</v>
      </c>
      <c r="AL247" s="176" t="b">
        <v>1</v>
      </c>
      <c r="AM247" s="176" t="b">
        <v>1</v>
      </c>
      <c r="AN247" s="176" t="b">
        <v>1</v>
      </c>
      <c r="AO247" s="176" t="b">
        <v>1</v>
      </c>
      <c r="AP247" s="64" t="str">
        <f t="shared" si="48"/>
        <v>VALID</v>
      </c>
      <c r="AQ247" s="227" t="s">
        <v>2285</v>
      </c>
      <c r="AR247" s="182" t="s">
        <v>3495</v>
      </c>
      <c r="AS247" s="181" t="s">
        <v>3500</v>
      </c>
      <c r="AT247" s="5"/>
      <c r="AU247" s="5"/>
      <c r="AV247" s="219"/>
      <c r="AW247" s="219"/>
      <c r="AX247" s="287"/>
      <c r="AY247" s="181"/>
      <c r="AZ247" s="181"/>
      <c r="BA247" s="7"/>
      <c r="BB247" s="212"/>
      <c r="BC247" s="10" t="s">
        <v>3765</v>
      </c>
      <c r="BD247" s="240"/>
      <c r="BE247" s="249"/>
      <c r="BF247" s="249"/>
      <c r="BG247" s="249"/>
      <c r="BH247" s="249"/>
      <c r="BI247" s="249"/>
      <c r="BJ247" s="249"/>
      <c r="BK247" s="249"/>
      <c r="BL247" s="249"/>
      <c r="BM247" s="249"/>
      <c r="BN247" s="249"/>
      <c r="BO247" s="249"/>
      <c r="BP247" s="249"/>
      <c r="BQ247" s="249"/>
      <c r="BR247" s="249"/>
      <c r="BS247" s="249"/>
      <c r="BT247" s="249"/>
      <c r="BU247" s="249"/>
      <c r="BV247" s="249"/>
      <c r="BW247" s="249"/>
      <c r="BX247" s="249"/>
      <c r="BY247" s="249"/>
      <c r="BZ247" s="249"/>
      <c r="CA247" s="249"/>
      <c r="CB247" s="249"/>
      <c r="CC247" s="249"/>
      <c r="CD247" s="249"/>
      <c r="CE247" s="249"/>
    </row>
    <row r="248" spans="1:83" s="94" customFormat="1" ht="15.75">
      <c r="A248" s="88" t="s">
        <v>170</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1"/>
      <c r="AR248" s="251"/>
      <c r="AS248" s="252"/>
      <c r="AT248" s="252"/>
      <c r="AU248" s="252"/>
      <c r="AV248" s="252"/>
      <c r="AW248" s="252"/>
      <c r="AX248" s="291"/>
      <c r="AY248" s="252"/>
      <c r="AZ248" s="252"/>
      <c r="BA248" s="252"/>
      <c r="BB248" s="252"/>
      <c r="BC248" s="252"/>
      <c r="BD248" s="253"/>
      <c r="BE248" s="309"/>
      <c r="BF248" s="254"/>
      <c r="BG248" s="254"/>
      <c r="BH248" s="254"/>
      <c r="BI248" s="254"/>
      <c r="BJ248" s="254"/>
      <c r="BK248" s="254"/>
      <c r="BL248" s="254"/>
      <c r="BM248" s="254"/>
      <c r="BN248" s="254"/>
      <c r="BO248" s="254"/>
      <c r="BP248" s="254"/>
      <c r="BQ248" s="254"/>
      <c r="BR248" s="254"/>
      <c r="BS248" s="254"/>
      <c r="BT248" s="254"/>
      <c r="BU248" s="254"/>
      <c r="BV248" s="254"/>
      <c r="BW248" s="254"/>
      <c r="BX248" s="254"/>
      <c r="BY248" s="254"/>
      <c r="BZ248" s="254"/>
      <c r="CA248" s="254"/>
      <c r="CB248" s="254"/>
      <c r="CC248" s="254"/>
      <c r="CD248" s="254"/>
      <c r="CE248" s="254"/>
    </row>
    <row r="249" spans="1:83" s="94" customFormat="1" ht="18" customHeight="1">
      <c r="A249" s="88" t="s">
        <v>171</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1"/>
      <c r="AR249" s="251"/>
      <c r="AS249" s="252"/>
      <c r="AT249" s="252"/>
      <c r="AU249" s="252"/>
      <c r="AV249" s="252"/>
      <c r="AW249" s="252"/>
      <c r="AX249" s="291"/>
      <c r="AY249" s="252"/>
      <c r="AZ249" s="252"/>
      <c r="BA249" s="252"/>
      <c r="BB249" s="168" t="s">
        <v>286</v>
      </c>
      <c r="BC249" s="252"/>
      <c r="BD249" s="253"/>
      <c r="BE249" s="309"/>
      <c r="BF249" s="254"/>
      <c r="BG249" s="254"/>
      <c r="BH249" s="254"/>
      <c r="BI249" s="254"/>
      <c r="BJ249" s="254"/>
      <c r="BK249" s="254"/>
      <c r="BL249" s="254"/>
      <c r="BM249" s="254"/>
      <c r="BN249" s="254"/>
      <c r="BO249" s="254"/>
      <c r="BP249" s="254"/>
      <c r="BQ249" s="254"/>
      <c r="BR249" s="254"/>
      <c r="BS249" s="254"/>
      <c r="BT249" s="254"/>
      <c r="BU249" s="254"/>
      <c r="BV249" s="254"/>
      <c r="BW249" s="254"/>
      <c r="BX249" s="254"/>
      <c r="BY249" s="254"/>
      <c r="BZ249" s="254"/>
      <c r="CA249" s="254"/>
      <c r="CB249" s="254"/>
      <c r="CC249" s="254"/>
      <c r="CD249" s="254"/>
      <c r="CE249" s="254"/>
    </row>
    <row r="250" spans="1:83" s="84" customFormat="1" ht="12.95" customHeight="1">
      <c r="A250" s="84" t="s">
        <v>3360</v>
      </c>
      <c r="B250" s="84" t="s">
        <v>3613</v>
      </c>
      <c r="C250" s="79" t="s">
        <v>200</v>
      </c>
      <c r="D250" s="52" t="s">
        <v>2287</v>
      </c>
      <c r="E250" s="52" t="s">
        <v>2288</v>
      </c>
      <c r="F250" s="53" t="s">
        <v>201</v>
      </c>
      <c r="G250" s="179" t="s">
        <v>1429</v>
      </c>
      <c r="H250" s="180" t="s">
        <v>200</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5" t="s">
        <v>200</v>
      </c>
      <c r="AR250" s="5"/>
      <c r="AS250" s="5"/>
      <c r="AT250" s="5"/>
      <c r="AU250" s="5"/>
      <c r="AV250" s="5"/>
      <c r="AW250" s="5"/>
      <c r="AX250" s="284"/>
      <c r="AY250" s="5"/>
      <c r="AZ250" s="5"/>
      <c r="BA250" s="230"/>
      <c r="BB250" s="5"/>
      <c r="BC250" s="232" t="s">
        <v>200</v>
      </c>
      <c r="BD250" s="256"/>
      <c r="BE250" s="249"/>
      <c r="BF250" s="249"/>
      <c r="BG250" s="249"/>
      <c r="BH250" s="249"/>
      <c r="BI250" s="249"/>
      <c r="BJ250" s="249"/>
      <c r="BK250" s="249"/>
      <c r="BL250" s="249"/>
      <c r="BM250" s="249"/>
      <c r="BN250" s="249"/>
      <c r="BO250" s="249"/>
      <c r="BP250" s="249"/>
      <c r="BQ250" s="249"/>
      <c r="BR250" s="249"/>
      <c r="BS250" s="249"/>
      <c r="BT250" s="249"/>
      <c r="BU250" s="249"/>
      <c r="BV250" s="249"/>
      <c r="BW250" s="249"/>
      <c r="BX250" s="249"/>
      <c r="BY250" s="249"/>
      <c r="BZ250" s="249"/>
      <c r="CA250" s="249"/>
      <c r="CB250" s="249"/>
      <c r="CC250" s="249"/>
      <c r="CD250" s="249"/>
      <c r="CE250" s="249"/>
    </row>
    <row r="251" spans="1:83" s="84" customFormat="1" ht="12.95" customHeight="1">
      <c r="A251" s="84" t="s">
        <v>3361</v>
      </c>
      <c r="B251" s="84" t="s">
        <v>3614</v>
      </c>
      <c r="C251" s="79" t="s">
        <v>202</v>
      </c>
      <c r="D251" s="52" t="s">
        <v>2292</v>
      </c>
      <c r="E251" s="52" t="s">
        <v>2293</v>
      </c>
      <c r="F251" s="53" t="s">
        <v>203</v>
      </c>
      <c r="G251" s="179" t="s">
        <v>1429</v>
      </c>
      <c r="H251" s="180" t="s">
        <v>202</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29" t="s">
        <v>202</v>
      </c>
      <c r="AR251" s="5"/>
      <c r="AS251" s="5"/>
      <c r="AT251" s="5"/>
      <c r="AU251" s="5"/>
      <c r="AV251" s="5"/>
      <c r="AW251" s="5"/>
      <c r="AX251" s="284"/>
      <c r="AY251" s="5"/>
      <c r="AZ251" s="5"/>
      <c r="BA251" s="230"/>
      <c r="BB251" s="5"/>
      <c r="BC251" s="232" t="s">
        <v>202</v>
      </c>
      <c r="BD251" s="257"/>
      <c r="BE251" s="249"/>
      <c r="BF251" s="249"/>
      <c r="BG251" s="249"/>
      <c r="BH251" s="249"/>
      <c r="BI251" s="249"/>
      <c r="BJ251" s="249"/>
      <c r="BK251" s="249"/>
      <c r="BL251" s="249"/>
      <c r="BM251" s="249"/>
      <c r="BN251" s="249"/>
      <c r="BO251" s="249"/>
      <c r="BP251" s="249"/>
      <c r="BQ251" s="249"/>
      <c r="BR251" s="249"/>
      <c r="BS251" s="249"/>
      <c r="BT251" s="249"/>
      <c r="BU251" s="249"/>
      <c r="BV251" s="249"/>
      <c r="BW251" s="249"/>
      <c r="BX251" s="249"/>
      <c r="BY251" s="249"/>
      <c r="BZ251" s="249"/>
      <c r="CA251" s="249"/>
      <c r="CB251" s="249"/>
      <c r="CC251" s="249"/>
      <c r="CD251" s="249"/>
      <c r="CE251" s="249"/>
    </row>
    <row r="252" spans="1:83" s="84" customFormat="1" ht="12.95" customHeight="1">
      <c r="A252" s="84" t="s">
        <v>3362</v>
      </c>
      <c r="B252" s="84" t="s">
        <v>1609</v>
      </c>
      <c r="C252" s="79" t="s">
        <v>204</v>
      </c>
      <c r="D252" s="52" t="s">
        <v>2295</v>
      </c>
      <c r="E252" s="52" t="s">
        <v>2296</v>
      </c>
      <c r="F252" s="53" t="s">
        <v>205</v>
      </c>
      <c r="G252" s="179" t="s">
        <v>1429</v>
      </c>
      <c r="H252" s="180" t="s">
        <v>204</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29" t="s">
        <v>204</v>
      </c>
      <c r="AR252" s="5"/>
      <c r="AS252" s="5"/>
      <c r="AT252" s="5"/>
      <c r="AU252" s="5"/>
      <c r="AV252" s="5"/>
      <c r="AW252" s="5"/>
      <c r="AX252" s="284"/>
      <c r="AY252" s="5"/>
      <c r="AZ252" s="5"/>
      <c r="BA252" s="230"/>
      <c r="BB252" s="5"/>
      <c r="BC252" s="232" t="s">
        <v>204</v>
      </c>
      <c r="BD252" s="257"/>
      <c r="BE252" s="249"/>
      <c r="BF252" s="249"/>
      <c r="BG252" s="249"/>
      <c r="BH252" s="249"/>
      <c r="BI252" s="249"/>
      <c r="BJ252" s="249"/>
      <c r="BK252" s="249"/>
      <c r="BL252" s="249"/>
      <c r="BM252" s="249"/>
      <c r="BN252" s="249"/>
      <c r="BO252" s="249"/>
      <c r="BP252" s="249"/>
      <c r="BQ252" s="249"/>
      <c r="BR252" s="249"/>
      <c r="BS252" s="249"/>
      <c r="BT252" s="249"/>
      <c r="BU252" s="249"/>
      <c r="BV252" s="249"/>
      <c r="BW252" s="249"/>
      <c r="BX252" s="249"/>
      <c r="BY252" s="249"/>
      <c r="BZ252" s="249"/>
      <c r="CA252" s="249"/>
      <c r="CB252" s="249"/>
      <c r="CC252" s="249"/>
      <c r="CD252" s="249"/>
      <c r="CE252" s="249"/>
    </row>
    <row r="253" spans="1:83" s="84" customFormat="1" ht="12.95" customHeight="1">
      <c r="A253" s="84" t="s">
        <v>3363</v>
      </c>
      <c r="B253" s="84" t="s">
        <v>1605</v>
      </c>
      <c r="C253" s="79" t="s">
        <v>206</v>
      </c>
      <c r="D253" s="52" t="s">
        <v>2298</v>
      </c>
      <c r="E253" s="52" t="s">
        <v>2299</v>
      </c>
      <c r="F253" s="53" t="s">
        <v>207</v>
      </c>
      <c r="G253" s="179" t="s">
        <v>1429</v>
      </c>
      <c r="H253" s="180" t="s">
        <v>206</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29" t="s">
        <v>206</v>
      </c>
      <c r="AR253" s="5"/>
      <c r="AS253" s="5"/>
      <c r="AT253" s="5"/>
      <c r="AU253" s="5"/>
      <c r="AV253" s="5"/>
      <c r="AW253" s="5"/>
      <c r="AX253" s="284"/>
      <c r="AY253" s="5"/>
      <c r="AZ253" s="5"/>
      <c r="BA253" s="230"/>
      <c r="BB253" s="5"/>
      <c r="BC253" s="232" t="s">
        <v>206</v>
      </c>
      <c r="BD253" s="257"/>
      <c r="BE253" s="249"/>
      <c r="BF253" s="249"/>
      <c r="BG253" s="249"/>
      <c r="BH253" s="249"/>
      <c r="BI253" s="249"/>
      <c r="BJ253" s="249"/>
      <c r="BK253" s="249"/>
      <c r="BL253" s="249"/>
      <c r="BM253" s="249"/>
      <c r="BN253" s="249"/>
      <c r="BO253" s="249"/>
      <c r="BP253" s="249"/>
      <c r="BQ253" s="249"/>
      <c r="BR253" s="249"/>
      <c r="BS253" s="249"/>
      <c r="BT253" s="249"/>
      <c r="BU253" s="249"/>
      <c r="BV253" s="249"/>
      <c r="BW253" s="249"/>
      <c r="BX253" s="249"/>
      <c r="BY253" s="249"/>
      <c r="BZ253" s="249"/>
      <c r="CA253" s="249"/>
      <c r="CB253" s="249"/>
      <c r="CC253" s="249"/>
      <c r="CD253" s="249"/>
      <c r="CE253" s="249"/>
    </row>
    <row r="254" spans="1:83" s="84" customFormat="1" ht="12.95" customHeight="1">
      <c r="A254" s="84" t="s">
        <v>3364</v>
      </c>
      <c r="B254" s="84" t="s">
        <v>3792</v>
      </c>
      <c r="C254" s="79" t="s">
        <v>208</v>
      </c>
      <c r="D254" s="52" t="s">
        <v>2301</v>
      </c>
      <c r="E254" s="52" t="s">
        <v>2302</v>
      </c>
      <c r="F254" s="53" t="s">
        <v>209</v>
      </c>
      <c r="G254" s="179" t="s">
        <v>1429</v>
      </c>
      <c r="H254" s="180" t="s">
        <v>208</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29" t="s">
        <v>208</v>
      </c>
      <c r="AR254" s="5"/>
      <c r="AS254" s="5"/>
      <c r="AT254" s="5"/>
      <c r="AU254" s="5"/>
      <c r="AV254" s="5"/>
      <c r="AW254" s="5"/>
      <c r="AX254" s="284"/>
      <c r="AY254" s="5"/>
      <c r="AZ254" s="5"/>
      <c r="BA254" s="230"/>
      <c r="BB254" s="5"/>
      <c r="BC254" s="232" t="s">
        <v>208</v>
      </c>
      <c r="BD254" s="257"/>
      <c r="BE254" s="249"/>
      <c r="BF254" s="249"/>
      <c r="BG254" s="249"/>
      <c r="BH254" s="249"/>
      <c r="BI254" s="249"/>
      <c r="BJ254" s="249"/>
      <c r="BK254" s="249"/>
      <c r="BL254" s="249"/>
      <c r="BM254" s="249"/>
      <c r="BN254" s="249"/>
      <c r="BO254" s="249"/>
      <c r="BP254" s="249"/>
      <c r="BQ254" s="249"/>
      <c r="BR254" s="249"/>
      <c r="BS254" s="249"/>
      <c r="BT254" s="249"/>
      <c r="BU254" s="249"/>
      <c r="BV254" s="249"/>
      <c r="BW254" s="249"/>
      <c r="BX254" s="249"/>
      <c r="BY254" s="249"/>
      <c r="BZ254" s="249"/>
      <c r="CA254" s="249"/>
      <c r="CB254" s="249"/>
      <c r="CC254" s="249"/>
      <c r="CD254" s="249"/>
      <c r="CE254" s="249"/>
    </row>
    <row r="255" spans="1:83" s="84" customFormat="1" ht="12.95" customHeight="1">
      <c r="A255" s="84" t="s">
        <v>3365</v>
      </c>
      <c r="B255" s="84" t="s">
        <v>3630</v>
      </c>
      <c r="C255" s="79" t="s">
        <v>210</v>
      </c>
      <c r="D255" s="52" t="s">
        <v>2304</v>
      </c>
      <c r="E255" s="52" t="s">
        <v>2305</v>
      </c>
      <c r="F255" s="53" t="s">
        <v>211</v>
      </c>
      <c r="G255" s="179" t="s">
        <v>1429</v>
      </c>
      <c r="H255" s="180" t="s">
        <v>210</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29" t="s">
        <v>210</v>
      </c>
      <c r="AR255" s="5"/>
      <c r="AS255" s="5"/>
      <c r="AT255" s="5"/>
      <c r="AU255" s="5"/>
      <c r="AV255" s="5"/>
      <c r="AW255" s="5"/>
      <c r="AX255" s="284"/>
      <c r="AY255" s="5"/>
      <c r="AZ255" s="5"/>
      <c r="BA255" s="230"/>
      <c r="BB255" s="5"/>
      <c r="BC255" s="232" t="s">
        <v>210</v>
      </c>
      <c r="BD255" s="257"/>
      <c r="BE255" s="249"/>
      <c r="BF255" s="249"/>
      <c r="BG255" s="249"/>
      <c r="BH255" s="249"/>
      <c r="BI255" s="249"/>
      <c r="BJ255" s="249"/>
      <c r="BK255" s="249"/>
      <c r="BL255" s="249"/>
      <c r="BM255" s="249"/>
      <c r="BN255" s="249"/>
      <c r="BO255" s="249"/>
      <c r="BP255" s="249"/>
      <c r="BQ255" s="249"/>
      <c r="BR255" s="249"/>
      <c r="BS255" s="249"/>
      <c r="BT255" s="249"/>
      <c r="BU255" s="249"/>
      <c r="BV255" s="249"/>
      <c r="BW255" s="249"/>
      <c r="BX255" s="249"/>
      <c r="BY255" s="249"/>
      <c r="BZ255" s="249"/>
      <c r="CA255" s="249"/>
      <c r="CB255" s="249"/>
      <c r="CC255" s="249"/>
      <c r="CD255" s="249"/>
      <c r="CE255" s="249"/>
    </row>
    <row r="256" spans="1:83" s="84" customFormat="1" ht="12.95" customHeight="1">
      <c r="A256" s="84" t="s">
        <v>3366</v>
      </c>
      <c r="B256" s="84" t="s">
        <v>1922</v>
      </c>
      <c r="C256" s="79" t="s">
        <v>287</v>
      </c>
      <c r="D256" s="52" t="s">
        <v>2307</v>
      </c>
      <c r="E256" s="52" t="s">
        <v>2295</v>
      </c>
      <c r="F256" s="53" t="s">
        <v>561</v>
      </c>
      <c r="G256" s="179" t="s">
        <v>1429</v>
      </c>
      <c r="H256" s="180" t="s">
        <v>287</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5" t="s">
        <v>287</v>
      </c>
      <c r="AR256" s="5"/>
      <c r="AS256" s="5"/>
      <c r="AT256" s="5"/>
      <c r="AU256" s="5"/>
      <c r="AV256" s="5"/>
      <c r="AW256" s="5"/>
      <c r="AX256" s="284"/>
      <c r="AY256" s="5"/>
      <c r="AZ256" s="5"/>
      <c r="BA256" s="230"/>
      <c r="BB256" s="5"/>
      <c r="BC256" s="232" t="s">
        <v>287</v>
      </c>
      <c r="BD256" s="257"/>
      <c r="BE256" s="249"/>
      <c r="BF256" s="249"/>
      <c r="BG256" s="249"/>
      <c r="BH256" s="249"/>
      <c r="BI256" s="249"/>
      <c r="BJ256" s="249"/>
      <c r="BK256" s="249"/>
      <c r="BL256" s="249"/>
      <c r="BM256" s="249"/>
      <c r="BN256" s="249"/>
      <c r="BO256" s="249"/>
      <c r="BP256" s="249"/>
      <c r="BQ256" s="249"/>
      <c r="BR256" s="249"/>
      <c r="BS256" s="249"/>
      <c r="BT256" s="249"/>
      <c r="BU256" s="249"/>
      <c r="BV256" s="249"/>
      <c r="BW256" s="249"/>
      <c r="BX256" s="249"/>
      <c r="BY256" s="249"/>
      <c r="BZ256" s="249"/>
      <c r="CA256" s="249"/>
      <c r="CB256" s="249"/>
      <c r="CC256" s="249"/>
      <c r="CD256" s="249"/>
      <c r="CE256" s="249"/>
    </row>
    <row r="257" spans="1:83" s="84" customFormat="1" ht="12.95" customHeight="1">
      <c r="A257" s="84" t="s">
        <v>3367</v>
      </c>
      <c r="B257" s="84" t="s">
        <v>1634</v>
      </c>
      <c r="C257" s="79" t="s">
        <v>288</v>
      </c>
      <c r="D257" s="52" t="s">
        <v>2309</v>
      </c>
      <c r="E257" s="52" t="s">
        <v>2292</v>
      </c>
      <c r="F257" s="53" t="s">
        <v>562</v>
      </c>
      <c r="G257" s="179" t="s">
        <v>1429</v>
      </c>
      <c r="H257" s="180" t="s">
        <v>288</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29" t="s">
        <v>288</v>
      </c>
      <c r="AR257" s="5"/>
      <c r="AS257" s="5"/>
      <c r="AT257" s="5"/>
      <c r="AU257" s="5"/>
      <c r="AV257" s="5"/>
      <c r="AW257" s="5"/>
      <c r="AX257" s="284"/>
      <c r="AY257" s="5"/>
      <c r="AZ257" s="5"/>
      <c r="BA257" s="230"/>
      <c r="BB257" s="5"/>
      <c r="BC257" s="232" t="s">
        <v>288</v>
      </c>
      <c r="BD257" s="257"/>
      <c r="BE257" s="249"/>
      <c r="BF257" s="249"/>
      <c r="BG257" s="249"/>
      <c r="BH257" s="249"/>
      <c r="BI257" s="249"/>
      <c r="BJ257" s="249"/>
      <c r="BK257" s="249"/>
      <c r="BL257" s="249"/>
      <c r="BM257" s="249"/>
      <c r="BN257" s="249"/>
      <c r="BO257" s="249"/>
      <c r="BP257" s="249"/>
      <c r="BQ257" s="249"/>
      <c r="BR257" s="249"/>
      <c r="BS257" s="249"/>
      <c r="BT257" s="249"/>
      <c r="BU257" s="249"/>
      <c r="BV257" s="249"/>
      <c r="BW257" s="249"/>
      <c r="BX257" s="249"/>
      <c r="BY257" s="249"/>
      <c r="BZ257" s="249"/>
      <c r="CA257" s="249"/>
      <c r="CB257" s="249"/>
      <c r="CC257" s="249"/>
      <c r="CD257" s="249"/>
      <c r="CE257" s="249"/>
    </row>
    <row r="258" spans="1:83" s="84" customFormat="1" ht="12.95" customHeight="1">
      <c r="A258" s="84" t="s">
        <v>3368</v>
      </c>
      <c r="B258" s="84" t="s">
        <v>1612</v>
      </c>
      <c r="C258" s="79" t="s">
        <v>212</v>
      </c>
      <c r="D258" s="52" t="s">
        <v>2311</v>
      </c>
      <c r="E258" s="52" t="s">
        <v>2298</v>
      </c>
      <c r="F258" s="53" t="s">
        <v>213</v>
      </c>
      <c r="G258" s="179" t="s">
        <v>1429</v>
      </c>
      <c r="H258" s="180" t="s">
        <v>212</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29" t="s">
        <v>212</v>
      </c>
      <c r="AR258" s="5"/>
      <c r="AS258" s="5"/>
      <c r="AT258" s="5"/>
      <c r="AU258" s="5"/>
      <c r="AV258" s="5"/>
      <c r="AW258" s="5"/>
      <c r="AX258" s="284"/>
      <c r="AY258" s="5"/>
      <c r="AZ258" s="5"/>
      <c r="BA258" s="230"/>
      <c r="BB258" s="5"/>
      <c r="BC258" s="232" t="s">
        <v>212</v>
      </c>
      <c r="BD258" s="257"/>
      <c r="BE258" s="249"/>
      <c r="BF258" s="249"/>
      <c r="BG258" s="249"/>
      <c r="BH258" s="249"/>
      <c r="BI258" s="249"/>
      <c r="BJ258" s="249"/>
      <c r="BK258" s="249"/>
      <c r="BL258" s="249"/>
      <c r="BM258" s="249"/>
      <c r="BN258" s="249"/>
      <c r="BO258" s="249"/>
      <c r="BP258" s="249"/>
      <c r="BQ258" s="249"/>
      <c r="BR258" s="249"/>
      <c r="BS258" s="249"/>
      <c r="BT258" s="249"/>
      <c r="BU258" s="249"/>
      <c r="BV258" s="249"/>
      <c r="BW258" s="249"/>
      <c r="BX258" s="249"/>
      <c r="BY258" s="249"/>
      <c r="BZ258" s="249"/>
      <c r="CA258" s="249"/>
      <c r="CB258" s="249"/>
      <c r="CC258" s="249"/>
      <c r="CD258" s="249"/>
      <c r="CE258" s="249"/>
    </row>
    <row r="259" spans="1:83" s="84" customFormat="1" ht="12.95" customHeight="1">
      <c r="A259" s="84" t="s">
        <v>3369</v>
      </c>
      <c r="B259" s="84" t="s">
        <v>1903</v>
      </c>
      <c r="C259" s="79" t="s">
        <v>214</v>
      </c>
      <c r="D259" s="52" t="s">
        <v>2313</v>
      </c>
      <c r="E259" s="52" t="s">
        <v>2314</v>
      </c>
      <c r="F259" s="53" t="s">
        <v>215</v>
      </c>
      <c r="G259" s="179" t="s">
        <v>1429</v>
      </c>
      <c r="H259" s="180" t="s">
        <v>214</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29" t="s">
        <v>214</v>
      </c>
      <c r="AR259" s="5"/>
      <c r="AS259" s="5"/>
      <c r="AT259" s="5"/>
      <c r="AU259" s="5"/>
      <c r="AV259" s="5"/>
      <c r="AW259" s="5"/>
      <c r="AX259" s="284"/>
      <c r="AY259" s="5"/>
      <c r="AZ259" s="5"/>
      <c r="BA259" s="230"/>
      <c r="BB259" s="5"/>
      <c r="BC259" s="232" t="s">
        <v>214</v>
      </c>
      <c r="BD259" s="257"/>
      <c r="BE259" s="249"/>
      <c r="BF259" s="249"/>
      <c r="BG259" s="249"/>
      <c r="BH259" s="249"/>
      <c r="BI259" s="249"/>
      <c r="BJ259" s="249"/>
      <c r="BK259" s="249"/>
      <c r="BL259" s="249"/>
      <c r="BM259" s="249"/>
      <c r="BN259" s="249"/>
      <c r="BO259" s="249"/>
      <c r="BP259" s="249"/>
      <c r="BQ259" s="249"/>
      <c r="BR259" s="249"/>
      <c r="BS259" s="249"/>
      <c r="BT259" s="249"/>
      <c r="BU259" s="249"/>
      <c r="BV259" s="249"/>
      <c r="BW259" s="249"/>
      <c r="BX259" s="249"/>
      <c r="BY259" s="249"/>
      <c r="BZ259" s="249"/>
      <c r="CA259" s="249"/>
      <c r="CB259" s="249"/>
      <c r="CC259" s="249"/>
      <c r="CD259" s="249"/>
      <c r="CE259" s="249"/>
    </row>
    <row r="260" spans="1:83" s="84" customFormat="1" ht="12.95" customHeight="1">
      <c r="A260" s="84" t="s">
        <v>3370</v>
      </c>
      <c r="B260" s="84" t="s">
        <v>1623</v>
      </c>
      <c r="C260" s="79" t="s">
        <v>216</v>
      </c>
      <c r="D260" s="52" t="s">
        <v>2316</v>
      </c>
      <c r="E260" s="52" t="s">
        <v>2311</v>
      </c>
      <c r="F260" s="53" t="s">
        <v>217</v>
      </c>
      <c r="G260" s="179" t="s">
        <v>1429</v>
      </c>
      <c r="H260" s="180" t="s">
        <v>216</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29" t="s">
        <v>216</v>
      </c>
      <c r="AR260" s="5"/>
      <c r="AS260" s="5"/>
      <c r="AT260" s="5"/>
      <c r="AU260" s="5"/>
      <c r="AV260" s="5"/>
      <c r="AW260" s="5"/>
      <c r="AX260" s="284"/>
      <c r="AY260" s="5"/>
      <c r="AZ260" s="5"/>
      <c r="BA260" s="230"/>
      <c r="BB260" s="5"/>
      <c r="BC260" s="232" t="s">
        <v>216</v>
      </c>
      <c r="BD260" s="257"/>
      <c r="BE260" s="249"/>
      <c r="BF260" s="249"/>
      <c r="BG260" s="249"/>
      <c r="BH260" s="249"/>
      <c r="BI260" s="249"/>
      <c r="BJ260" s="249"/>
      <c r="BK260" s="249"/>
      <c r="BL260" s="249"/>
      <c r="BM260" s="249"/>
      <c r="BN260" s="249"/>
      <c r="BO260" s="249"/>
      <c r="BP260" s="249"/>
      <c r="BQ260" s="249"/>
      <c r="BR260" s="249"/>
      <c r="BS260" s="249"/>
      <c r="BT260" s="249"/>
      <c r="BU260" s="249"/>
      <c r="BV260" s="249"/>
      <c r="BW260" s="249"/>
      <c r="BX260" s="249"/>
      <c r="BY260" s="249"/>
      <c r="BZ260" s="249"/>
      <c r="CA260" s="249"/>
      <c r="CB260" s="249"/>
      <c r="CC260" s="249"/>
      <c r="CD260" s="249"/>
      <c r="CE260" s="249"/>
    </row>
    <row r="261" spans="1:83" s="84" customFormat="1" ht="12.95" customHeight="1">
      <c r="A261" s="84" t="s">
        <v>3371</v>
      </c>
      <c r="B261" s="84" t="s">
        <v>1908</v>
      </c>
      <c r="C261" s="79" t="s">
        <v>218</v>
      </c>
      <c r="D261" s="52" t="s">
        <v>2318</v>
      </c>
      <c r="E261" s="52" t="s">
        <v>2313</v>
      </c>
      <c r="F261" s="53" t="s">
        <v>219</v>
      </c>
      <c r="G261" s="179" t="s">
        <v>1429</v>
      </c>
      <c r="H261" s="180" t="s">
        <v>218</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29" t="s">
        <v>218</v>
      </c>
      <c r="AR261" s="5"/>
      <c r="AS261" s="5"/>
      <c r="AT261" s="5"/>
      <c r="AU261" s="5"/>
      <c r="AV261" s="5"/>
      <c r="AW261" s="5"/>
      <c r="AX261" s="284"/>
      <c r="AY261" s="5"/>
      <c r="AZ261" s="5"/>
      <c r="BA261" s="230"/>
      <c r="BB261" s="5"/>
      <c r="BC261" s="232" t="s">
        <v>218</v>
      </c>
      <c r="BD261" s="257"/>
      <c r="BE261" s="249"/>
      <c r="BF261" s="249"/>
      <c r="BG261" s="249"/>
      <c r="BH261" s="249"/>
      <c r="BI261" s="249"/>
      <c r="BJ261" s="249"/>
      <c r="BK261" s="249"/>
      <c r="BL261" s="249"/>
      <c r="BM261" s="249"/>
      <c r="BN261" s="249"/>
      <c r="BO261" s="249"/>
      <c r="BP261" s="249"/>
      <c r="BQ261" s="249"/>
      <c r="BR261" s="249"/>
      <c r="BS261" s="249"/>
      <c r="BT261" s="249"/>
      <c r="BU261" s="249"/>
      <c r="BV261" s="249"/>
      <c r="BW261" s="249"/>
      <c r="BX261" s="249"/>
      <c r="BY261" s="249"/>
      <c r="BZ261" s="249"/>
      <c r="CA261" s="249"/>
      <c r="CB261" s="249"/>
      <c r="CC261" s="249"/>
      <c r="CD261" s="249"/>
      <c r="CE261" s="249"/>
    </row>
    <row r="262" spans="1:83" s="84" customFormat="1" ht="12.95" customHeight="1">
      <c r="A262" s="84" t="s">
        <v>3372</v>
      </c>
      <c r="B262" s="84" t="s">
        <v>3612</v>
      </c>
      <c r="C262" s="79" t="s">
        <v>1015</v>
      </c>
      <c r="D262" s="52" t="s">
        <v>2320</v>
      </c>
      <c r="E262" s="52" t="s">
        <v>2287</v>
      </c>
      <c r="F262" s="53" t="s">
        <v>1308</v>
      </c>
      <c r="G262" s="179" t="s">
        <v>1429</v>
      </c>
      <c r="H262" s="180"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5" t="s">
        <v>1015</v>
      </c>
      <c r="AR262" s="5"/>
      <c r="AS262" s="5"/>
      <c r="AT262" s="5"/>
      <c r="AU262" s="5"/>
      <c r="AV262" s="5"/>
      <c r="AW262" s="5"/>
      <c r="AX262" s="284"/>
      <c r="AY262" s="5"/>
      <c r="AZ262" s="5"/>
      <c r="BA262" s="230"/>
      <c r="BB262" s="5"/>
      <c r="BC262" s="232" t="s">
        <v>1015</v>
      </c>
      <c r="BD262" s="257"/>
      <c r="BE262" s="249"/>
      <c r="BF262" s="249"/>
      <c r="BG262" s="249"/>
      <c r="BH262" s="249"/>
      <c r="BI262" s="249"/>
      <c r="BJ262" s="249"/>
      <c r="BK262" s="249"/>
      <c r="BL262" s="249"/>
      <c r="BM262" s="249"/>
      <c r="BN262" s="249"/>
      <c r="BO262" s="249"/>
      <c r="BP262" s="249"/>
      <c r="BQ262" s="249"/>
      <c r="BR262" s="249"/>
      <c r="BS262" s="249"/>
      <c r="BT262" s="249"/>
      <c r="BU262" s="249"/>
      <c r="BV262" s="249"/>
      <c r="BW262" s="249"/>
      <c r="BX262" s="249"/>
      <c r="BY262" s="249"/>
      <c r="BZ262" s="249"/>
      <c r="CA262" s="249"/>
      <c r="CB262" s="249"/>
      <c r="CC262" s="249"/>
      <c r="CD262" s="249"/>
      <c r="CE262" s="249"/>
    </row>
    <row r="263" spans="1:83" s="84" customFormat="1" ht="12.95" customHeight="1">
      <c r="A263" s="84" t="s">
        <v>3373</v>
      </c>
      <c r="B263" s="84" t="s">
        <v>1923</v>
      </c>
      <c r="C263" s="79" t="s">
        <v>1016</v>
      </c>
      <c r="D263" s="52" t="s">
        <v>2322</v>
      </c>
      <c r="E263" s="52" t="s">
        <v>2301</v>
      </c>
      <c r="F263" s="53" t="s">
        <v>1309</v>
      </c>
      <c r="G263" s="179" t="s">
        <v>1429</v>
      </c>
      <c r="H263" s="180"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29" t="s">
        <v>1016</v>
      </c>
      <c r="AR263" s="5"/>
      <c r="AS263" s="5"/>
      <c r="AT263" s="5"/>
      <c r="AU263" s="5"/>
      <c r="AV263" s="5"/>
      <c r="AW263" s="5"/>
      <c r="AX263" s="284"/>
      <c r="AY263" s="5"/>
      <c r="AZ263" s="5"/>
      <c r="BA263" s="230"/>
      <c r="BB263" s="5"/>
      <c r="BC263" s="232" t="s">
        <v>1016</v>
      </c>
      <c r="BD263" s="257"/>
      <c r="BE263" s="249"/>
      <c r="BF263" s="249"/>
      <c r="BG263" s="249"/>
      <c r="BH263" s="249"/>
      <c r="BI263" s="249"/>
      <c r="BJ263" s="249"/>
      <c r="BK263" s="249"/>
      <c r="BL263" s="249"/>
      <c r="BM263" s="249"/>
      <c r="BN263" s="249"/>
      <c r="BO263" s="249"/>
      <c r="BP263" s="249"/>
      <c r="BQ263" s="249"/>
      <c r="BR263" s="249"/>
      <c r="BS263" s="249"/>
      <c r="BT263" s="249"/>
      <c r="BU263" s="249"/>
      <c r="BV263" s="249"/>
      <c r="BW263" s="249"/>
      <c r="BX263" s="249"/>
      <c r="BY263" s="249"/>
      <c r="BZ263" s="249"/>
      <c r="CA263" s="249"/>
      <c r="CB263" s="249"/>
      <c r="CC263" s="249"/>
      <c r="CD263" s="249"/>
      <c r="CE263" s="249"/>
    </row>
    <row r="264" spans="1:83" s="84" customFormat="1" ht="12.95" customHeight="1">
      <c r="A264" s="84" t="s">
        <v>3374</v>
      </c>
      <c r="B264" s="84" t="s">
        <v>1628</v>
      </c>
      <c r="C264" s="79" t="s">
        <v>1017</v>
      </c>
      <c r="D264" s="52" t="s">
        <v>2324</v>
      </c>
      <c r="E264" s="52" t="s">
        <v>2307</v>
      </c>
      <c r="F264" s="53" t="s">
        <v>1310</v>
      </c>
      <c r="G264" s="179" t="s">
        <v>1429</v>
      </c>
      <c r="H264" s="180"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29" t="s">
        <v>1017</v>
      </c>
      <c r="AR264" s="5"/>
      <c r="AS264" s="5"/>
      <c r="AT264" s="5"/>
      <c r="AU264" s="5"/>
      <c r="AV264" s="5"/>
      <c r="AW264" s="5"/>
      <c r="AX264" s="284"/>
      <c r="AY264" s="5"/>
      <c r="AZ264" s="5"/>
      <c r="BA264" s="230"/>
      <c r="BB264" s="5"/>
      <c r="BC264" s="232" t="s">
        <v>1017</v>
      </c>
      <c r="BD264" s="257"/>
      <c r="BE264" s="249"/>
      <c r="BF264" s="249"/>
      <c r="BG264" s="249"/>
      <c r="BH264" s="249"/>
      <c r="BI264" s="249"/>
      <c r="BJ264" s="249"/>
      <c r="BK264" s="249"/>
      <c r="BL264" s="249"/>
      <c r="BM264" s="249"/>
      <c r="BN264" s="249"/>
      <c r="BO264" s="249"/>
      <c r="BP264" s="249"/>
      <c r="BQ264" s="249"/>
      <c r="BR264" s="249"/>
      <c r="BS264" s="249"/>
      <c r="BT264" s="249"/>
      <c r="BU264" s="249"/>
      <c r="BV264" s="249"/>
      <c r="BW264" s="249"/>
      <c r="BX264" s="249"/>
      <c r="BY264" s="249"/>
      <c r="BZ264" s="249"/>
      <c r="CA264" s="249"/>
      <c r="CB264" s="249"/>
      <c r="CC264" s="249"/>
      <c r="CD264" s="249"/>
      <c r="CE264" s="249"/>
    </row>
    <row r="265" spans="1:83" s="84" customFormat="1" ht="12.95" customHeight="1">
      <c r="A265" s="84" t="s">
        <v>3375</v>
      </c>
      <c r="B265" s="84" t="s">
        <v>1939</v>
      </c>
      <c r="C265" s="79" t="s">
        <v>1018</v>
      </c>
      <c r="D265" s="52" t="s">
        <v>2326</v>
      </c>
      <c r="E265" s="52" t="s">
        <v>2309</v>
      </c>
      <c r="F265" s="53" t="s">
        <v>1311</v>
      </c>
      <c r="G265" s="179" t="s">
        <v>1429</v>
      </c>
      <c r="H265" s="180"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29" t="s">
        <v>1018</v>
      </c>
      <c r="AR265" s="5"/>
      <c r="AS265" s="5"/>
      <c r="AT265" s="5"/>
      <c r="AU265" s="5"/>
      <c r="AV265" s="5"/>
      <c r="AW265" s="5"/>
      <c r="AX265" s="284"/>
      <c r="AY265" s="5"/>
      <c r="AZ265" s="5"/>
      <c r="BA265" s="230"/>
      <c r="BB265" s="5"/>
      <c r="BC265" s="232" t="s">
        <v>1018</v>
      </c>
      <c r="BD265" s="257"/>
      <c r="BE265" s="249"/>
      <c r="BF265" s="249"/>
      <c r="BG265" s="249"/>
      <c r="BH265" s="249"/>
      <c r="BI265" s="249"/>
      <c r="BJ265" s="249"/>
      <c r="BK265" s="249"/>
      <c r="BL265" s="249"/>
      <c r="BM265" s="249"/>
      <c r="BN265" s="249"/>
      <c r="BO265" s="249"/>
      <c r="BP265" s="249"/>
      <c r="BQ265" s="249"/>
      <c r="BR265" s="249"/>
      <c r="BS265" s="249"/>
      <c r="BT265" s="249"/>
      <c r="BU265" s="249"/>
      <c r="BV265" s="249"/>
      <c r="BW265" s="249"/>
      <c r="BX265" s="249"/>
      <c r="BY265" s="249"/>
      <c r="BZ265" s="249"/>
      <c r="CA265" s="249"/>
      <c r="CB265" s="249"/>
      <c r="CC265" s="249"/>
      <c r="CD265" s="249"/>
      <c r="CE265" s="249"/>
    </row>
    <row r="266" spans="1:83" s="84" customFormat="1" ht="12.95" customHeight="1">
      <c r="A266" s="84" t="s">
        <v>3376</v>
      </c>
      <c r="B266" s="84" t="s">
        <v>3629</v>
      </c>
      <c r="C266" s="79" t="s">
        <v>1019</v>
      </c>
      <c r="D266" s="52" t="s">
        <v>2328</v>
      </c>
      <c r="E266" s="52" t="s">
        <v>2329</v>
      </c>
      <c r="F266" s="53" t="s">
        <v>1312</v>
      </c>
      <c r="G266" s="179" t="s">
        <v>1429</v>
      </c>
      <c r="H266" s="180"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29" t="s">
        <v>1019</v>
      </c>
      <c r="AR266" s="5"/>
      <c r="AS266" s="5"/>
      <c r="AT266" s="5"/>
      <c r="AU266" s="5"/>
      <c r="AV266" s="5"/>
      <c r="AW266" s="5"/>
      <c r="AX266" s="284"/>
      <c r="AY266" s="5"/>
      <c r="AZ266" s="5"/>
      <c r="BA266" s="230"/>
      <c r="BB266" s="5"/>
      <c r="BC266" s="232" t="s">
        <v>1019</v>
      </c>
      <c r="BD266" s="257"/>
      <c r="BE266" s="249"/>
      <c r="BF266" s="249"/>
      <c r="BG266" s="249"/>
      <c r="BH266" s="249"/>
      <c r="BI266" s="249"/>
      <c r="BJ266" s="249"/>
      <c r="BK266" s="249"/>
      <c r="BL266" s="249"/>
      <c r="BM266" s="249"/>
      <c r="BN266" s="249"/>
      <c r="BO266" s="249"/>
      <c r="BP266" s="249"/>
      <c r="BQ266" s="249"/>
      <c r="BR266" s="249"/>
      <c r="BS266" s="249"/>
      <c r="BT266" s="249"/>
      <c r="BU266" s="249"/>
      <c r="BV266" s="249"/>
      <c r="BW266" s="249"/>
      <c r="BX266" s="249"/>
      <c r="BY266" s="249"/>
      <c r="BZ266" s="249"/>
      <c r="CA266" s="249"/>
      <c r="CB266" s="249"/>
      <c r="CC266" s="249"/>
      <c r="CD266" s="249"/>
      <c r="CE266" s="249"/>
    </row>
    <row r="267" spans="1:83" s="84" customFormat="1" ht="12.75" customHeight="1">
      <c r="A267" s="84" t="s">
        <v>3377</v>
      </c>
      <c r="B267" s="84" t="s">
        <v>1932</v>
      </c>
      <c r="C267" s="79" t="s">
        <v>1020</v>
      </c>
      <c r="D267" s="52" t="s">
        <v>2331</v>
      </c>
      <c r="E267" s="52" t="s">
        <v>2304</v>
      </c>
      <c r="F267" s="53" t="s">
        <v>1313</v>
      </c>
      <c r="G267" s="179" t="s">
        <v>1429</v>
      </c>
      <c r="H267" s="180"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29" t="s">
        <v>1020</v>
      </c>
      <c r="AR267" s="5"/>
      <c r="AS267" s="5"/>
      <c r="AT267" s="5"/>
      <c r="AU267" s="5"/>
      <c r="AV267" s="5"/>
      <c r="AW267" s="5"/>
      <c r="AX267" s="284"/>
      <c r="AY267" s="5"/>
      <c r="AZ267" s="5"/>
      <c r="BA267" s="230"/>
      <c r="BB267" s="5"/>
      <c r="BC267" s="232" t="s">
        <v>1020</v>
      </c>
      <c r="BD267" s="257"/>
      <c r="BE267" s="249"/>
      <c r="BF267" s="249"/>
      <c r="BG267" s="249"/>
      <c r="BH267" s="249"/>
      <c r="BI267" s="249"/>
      <c r="BJ267" s="249"/>
      <c r="BK267" s="249"/>
      <c r="BL267" s="249"/>
      <c r="BM267" s="249"/>
      <c r="BN267" s="249"/>
      <c r="BO267" s="249"/>
      <c r="BP267" s="249"/>
      <c r="BQ267" s="249"/>
      <c r="BR267" s="249"/>
      <c r="BS267" s="249"/>
      <c r="BT267" s="249"/>
      <c r="BU267" s="249"/>
      <c r="BV267" s="249"/>
      <c r="BW267" s="249"/>
      <c r="BX267" s="249"/>
      <c r="BY267" s="249"/>
      <c r="BZ267" s="249"/>
      <c r="CA267" s="249"/>
      <c r="CB267" s="249"/>
      <c r="CC267" s="249"/>
      <c r="CD267" s="249"/>
      <c r="CE267" s="249"/>
    </row>
    <row r="268" spans="1:83" s="84" customFormat="1" ht="12.95" customHeight="1">
      <c r="A268" s="84" t="s">
        <v>3378</v>
      </c>
      <c r="B268" s="84" t="s">
        <v>2178</v>
      </c>
      <c r="C268" s="79" t="s">
        <v>1021</v>
      </c>
      <c r="D268" s="52" t="s">
        <v>2333</v>
      </c>
      <c r="E268" s="52" t="s">
        <v>2318</v>
      </c>
      <c r="F268" s="53" t="s">
        <v>1314</v>
      </c>
      <c r="G268" s="179" t="s">
        <v>1429</v>
      </c>
      <c r="H268" s="180"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5" t="s">
        <v>1021</v>
      </c>
      <c r="AR268" s="5"/>
      <c r="AS268" s="5"/>
      <c r="AT268" s="5"/>
      <c r="AU268" s="5"/>
      <c r="AV268" s="5"/>
      <c r="AW268" s="5"/>
      <c r="AX268" s="284"/>
      <c r="AY268" s="5"/>
      <c r="AZ268" s="5"/>
      <c r="BA268" s="230"/>
      <c r="BB268" s="5"/>
      <c r="BC268" s="232" t="s">
        <v>1021</v>
      </c>
      <c r="BD268" s="257"/>
      <c r="BE268" s="249"/>
      <c r="BF268" s="249"/>
      <c r="BG268" s="249"/>
      <c r="BH268" s="249"/>
      <c r="BI268" s="249"/>
      <c r="BJ268" s="249"/>
      <c r="BK268" s="249"/>
      <c r="BL268" s="249"/>
      <c r="BM268" s="249"/>
      <c r="BN268" s="249"/>
      <c r="BO268" s="249"/>
      <c r="BP268" s="249"/>
      <c r="BQ268" s="249"/>
      <c r="BR268" s="249"/>
      <c r="BS268" s="249"/>
      <c r="BT268" s="249"/>
      <c r="BU268" s="249"/>
      <c r="BV268" s="249"/>
      <c r="BW268" s="249"/>
      <c r="BX268" s="249"/>
      <c r="BY268" s="249"/>
      <c r="BZ268" s="249"/>
      <c r="CA268" s="249"/>
      <c r="CB268" s="249"/>
      <c r="CC268" s="249"/>
      <c r="CD268" s="249"/>
      <c r="CE268" s="249"/>
    </row>
    <row r="269" spans="1:83" s="84" customFormat="1" ht="12.95" customHeight="1">
      <c r="A269" s="84" t="s">
        <v>3379</v>
      </c>
      <c r="B269" s="84" t="s">
        <v>1900</v>
      </c>
      <c r="C269" s="79" t="s">
        <v>1022</v>
      </c>
      <c r="D269" s="52" t="s">
        <v>2335</v>
      </c>
      <c r="E269" s="52" t="s">
        <v>2316</v>
      </c>
      <c r="F269" s="53" t="s">
        <v>1315</v>
      </c>
      <c r="G269" s="179" t="s">
        <v>1429</v>
      </c>
      <c r="H269" s="180"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29" t="s">
        <v>1022</v>
      </c>
      <c r="AR269" s="5"/>
      <c r="AS269" s="5"/>
      <c r="AT269" s="5"/>
      <c r="AU269" s="5"/>
      <c r="AV269" s="5"/>
      <c r="AW269" s="5"/>
      <c r="AX269" s="284"/>
      <c r="AY269" s="5"/>
      <c r="AZ269" s="5"/>
      <c r="BA269" s="230"/>
      <c r="BB269" s="5"/>
      <c r="BC269" s="232" t="s">
        <v>1022</v>
      </c>
      <c r="BD269" s="257"/>
      <c r="BE269" s="249"/>
      <c r="BF269" s="249"/>
      <c r="BG269" s="249"/>
      <c r="BH269" s="249"/>
      <c r="BI269" s="249"/>
      <c r="BJ269" s="249"/>
      <c r="BK269" s="249"/>
      <c r="BL269" s="249"/>
      <c r="BM269" s="249"/>
      <c r="BN269" s="249"/>
      <c r="BO269" s="249"/>
      <c r="BP269" s="249"/>
      <c r="BQ269" s="249"/>
      <c r="BR269" s="249"/>
      <c r="BS269" s="249"/>
      <c r="BT269" s="249"/>
      <c r="BU269" s="249"/>
      <c r="BV269" s="249"/>
      <c r="BW269" s="249"/>
      <c r="BX269" s="249"/>
      <c r="BY269" s="249"/>
      <c r="BZ269" s="249"/>
      <c r="CA269" s="249"/>
      <c r="CB269" s="249"/>
      <c r="CC269" s="249"/>
      <c r="CD269" s="249"/>
      <c r="CE269" s="249"/>
    </row>
    <row r="270" spans="1:83" s="84" customFormat="1" ht="12.95" customHeight="1">
      <c r="A270" s="84" t="s">
        <v>3380</v>
      </c>
      <c r="B270" s="84" t="s">
        <v>1942</v>
      </c>
      <c r="C270" s="79" t="s">
        <v>1023</v>
      </c>
      <c r="D270" s="52" t="s">
        <v>2337</v>
      </c>
      <c r="E270" s="52" t="s">
        <v>2326</v>
      </c>
      <c r="F270" s="53" t="s">
        <v>1316</v>
      </c>
      <c r="G270" s="179" t="s">
        <v>1429</v>
      </c>
      <c r="H270" s="180"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29" t="s">
        <v>1023</v>
      </c>
      <c r="AR270" s="5"/>
      <c r="AS270" s="5"/>
      <c r="AT270" s="5"/>
      <c r="AU270" s="5"/>
      <c r="AV270" s="5"/>
      <c r="AW270" s="5"/>
      <c r="AX270" s="284"/>
      <c r="AY270" s="5"/>
      <c r="AZ270" s="5"/>
      <c r="BA270" s="230"/>
      <c r="BB270" s="5"/>
      <c r="BC270" s="232" t="s">
        <v>1023</v>
      </c>
      <c r="BD270" s="257"/>
      <c r="BE270" s="249"/>
      <c r="BF270" s="249"/>
      <c r="BG270" s="249"/>
      <c r="BH270" s="249"/>
      <c r="BI270" s="249"/>
      <c r="BJ270" s="249"/>
      <c r="BK270" s="249"/>
      <c r="BL270" s="249"/>
      <c r="BM270" s="249"/>
      <c r="BN270" s="249"/>
      <c r="BO270" s="249"/>
      <c r="BP270" s="249"/>
      <c r="BQ270" s="249"/>
      <c r="BR270" s="249"/>
      <c r="BS270" s="249"/>
      <c r="BT270" s="249"/>
      <c r="BU270" s="249"/>
      <c r="BV270" s="249"/>
      <c r="BW270" s="249"/>
      <c r="BX270" s="249"/>
      <c r="BY270" s="249"/>
      <c r="BZ270" s="249"/>
      <c r="CA270" s="249"/>
      <c r="CB270" s="249"/>
      <c r="CC270" s="249"/>
      <c r="CD270" s="249"/>
      <c r="CE270" s="249"/>
    </row>
    <row r="271" spans="1:83" s="84" customFormat="1" ht="12.95" customHeight="1">
      <c r="A271" s="84" t="s">
        <v>3381</v>
      </c>
      <c r="B271" s="84" t="s">
        <v>2193</v>
      </c>
      <c r="C271" s="79" t="s">
        <v>1024</v>
      </c>
      <c r="D271" s="52" t="s">
        <v>2339</v>
      </c>
      <c r="E271" s="52" t="s">
        <v>2340</v>
      </c>
      <c r="F271" s="53" t="s">
        <v>1317</v>
      </c>
      <c r="G271" s="179" t="s">
        <v>1429</v>
      </c>
      <c r="H271" s="180"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29" t="s">
        <v>1024</v>
      </c>
      <c r="AR271" s="5"/>
      <c r="AS271" s="5"/>
      <c r="AT271" s="5"/>
      <c r="AU271" s="5"/>
      <c r="AV271" s="5"/>
      <c r="AW271" s="5"/>
      <c r="AX271" s="284"/>
      <c r="AY271" s="5"/>
      <c r="AZ271" s="5"/>
      <c r="BA271" s="230"/>
      <c r="BB271" s="5"/>
      <c r="BC271" s="232" t="s">
        <v>1024</v>
      </c>
      <c r="BD271" s="257"/>
      <c r="BE271" s="249"/>
      <c r="BF271" s="249"/>
      <c r="BG271" s="249"/>
      <c r="BH271" s="249"/>
      <c r="BI271" s="249"/>
      <c r="BJ271" s="249"/>
      <c r="BK271" s="249"/>
      <c r="BL271" s="249"/>
      <c r="BM271" s="249"/>
      <c r="BN271" s="249"/>
      <c r="BO271" s="249"/>
      <c r="BP271" s="249"/>
      <c r="BQ271" s="249"/>
      <c r="BR271" s="249"/>
      <c r="BS271" s="249"/>
      <c r="BT271" s="249"/>
      <c r="BU271" s="249"/>
      <c r="BV271" s="249"/>
      <c r="BW271" s="249"/>
      <c r="BX271" s="249"/>
      <c r="BY271" s="249"/>
      <c r="BZ271" s="249"/>
      <c r="CA271" s="249"/>
      <c r="CB271" s="249"/>
      <c r="CC271" s="249"/>
      <c r="CD271" s="249"/>
      <c r="CE271" s="249"/>
    </row>
    <row r="272" spans="1:83" s="84" customFormat="1" ht="12.95" customHeight="1">
      <c r="A272" s="84" t="s">
        <v>3382</v>
      </c>
      <c r="B272" s="84" t="s">
        <v>2197</v>
      </c>
      <c r="C272" s="79" t="s">
        <v>1025</v>
      </c>
      <c r="D272" s="52" t="s">
        <v>2342</v>
      </c>
      <c r="E272" s="52" t="s">
        <v>2324</v>
      </c>
      <c r="F272" s="53" t="s">
        <v>1318</v>
      </c>
      <c r="G272" s="179" t="s">
        <v>1429</v>
      </c>
      <c r="H272" s="180"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29" t="s">
        <v>1025</v>
      </c>
      <c r="AR272" s="5"/>
      <c r="AS272" s="5"/>
      <c r="AT272" s="5"/>
      <c r="AU272" s="5"/>
      <c r="AV272" s="5"/>
      <c r="AW272" s="5"/>
      <c r="AX272" s="284"/>
      <c r="AY272" s="5"/>
      <c r="AZ272" s="5"/>
      <c r="BA272" s="230"/>
      <c r="BB272" s="5"/>
      <c r="BC272" s="232" t="s">
        <v>1025</v>
      </c>
      <c r="BD272" s="257"/>
      <c r="BE272" s="249"/>
      <c r="BF272" s="249"/>
      <c r="BG272" s="249"/>
      <c r="BH272" s="249"/>
      <c r="BI272" s="249"/>
      <c r="BJ272" s="249"/>
      <c r="BK272" s="249"/>
      <c r="BL272" s="249"/>
      <c r="BM272" s="249"/>
      <c r="BN272" s="249"/>
      <c r="BO272" s="249"/>
      <c r="BP272" s="249"/>
      <c r="BQ272" s="249"/>
      <c r="BR272" s="249"/>
      <c r="BS272" s="249"/>
      <c r="BT272" s="249"/>
      <c r="BU272" s="249"/>
      <c r="BV272" s="249"/>
      <c r="BW272" s="249"/>
      <c r="BX272" s="249"/>
      <c r="BY272" s="249"/>
      <c r="BZ272" s="249"/>
      <c r="CA272" s="249"/>
      <c r="CB272" s="249"/>
      <c r="CC272" s="249"/>
      <c r="CD272" s="249"/>
      <c r="CE272" s="249"/>
    </row>
    <row r="273" spans="1:83" s="84" customFormat="1" ht="12.95" customHeight="1">
      <c r="A273" s="84" t="s">
        <v>3383</v>
      </c>
      <c r="B273" s="84" t="s">
        <v>1930</v>
      </c>
      <c r="C273" s="79" t="s">
        <v>1026</v>
      </c>
      <c r="D273" s="52" t="s">
        <v>2344</v>
      </c>
      <c r="E273" s="52" t="s">
        <v>2322</v>
      </c>
      <c r="F273" s="53" t="s">
        <v>1319</v>
      </c>
      <c r="G273" s="179" t="s">
        <v>1429</v>
      </c>
      <c r="H273" s="180"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29" t="s">
        <v>1026</v>
      </c>
      <c r="AR273" s="5"/>
      <c r="AS273" s="5"/>
      <c r="AT273" s="5"/>
      <c r="AU273" s="5"/>
      <c r="AV273" s="5"/>
      <c r="AW273" s="5"/>
      <c r="AX273" s="284"/>
      <c r="AY273" s="5"/>
      <c r="AZ273" s="5"/>
      <c r="BA273" s="230"/>
      <c r="BB273" s="5"/>
      <c r="BC273" s="258" t="s">
        <v>1026</v>
      </c>
      <c r="BD273" s="259"/>
      <c r="BE273" s="249"/>
      <c r="BF273" s="249"/>
      <c r="BG273" s="249"/>
      <c r="BH273" s="249"/>
      <c r="BI273" s="249"/>
      <c r="BJ273" s="249"/>
      <c r="BK273" s="249"/>
      <c r="BL273" s="249"/>
      <c r="BM273" s="249"/>
      <c r="BN273" s="249"/>
      <c r="BO273" s="249"/>
      <c r="BP273" s="249"/>
      <c r="BQ273" s="249"/>
      <c r="BR273" s="249"/>
      <c r="BS273" s="249"/>
      <c r="BT273" s="249"/>
      <c r="BU273" s="249"/>
      <c r="BV273" s="249"/>
      <c r="BW273" s="249"/>
      <c r="BX273" s="249"/>
      <c r="BY273" s="249"/>
      <c r="BZ273" s="249"/>
      <c r="CA273" s="249"/>
      <c r="CB273" s="249"/>
      <c r="CC273" s="249"/>
      <c r="CD273" s="249"/>
      <c r="CE273" s="249"/>
    </row>
    <row r="274" spans="1:83" s="84" customFormat="1" ht="12.95" customHeight="1">
      <c r="A274" s="84" t="s">
        <v>3384</v>
      </c>
      <c r="B274" s="84" t="s">
        <v>2194</v>
      </c>
      <c r="C274" s="79" t="s">
        <v>172</v>
      </c>
      <c r="D274" s="52" t="s">
        <v>2346</v>
      </c>
      <c r="E274" s="52" t="s">
        <v>2333</v>
      </c>
      <c r="F274" s="53" t="s">
        <v>173</v>
      </c>
      <c r="G274" s="179" t="s">
        <v>1429</v>
      </c>
      <c r="H274" s="180" t="s">
        <v>172</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29" t="s">
        <v>172</v>
      </c>
      <c r="AR274" s="5"/>
      <c r="AS274" s="5"/>
      <c r="AT274" s="5"/>
      <c r="AU274" s="5"/>
      <c r="AV274" s="5"/>
      <c r="AW274" s="5"/>
      <c r="AX274" s="284"/>
      <c r="AY274" s="5"/>
      <c r="AZ274" s="5"/>
      <c r="BA274" s="230"/>
      <c r="BB274" s="215"/>
      <c r="BC274" s="260" t="s">
        <v>172</v>
      </c>
      <c r="BD274" s="261"/>
      <c r="BE274" s="249"/>
      <c r="BF274" s="249"/>
      <c r="BG274" s="249"/>
      <c r="BH274" s="249"/>
      <c r="BI274" s="249"/>
      <c r="BJ274" s="249"/>
      <c r="BK274" s="249"/>
      <c r="BL274" s="249"/>
      <c r="BM274" s="249"/>
      <c r="BN274" s="249"/>
      <c r="BO274" s="249"/>
      <c r="BP274" s="249"/>
      <c r="BQ274" s="249"/>
      <c r="BR274" s="249"/>
      <c r="BS274" s="249"/>
      <c r="BT274" s="249"/>
      <c r="BU274" s="249"/>
      <c r="BV274" s="249"/>
      <c r="BW274" s="249"/>
      <c r="BX274" s="249"/>
      <c r="BY274" s="249"/>
      <c r="BZ274" s="249"/>
      <c r="CA274" s="249"/>
      <c r="CB274" s="249"/>
      <c r="CC274" s="249"/>
      <c r="CD274" s="249"/>
      <c r="CE274" s="249"/>
    </row>
    <row r="275" spans="1:83" s="84" customFormat="1" ht="12.95" customHeight="1">
      <c r="A275" s="84" t="s">
        <v>3385</v>
      </c>
      <c r="B275" s="84" t="s">
        <v>3611</v>
      </c>
      <c r="C275" s="79" t="s">
        <v>174</v>
      </c>
      <c r="D275" s="52" t="s">
        <v>2349</v>
      </c>
      <c r="E275" s="52" t="s">
        <v>2335</v>
      </c>
      <c r="F275" s="53" t="s">
        <v>175</v>
      </c>
      <c r="G275" s="179" t="s">
        <v>1429</v>
      </c>
      <c r="H275" s="180" t="s">
        <v>174</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29" t="s">
        <v>174</v>
      </c>
      <c r="AR275" s="5"/>
      <c r="AS275" s="5"/>
      <c r="AT275" s="5"/>
      <c r="AU275" s="5"/>
      <c r="AV275" s="5"/>
      <c r="AW275" s="5"/>
      <c r="AX275" s="284"/>
      <c r="AY275" s="5"/>
      <c r="AZ275" s="5"/>
      <c r="BA275" s="230"/>
      <c r="BB275" s="5"/>
      <c r="BC275" s="232" t="s">
        <v>174</v>
      </c>
      <c r="BD275" s="262"/>
      <c r="BE275" s="249"/>
      <c r="BF275" s="249"/>
      <c r="BG275" s="249"/>
      <c r="BH275" s="249"/>
      <c r="BI275" s="249"/>
      <c r="BJ275" s="249"/>
      <c r="BK275" s="249"/>
      <c r="BL275" s="249"/>
      <c r="BM275" s="249"/>
      <c r="BN275" s="249"/>
      <c r="BO275" s="249"/>
      <c r="BP275" s="249"/>
      <c r="BQ275" s="249"/>
      <c r="BR275" s="249"/>
      <c r="BS275" s="249"/>
      <c r="BT275" s="249"/>
      <c r="BU275" s="249"/>
      <c r="BV275" s="249"/>
      <c r="BW275" s="249"/>
      <c r="BX275" s="249"/>
      <c r="BY275" s="249"/>
      <c r="BZ275" s="249"/>
      <c r="CA275" s="249"/>
      <c r="CB275" s="249"/>
      <c r="CC275" s="249"/>
      <c r="CD275" s="249"/>
      <c r="CE275" s="249"/>
    </row>
    <row r="276" spans="1:83" s="84" customFormat="1" ht="12.95" customHeight="1">
      <c r="A276" s="84" t="s">
        <v>3386</v>
      </c>
      <c r="B276" s="84" t="s">
        <v>2183</v>
      </c>
      <c r="C276" s="79" t="s">
        <v>176</v>
      </c>
      <c r="D276" s="52" t="s">
        <v>2351</v>
      </c>
      <c r="E276" s="52" t="s">
        <v>2337</v>
      </c>
      <c r="F276" s="53" t="s">
        <v>177</v>
      </c>
      <c r="G276" s="179" t="s">
        <v>1429</v>
      </c>
      <c r="H276" s="180" t="s">
        <v>176</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29" t="s">
        <v>176</v>
      </c>
      <c r="AR276" s="5"/>
      <c r="AS276" s="5"/>
      <c r="AT276" s="5"/>
      <c r="AU276" s="5"/>
      <c r="AV276" s="5"/>
      <c r="AW276" s="5"/>
      <c r="AX276" s="284"/>
      <c r="AY276" s="5"/>
      <c r="AZ276" s="5"/>
      <c r="BA276" s="230"/>
      <c r="BB276" s="5"/>
      <c r="BC276" s="232" t="s">
        <v>176</v>
      </c>
      <c r="BD276" s="262"/>
      <c r="BE276" s="249"/>
      <c r="BF276" s="249"/>
      <c r="BG276" s="249"/>
      <c r="BH276" s="249"/>
      <c r="BI276" s="249"/>
      <c r="BJ276" s="249"/>
      <c r="BK276" s="249"/>
      <c r="BL276" s="249"/>
      <c r="BM276" s="249"/>
      <c r="BN276" s="249"/>
      <c r="BO276" s="249"/>
      <c r="BP276" s="249"/>
      <c r="BQ276" s="249"/>
      <c r="BR276" s="249"/>
      <c r="BS276" s="249"/>
      <c r="BT276" s="249"/>
      <c r="BU276" s="249"/>
      <c r="BV276" s="249"/>
      <c r="BW276" s="249"/>
      <c r="BX276" s="249"/>
      <c r="BY276" s="249"/>
      <c r="BZ276" s="249"/>
      <c r="CA276" s="249"/>
      <c r="CB276" s="249"/>
      <c r="CC276" s="249"/>
      <c r="CD276" s="249"/>
      <c r="CE276" s="249"/>
    </row>
    <row r="277" spans="1:83" s="84" customFormat="1" ht="12.95" customHeight="1">
      <c r="A277" s="84" t="s">
        <v>3387</v>
      </c>
      <c r="B277" s="84" t="s">
        <v>2190</v>
      </c>
      <c r="C277" s="79" t="s">
        <v>178</v>
      </c>
      <c r="D277" s="52" t="s">
        <v>2353</v>
      </c>
      <c r="E277" s="52" t="s">
        <v>2339</v>
      </c>
      <c r="F277" s="53" t="s">
        <v>179</v>
      </c>
      <c r="G277" s="179" t="s">
        <v>1429</v>
      </c>
      <c r="H277" s="180" t="s">
        <v>178</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29" t="s">
        <v>178</v>
      </c>
      <c r="AR277" s="5"/>
      <c r="AS277" s="5"/>
      <c r="AT277" s="5"/>
      <c r="AU277" s="5"/>
      <c r="AV277" s="5"/>
      <c r="AW277" s="5"/>
      <c r="AX277" s="284"/>
      <c r="AY277" s="5"/>
      <c r="AZ277" s="5"/>
      <c r="BA277" s="230"/>
      <c r="BB277" s="5"/>
      <c r="BC277" s="232" t="s">
        <v>178</v>
      </c>
      <c r="BD277" s="262"/>
      <c r="BE277" s="249"/>
      <c r="BF277" s="249"/>
      <c r="BG277" s="249"/>
      <c r="BH277" s="249"/>
      <c r="BI277" s="249"/>
      <c r="BJ277" s="249"/>
      <c r="BK277" s="249"/>
      <c r="BL277" s="249"/>
      <c r="BM277" s="249"/>
      <c r="BN277" s="249"/>
      <c r="BO277" s="249"/>
      <c r="BP277" s="249"/>
      <c r="BQ277" s="249"/>
      <c r="BR277" s="249"/>
      <c r="BS277" s="249"/>
      <c r="BT277" s="249"/>
      <c r="BU277" s="249"/>
      <c r="BV277" s="249"/>
      <c r="BW277" s="249"/>
      <c r="BX277" s="249"/>
      <c r="BY277" s="249"/>
      <c r="BZ277" s="249"/>
      <c r="CA277" s="249"/>
      <c r="CB277" s="249"/>
      <c r="CC277" s="249"/>
      <c r="CD277" s="249"/>
      <c r="CE277" s="249"/>
    </row>
    <row r="278" spans="1:83" s="84" customFormat="1" ht="12.95" customHeight="1">
      <c r="A278" s="84" t="s">
        <v>3388</v>
      </c>
      <c r="B278" s="84" t="s">
        <v>3628</v>
      </c>
      <c r="C278" s="79" t="s">
        <v>180</v>
      </c>
      <c r="D278" s="52" t="s">
        <v>2355</v>
      </c>
      <c r="E278" s="52" t="s">
        <v>2342</v>
      </c>
      <c r="F278" s="53" t="s">
        <v>181</v>
      </c>
      <c r="G278" s="179" t="s">
        <v>1429</v>
      </c>
      <c r="H278" s="180" t="s">
        <v>180</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29" t="s">
        <v>180</v>
      </c>
      <c r="AR278" s="5"/>
      <c r="AS278" s="5"/>
      <c r="AT278" s="5"/>
      <c r="AU278" s="5"/>
      <c r="AV278" s="5"/>
      <c r="AW278" s="5"/>
      <c r="AX278" s="284"/>
      <c r="AY278" s="5"/>
      <c r="AZ278" s="5"/>
      <c r="BA278" s="230"/>
      <c r="BB278" s="5"/>
      <c r="BC278" s="232" t="s">
        <v>180</v>
      </c>
      <c r="BD278" s="262"/>
      <c r="BE278" s="249"/>
      <c r="BF278" s="249"/>
      <c r="BG278" s="249"/>
      <c r="BH278" s="249"/>
      <c r="BI278" s="249"/>
      <c r="BJ278" s="249"/>
      <c r="BK278" s="249"/>
      <c r="BL278" s="249"/>
      <c r="BM278" s="249"/>
      <c r="BN278" s="249"/>
      <c r="BO278" s="249"/>
      <c r="BP278" s="249"/>
      <c r="BQ278" s="249"/>
      <c r="BR278" s="249"/>
      <c r="BS278" s="249"/>
      <c r="BT278" s="249"/>
      <c r="BU278" s="249"/>
      <c r="BV278" s="249"/>
      <c r="BW278" s="249"/>
      <c r="BX278" s="249"/>
      <c r="BY278" s="249"/>
      <c r="BZ278" s="249"/>
      <c r="CA278" s="249"/>
      <c r="CB278" s="249"/>
      <c r="CC278" s="249"/>
      <c r="CD278" s="249"/>
      <c r="CE278" s="249"/>
    </row>
    <row r="279" spans="1:83" s="84" customFormat="1" ht="12.95" customHeight="1">
      <c r="A279" s="84" t="s">
        <v>3389</v>
      </c>
      <c r="B279" s="84" t="s">
        <v>2200</v>
      </c>
      <c r="C279" s="79" t="s">
        <v>182</v>
      </c>
      <c r="D279" s="52" t="s">
        <v>2357</v>
      </c>
      <c r="E279" s="52" t="s">
        <v>2344</v>
      </c>
      <c r="F279" s="53" t="s">
        <v>183</v>
      </c>
      <c r="G279" s="179" t="s">
        <v>1429</v>
      </c>
      <c r="H279" s="180" t="s">
        <v>182</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29" t="s">
        <v>182</v>
      </c>
      <c r="AR279" s="5"/>
      <c r="AS279" s="5"/>
      <c r="AT279" s="5"/>
      <c r="AU279" s="5"/>
      <c r="AV279" s="5"/>
      <c r="AW279" s="5"/>
      <c r="AX279" s="284"/>
      <c r="AY279" s="5"/>
      <c r="AZ279" s="5"/>
      <c r="BA279" s="230"/>
      <c r="BB279" s="5"/>
      <c r="BC279" s="258" t="s">
        <v>182</v>
      </c>
      <c r="BD279" s="262"/>
      <c r="BE279" s="249"/>
      <c r="BF279" s="249"/>
      <c r="BG279" s="249"/>
      <c r="BH279" s="249"/>
      <c r="BI279" s="249"/>
      <c r="BJ279" s="249"/>
      <c r="BK279" s="249"/>
      <c r="BL279" s="249"/>
      <c r="BM279" s="249"/>
      <c r="BN279" s="249"/>
      <c r="BO279" s="249"/>
      <c r="BP279" s="249"/>
      <c r="BQ279" s="249"/>
      <c r="BR279" s="249"/>
      <c r="BS279" s="249"/>
      <c r="BT279" s="249"/>
      <c r="BU279" s="249"/>
      <c r="BV279" s="249"/>
      <c r="BW279" s="249"/>
      <c r="BX279" s="249"/>
      <c r="BY279" s="249"/>
      <c r="BZ279" s="249"/>
      <c r="CA279" s="249"/>
      <c r="CB279" s="249"/>
      <c r="CC279" s="249"/>
      <c r="CD279" s="249"/>
      <c r="CE279" s="249"/>
    </row>
    <row r="280" spans="1:83" s="84" customFormat="1" ht="12.95" customHeight="1">
      <c r="A280" s="84" t="s">
        <v>3390</v>
      </c>
      <c r="B280" s="84" t="s">
        <v>2114</v>
      </c>
      <c r="C280" s="79" t="s">
        <v>323</v>
      </c>
      <c r="D280" s="52" t="s">
        <v>2359</v>
      </c>
      <c r="E280" s="52" t="s">
        <v>2328</v>
      </c>
      <c r="F280" s="53" t="s">
        <v>563</v>
      </c>
      <c r="G280" s="179" t="s">
        <v>1429</v>
      </c>
      <c r="H280" s="180" t="s">
        <v>323</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29" t="s">
        <v>323</v>
      </c>
      <c r="AR280" s="5"/>
      <c r="AS280" s="5"/>
      <c r="AT280" s="5"/>
      <c r="AU280" s="5"/>
      <c r="AV280" s="5"/>
      <c r="AW280" s="5"/>
      <c r="AX280" s="284"/>
      <c r="AY280" s="5"/>
      <c r="AZ280" s="5"/>
      <c r="BA280" s="230"/>
      <c r="BB280" s="215"/>
      <c r="BC280" s="260" t="s">
        <v>323</v>
      </c>
      <c r="BD280" s="262"/>
      <c r="BE280" s="249"/>
      <c r="BF280" s="249"/>
      <c r="BG280" s="249"/>
      <c r="BH280" s="249"/>
      <c r="BI280" s="249"/>
      <c r="BJ280" s="249"/>
      <c r="BK280" s="249"/>
      <c r="BL280" s="249"/>
      <c r="BM280" s="249"/>
      <c r="BN280" s="249"/>
      <c r="BO280" s="249"/>
      <c r="BP280" s="249"/>
      <c r="BQ280" s="249"/>
      <c r="BR280" s="249"/>
      <c r="BS280" s="249"/>
      <c r="BT280" s="249"/>
      <c r="BU280" s="249"/>
      <c r="BV280" s="249"/>
      <c r="BW280" s="249"/>
      <c r="BX280" s="249"/>
      <c r="BY280" s="249"/>
      <c r="BZ280" s="249"/>
      <c r="CA280" s="249"/>
      <c r="CB280" s="249"/>
      <c r="CC280" s="249"/>
      <c r="CD280" s="249"/>
      <c r="CE280" s="249"/>
    </row>
    <row r="281" spans="1:83" s="84" customFormat="1" ht="12.95" customHeight="1">
      <c r="A281" s="84" t="s">
        <v>3391</v>
      </c>
      <c r="B281" s="84" t="s">
        <v>3584</v>
      </c>
      <c r="C281" s="79" t="s">
        <v>324</v>
      </c>
      <c r="D281" s="52" t="s">
        <v>2361</v>
      </c>
      <c r="E281" s="52" t="s">
        <v>2362</v>
      </c>
      <c r="F281" s="53" t="s">
        <v>564</v>
      </c>
      <c r="G281" s="179" t="s">
        <v>1429</v>
      </c>
      <c r="H281" s="180" t="s">
        <v>324</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29" t="s">
        <v>324</v>
      </c>
      <c r="AR281" s="5"/>
      <c r="AS281" s="5"/>
      <c r="AT281" s="5"/>
      <c r="AU281" s="5"/>
      <c r="AV281" s="5"/>
      <c r="AW281" s="5"/>
      <c r="AX281" s="284"/>
      <c r="AY281" s="5"/>
      <c r="AZ281" s="5"/>
      <c r="BA281" s="230"/>
      <c r="BB281" s="5"/>
      <c r="BC281" s="232" t="s">
        <v>324</v>
      </c>
      <c r="BD281" s="262"/>
      <c r="BE281" s="249"/>
      <c r="BF281" s="249"/>
      <c r="BG281" s="249"/>
      <c r="BH281" s="249"/>
      <c r="BI281" s="249"/>
      <c r="BJ281" s="249"/>
      <c r="BK281" s="249"/>
      <c r="BL281" s="249"/>
      <c r="BM281" s="249"/>
      <c r="BN281" s="249"/>
      <c r="BO281" s="249"/>
      <c r="BP281" s="249"/>
      <c r="BQ281" s="249"/>
      <c r="BR281" s="249"/>
      <c r="BS281" s="249"/>
      <c r="BT281" s="249"/>
      <c r="BU281" s="249"/>
      <c r="BV281" s="249"/>
      <c r="BW281" s="249"/>
      <c r="BX281" s="249"/>
      <c r="BY281" s="249"/>
      <c r="BZ281" s="249"/>
      <c r="CA281" s="249"/>
      <c r="CB281" s="249"/>
      <c r="CC281" s="249"/>
      <c r="CD281" s="249"/>
      <c r="CE281" s="249"/>
    </row>
    <row r="282" spans="1:83" s="84" customFormat="1" ht="12.95" customHeight="1">
      <c r="A282" s="84" t="s">
        <v>3392</v>
      </c>
      <c r="B282" s="84" t="s">
        <v>2150</v>
      </c>
      <c r="C282" s="79" t="s">
        <v>184</v>
      </c>
      <c r="D282" s="52" t="s">
        <v>2364</v>
      </c>
      <c r="E282" s="52" t="s">
        <v>2365</v>
      </c>
      <c r="F282" s="53" t="s">
        <v>185</v>
      </c>
      <c r="G282" s="179" t="s">
        <v>1429</v>
      </c>
      <c r="H282" s="180" t="s">
        <v>184</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29" t="s">
        <v>184</v>
      </c>
      <c r="AR282" s="5"/>
      <c r="AS282" s="5"/>
      <c r="AT282" s="5"/>
      <c r="AU282" s="5"/>
      <c r="AV282" s="5"/>
      <c r="AW282" s="5"/>
      <c r="AX282" s="284"/>
      <c r="AY282" s="5"/>
      <c r="AZ282" s="5"/>
      <c r="BA282" s="230"/>
      <c r="BB282" s="5"/>
      <c r="BC282" s="232" t="s">
        <v>184</v>
      </c>
      <c r="BD282" s="262"/>
      <c r="BE282" s="249"/>
      <c r="BF282" s="249"/>
      <c r="BG282" s="249"/>
      <c r="BH282" s="249"/>
      <c r="BI282" s="249"/>
      <c r="BJ282" s="249"/>
      <c r="BK282" s="249"/>
      <c r="BL282" s="249"/>
      <c r="BM282" s="249"/>
      <c r="BN282" s="249"/>
      <c r="BO282" s="249"/>
      <c r="BP282" s="249"/>
      <c r="BQ282" s="249"/>
      <c r="BR282" s="249"/>
      <c r="BS282" s="249"/>
      <c r="BT282" s="249"/>
      <c r="BU282" s="249"/>
      <c r="BV282" s="249"/>
      <c r="BW282" s="249"/>
      <c r="BX282" s="249"/>
      <c r="BY282" s="249"/>
      <c r="BZ282" s="249"/>
      <c r="CA282" s="249"/>
      <c r="CB282" s="249"/>
      <c r="CC282" s="249"/>
      <c r="CD282" s="249"/>
      <c r="CE282" s="249"/>
    </row>
    <row r="283" spans="1:83" s="84" customFormat="1" ht="12.95" customHeight="1">
      <c r="A283" s="84" t="s">
        <v>3393</v>
      </c>
      <c r="B283" s="84" t="s">
        <v>2153</v>
      </c>
      <c r="C283" s="79" t="s">
        <v>186</v>
      </c>
      <c r="D283" s="52" t="s">
        <v>2367</v>
      </c>
      <c r="E283" s="52" t="s">
        <v>2368</v>
      </c>
      <c r="F283" s="53" t="s">
        <v>187</v>
      </c>
      <c r="G283" s="179" t="s">
        <v>1429</v>
      </c>
      <c r="H283" s="180" t="s">
        <v>186</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29" t="s">
        <v>186</v>
      </c>
      <c r="AR283" s="5"/>
      <c r="AS283" s="5"/>
      <c r="AT283" s="5"/>
      <c r="AU283" s="5"/>
      <c r="AV283" s="5"/>
      <c r="AW283" s="5"/>
      <c r="AX283" s="284"/>
      <c r="AY283" s="5"/>
      <c r="AZ283" s="5"/>
      <c r="BA283" s="230"/>
      <c r="BB283" s="5"/>
      <c r="BC283" s="232" t="s">
        <v>186</v>
      </c>
      <c r="BD283" s="262"/>
      <c r="BE283" s="249"/>
      <c r="BF283" s="249"/>
      <c r="BG283" s="249"/>
      <c r="BH283" s="249"/>
      <c r="BI283" s="249"/>
      <c r="BJ283" s="249"/>
      <c r="BK283" s="249"/>
      <c r="BL283" s="249"/>
      <c r="BM283" s="249"/>
      <c r="BN283" s="249"/>
      <c r="BO283" s="249"/>
      <c r="BP283" s="249"/>
      <c r="BQ283" s="249"/>
      <c r="BR283" s="249"/>
      <c r="BS283" s="249"/>
      <c r="BT283" s="249"/>
      <c r="BU283" s="249"/>
      <c r="BV283" s="249"/>
      <c r="BW283" s="249"/>
      <c r="BX283" s="249"/>
      <c r="BY283" s="249"/>
      <c r="BZ283" s="249"/>
      <c r="CA283" s="249"/>
      <c r="CB283" s="249"/>
      <c r="CC283" s="249"/>
      <c r="CD283" s="249"/>
      <c r="CE283" s="249"/>
    </row>
    <row r="284" spans="1:83" s="84" customFormat="1" ht="12.95" customHeight="1">
      <c r="A284" s="84" t="s">
        <v>3394</v>
      </c>
      <c r="B284" s="84" t="s">
        <v>2135</v>
      </c>
      <c r="C284" s="79" t="s">
        <v>188</v>
      </c>
      <c r="D284" s="52" t="s">
        <v>2370</v>
      </c>
      <c r="E284" s="52" t="s">
        <v>2331</v>
      </c>
      <c r="F284" s="53" t="s">
        <v>189</v>
      </c>
      <c r="G284" s="179" t="s">
        <v>1429</v>
      </c>
      <c r="H284" s="180" t="s">
        <v>188</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29" t="s">
        <v>188</v>
      </c>
      <c r="AR284" s="5"/>
      <c r="AS284" s="5"/>
      <c r="AT284" s="5"/>
      <c r="AU284" s="5"/>
      <c r="AV284" s="5"/>
      <c r="AW284" s="5"/>
      <c r="AX284" s="284"/>
      <c r="AY284" s="5"/>
      <c r="AZ284" s="5"/>
      <c r="BA284" s="230"/>
      <c r="BB284" s="5"/>
      <c r="BC284" s="232" t="s">
        <v>188</v>
      </c>
      <c r="BD284" s="262"/>
      <c r="BE284" s="249"/>
      <c r="BF284" s="249"/>
      <c r="BG284" s="249"/>
      <c r="BH284" s="249"/>
      <c r="BI284" s="249"/>
      <c r="BJ284" s="249"/>
      <c r="BK284" s="249"/>
      <c r="BL284" s="249"/>
      <c r="BM284" s="249"/>
      <c r="BN284" s="249"/>
      <c r="BO284" s="249"/>
      <c r="BP284" s="249"/>
      <c r="BQ284" s="249"/>
      <c r="BR284" s="249"/>
      <c r="BS284" s="249"/>
      <c r="BT284" s="249"/>
      <c r="BU284" s="249"/>
      <c r="BV284" s="249"/>
      <c r="BW284" s="249"/>
      <c r="BX284" s="249"/>
      <c r="BY284" s="249"/>
      <c r="BZ284" s="249"/>
      <c r="CA284" s="249"/>
      <c r="CB284" s="249"/>
      <c r="CC284" s="249"/>
      <c r="CD284" s="249"/>
      <c r="CE284" s="249"/>
    </row>
    <row r="285" spans="1:83" s="84" customFormat="1" ht="12.95" customHeight="1">
      <c r="A285" s="84" t="s">
        <v>3395</v>
      </c>
      <c r="B285" s="84" t="s">
        <v>2160</v>
      </c>
      <c r="C285" s="79" t="s">
        <v>190</v>
      </c>
      <c r="D285" s="52" t="s">
        <v>2372</v>
      </c>
      <c r="E285" s="52" t="s">
        <v>2320</v>
      </c>
      <c r="F285" s="53" t="s">
        <v>191</v>
      </c>
      <c r="G285" s="179" t="s">
        <v>1429</v>
      </c>
      <c r="H285" s="180" t="s">
        <v>190</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29" t="s">
        <v>190</v>
      </c>
      <c r="AR285" s="5"/>
      <c r="AS285" s="5"/>
      <c r="AT285" s="5"/>
      <c r="AU285" s="5"/>
      <c r="AV285" s="5"/>
      <c r="AW285" s="5"/>
      <c r="AX285" s="284"/>
      <c r="AY285" s="5"/>
      <c r="AZ285" s="5"/>
      <c r="BA285" s="230"/>
      <c r="BB285" s="5"/>
      <c r="BC285" s="258" t="s">
        <v>190</v>
      </c>
      <c r="BD285" s="262"/>
      <c r="BE285" s="249"/>
      <c r="BF285" s="249"/>
      <c r="BG285" s="249"/>
      <c r="BH285" s="249"/>
      <c r="BI285" s="249"/>
      <c r="BJ285" s="249"/>
      <c r="BK285" s="249"/>
      <c r="BL285" s="249"/>
      <c r="BM285" s="249"/>
      <c r="BN285" s="249"/>
      <c r="BO285" s="249"/>
      <c r="BP285" s="249"/>
      <c r="BQ285" s="249"/>
      <c r="BR285" s="249"/>
      <c r="BS285" s="249"/>
      <c r="BT285" s="249"/>
      <c r="BU285" s="249"/>
      <c r="BV285" s="249"/>
      <c r="BW285" s="249"/>
      <c r="BX285" s="249"/>
      <c r="BY285" s="249"/>
      <c r="BZ285" s="249"/>
      <c r="CA285" s="249"/>
      <c r="CB285" s="249"/>
      <c r="CC285" s="249"/>
      <c r="CD285" s="249"/>
      <c r="CE285" s="249"/>
    </row>
    <row r="286" spans="1:83" s="84" customFormat="1" ht="12.95" customHeight="1">
      <c r="A286" s="84" t="s">
        <v>3396</v>
      </c>
      <c r="B286" s="84" t="s">
        <v>2142</v>
      </c>
      <c r="C286" s="79" t="s">
        <v>351</v>
      </c>
      <c r="D286" s="52" t="s">
        <v>2374</v>
      </c>
      <c r="E286" s="52" t="s">
        <v>2359</v>
      </c>
      <c r="F286" s="53" t="s">
        <v>565</v>
      </c>
      <c r="G286" s="179" t="s">
        <v>1429</v>
      </c>
      <c r="H286" s="180" t="s">
        <v>351</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29" t="s">
        <v>351</v>
      </c>
      <c r="AR286" s="5"/>
      <c r="AS286" s="5"/>
      <c r="AT286" s="5"/>
      <c r="AU286" s="5"/>
      <c r="AV286" s="5"/>
      <c r="AW286" s="5"/>
      <c r="AX286" s="284"/>
      <c r="AY286" s="5"/>
      <c r="AZ286" s="5"/>
      <c r="BA286" s="230"/>
      <c r="BB286" s="215"/>
      <c r="BC286" s="260" t="s">
        <v>351</v>
      </c>
      <c r="BD286" s="261"/>
      <c r="BE286" s="249"/>
      <c r="BF286" s="249"/>
      <c r="BG286" s="249"/>
      <c r="BH286" s="249"/>
      <c r="BI286" s="249"/>
      <c r="BJ286" s="249"/>
      <c r="BK286" s="249"/>
      <c r="BL286" s="249"/>
      <c r="BM286" s="249"/>
      <c r="BN286" s="249"/>
      <c r="BO286" s="249"/>
      <c r="BP286" s="249"/>
      <c r="BQ286" s="249"/>
      <c r="BR286" s="249"/>
      <c r="BS286" s="249"/>
      <c r="BT286" s="249"/>
      <c r="BU286" s="249"/>
      <c r="BV286" s="249"/>
      <c r="BW286" s="249"/>
      <c r="BX286" s="249"/>
      <c r="BY286" s="249"/>
      <c r="BZ286" s="249"/>
      <c r="CA286" s="249"/>
      <c r="CB286" s="249"/>
      <c r="CC286" s="249"/>
      <c r="CD286" s="249"/>
      <c r="CE286" s="249"/>
    </row>
    <row r="287" spans="1:83" s="84" customFormat="1" ht="12.95" customHeight="1">
      <c r="A287" s="84" t="s">
        <v>3397</v>
      </c>
      <c r="B287" s="84" t="s">
        <v>3610</v>
      </c>
      <c r="C287" s="79" t="s">
        <v>352</v>
      </c>
      <c r="D287" s="52" t="s">
        <v>2376</v>
      </c>
      <c r="E287" s="52" t="s">
        <v>2361</v>
      </c>
      <c r="F287" s="53" t="s">
        <v>566</v>
      </c>
      <c r="G287" s="179" t="s">
        <v>1429</v>
      </c>
      <c r="H287" s="180" t="s">
        <v>352</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29" t="s">
        <v>352</v>
      </c>
      <c r="AR287" s="5"/>
      <c r="AS287" s="5"/>
      <c r="AT287" s="5"/>
      <c r="AU287" s="5"/>
      <c r="AV287" s="5"/>
      <c r="AW287" s="5"/>
      <c r="AX287" s="284"/>
      <c r="AY287" s="5"/>
      <c r="AZ287" s="5"/>
      <c r="BA287" s="230"/>
      <c r="BB287" s="5"/>
      <c r="BC287" s="232" t="s">
        <v>352</v>
      </c>
      <c r="BD287" s="262"/>
      <c r="BE287" s="249"/>
      <c r="BF287" s="249"/>
      <c r="BG287" s="249"/>
      <c r="BH287" s="249"/>
      <c r="BI287" s="249"/>
      <c r="BJ287" s="249"/>
      <c r="BK287" s="249"/>
      <c r="BL287" s="249"/>
      <c r="BM287" s="249"/>
      <c r="BN287" s="249"/>
      <c r="BO287" s="249"/>
      <c r="BP287" s="249"/>
      <c r="BQ287" s="249"/>
      <c r="BR287" s="249"/>
      <c r="BS287" s="249"/>
      <c r="BT287" s="249"/>
      <c r="BU287" s="249"/>
      <c r="BV287" s="249"/>
      <c r="BW287" s="249"/>
      <c r="BX287" s="249"/>
      <c r="BY287" s="249"/>
      <c r="BZ287" s="249"/>
      <c r="CA287" s="249"/>
      <c r="CB287" s="249"/>
      <c r="CC287" s="249"/>
      <c r="CD287" s="249"/>
      <c r="CE287" s="249"/>
    </row>
    <row r="288" spans="1:83" s="84" customFormat="1" ht="12.95" customHeight="1">
      <c r="A288" s="84" t="s">
        <v>3398</v>
      </c>
      <c r="B288" s="84" t="s">
        <v>2138</v>
      </c>
      <c r="C288" s="79" t="s">
        <v>353</v>
      </c>
      <c r="D288" s="52" t="s">
        <v>2378</v>
      </c>
      <c r="E288" s="52" t="s">
        <v>2364</v>
      </c>
      <c r="F288" s="53" t="s">
        <v>567</v>
      </c>
      <c r="G288" s="179" t="s">
        <v>1429</v>
      </c>
      <c r="H288" s="180" t="s">
        <v>353</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29" t="s">
        <v>353</v>
      </c>
      <c r="AR288" s="5"/>
      <c r="AS288" s="5"/>
      <c r="AT288" s="5"/>
      <c r="AU288" s="5"/>
      <c r="AV288" s="5"/>
      <c r="AW288" s="5"/>
      <c r="AX288" s="284"/>
      <c r="AY288" s="5"/>
      <c r="AZ288" s="5"/>
      <c r="BA288" s="230"/>
      <c r="BB288" s="5"/>
      <c r="BC288" s="232" t="s">
        <v>353</v>
      </c>
      <c r="BD288" s="262"/>
      <c r="BE288" s="249"/>
      <c r="BF288" s="249"/>
      <c r="BG288" s="249"/>
      <c r="BH288" s="249"/>
      <c r="BI288" s="249"/>
      <c r="BJ288" s="249"/>
      <c r="BK288" s="249"/>
      <c r="BL288" s="249"/>
      <c r="BM288" s="249"/>
      <c r="BN288" s="249"/>
      <c r="BO288" s="249"/>
      <c r="BP288" s="249"/>
      <c r="BQ288" s="249"/>
      <c r="BR288" s="249"/>
      <c r="BS288" s="249"/>
      <c r="BT288" s="249"/>
      <c r="BU288" s="249"/>
      <c r="BV288" s="249"/>
      <c r="BW288" s="249"/>
      <c r="BX288" s="249"/>
      <c r="BY288" s="249"/>
      <c r="BZ288" s="249"/>
      <c r="CA288" s="249"/>
      <c r="CB288" s="249"/>
      <c r="CC288" s="249"/>
      <c r="CD288" s="249"/>
      <c r="CE288" s="249"/>
    </row>
    <row r="289" spans="1:83" s="84" customFormat="1" ht="12.95" customHeight="1">
      <c r="A289" s="84" t="s">
        <v>3399</v>
      </c>
      <c r="B289" s="84" t="s">
        <v>2157</v>
      </c>
      <c r="C289" s="79" t="s">
        <v>354</v>
      </c>
      <c r="D289" s="52" t="s">
        <v>2380</v>
      </c>
      <c r="E289" s="52" t="s">
        <v>2367</v>
      </c>
      <c r="F289" s="53" t="s">
        <v>568</v>
      </c>
      <c r="G289" s="179" t="s">
        <v>1429</v>
      </c>
      <c r="H289" s="180" t="s">
        <v>354</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29" t="s">
        <v>354</v>
      </c>
      <c r="AR289" s="5"/>
      <c r="AS289" s="5"/>
      <c r="AT289" s="5"/>
      <c r="AU289" s="5"/>
      <c r="AV289" s="5"/>
      <c r="AW289" s="5"/>
      <c r="AX289" s="284"/>
      <c r="AY289" s="5"/>
      <c r="AZ289" s="5"/>
      <c r="BA289" s="230"/>
      <c r="BB289" s="5"/>
      <c r="BC289" s="232" t="s">
        <v>354</v>
      </c>
      <c r="BD289" s="262"/>
      <c r="BE289" s="249"/>
      <c r="BF289" s="249"/>
      <c r="BG289" s="249"/>
      <c r="BH289" s="249"/>
      <c r="BI289" s="249"/>
      <c r="BJ289" s="249"/>
      <c r="BK289" s="249"/>
      <c r="BL289" s="249"/>
      <c r="BM289" s="249"/>
      <c r="BN289" s="249"/>
      <c r="BO289" s="249"/>
      <c r="BP289" s="249"/>
      <c r="BQ289" s="249"/>
      <c r="BR289" s="249"/>
      <c r="BS289" s="249"/>
      <c r="BT289" s="249"/>
      <c r="BU289" s="249"/>
      <c r="BV289" s="249"/>
      <c r="BW289" s="249"/>
      <c r="BX289" s="249"/>
      <c r="BY289" s="249"/>
      <c r="BZ289" s="249"/>
      <c r="CA289" s="249"/>
      <c r="CB289" s="249"/>
      <c r="CC289" s="249"/>
      <c r="CD289" s="249"/>
      <c r="CE289" s="249"/>
    </row>
    <row r="290" spans="1:83" s="84" customFormat="1" ht="12.95" customHeight="1">
      <c r="A290" s="84" t="s">
        <v>3400</v>
      </c>
      <c r="B290" s="84" t="s">
        <v>3626</v>
      </c>
      <c r="C290" s="79" t="s">
        <v>355</v>
      </c>
      <c r="D290" s="52" t="s">
        <v>2382</v>
      </c>
      <c r="E290" s="52" t="s">
        <v>2372</v>
      </c>
      <c r="F290" s="53" t="s">
        <v>569</v>
      </c>
      <c r="G290" s="179" t="s">
        <v>1429</v>
      </c>
      <c r="H290" s="180" t="s">
        <v>355</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29" t="s">
        <v>355</v>
      </c>
      <c r="AR290" s="5"/>
      <c r="AS290" s="5"/>
      <c r="AT290" s="5"/>
      <c r="AU290" s="5"/>
      <c r="AV290" s="5"/>
      <c r="AW290" s="5"/>
      <c r="AX290" s="284"/>
      <c r="AY290" s="5"/>
      <c r="AZ290" s="5"/>
      <c r="BA290" s="230"/>
      <c r="BB290" s="5"/>
      <c r="BC290" s="232" t="s">
        <v>355</v>
      </c>
      <c r="BD290" s="262"/>
      <c r="BE290" s="249"/>
      <c r="BF290" s="249"/>
      <c r="BG290" s="249"/>
      <c r="BH290" s="249"/>
      <c r="BI290" s="249"/>
      <c r="BJ290" s="249"/>
      <c r="BK290" s="249"/>
      <c r="BL290" s="249"/>
      <c r="BM290" s="249"/>
      <c r="BN290" s="249"/>
      <c r="BO290" s="249"/>
      <c r="BP290" s="249"/>
      <c r="BQ290" s="249"/>
      <c r="BR290" s="249"/>
      <c r="BS290" s="249"/>
      <c r="BT290" s="249"/>
      <c r="BU290" s="249"/>
      <c r="BV290" s="249"/>
      <c r="BW290" s="249"/>
      <c r="BX290" s="249"/>
      <c r="BY290" s="249"/>
      <c r="BZ290" s="249"/>
      <c r="CA290" s="249"/>
      <c r="CB290" s="249"/>
      <c r="CC290" s="249"/>
      <c r="CD290" s="249"/>
      <c r="CE290" s="249"/>
    </row>
    <row r="291" spans="1:83" s="84" customFormat="1" ht="12.95" customHeight="1">
      <c r="A291" s="84" t="s">
        <v>3401</v>
      </c>
      <c r="B291" s="84" t="s">
        <v>3627</v>
      </c>
      <c r="C291" s="79" t="s">
        <v>356</v>
      </c>
      <c r="D291" s="52" t="s">
        <v>2384</v>
      </c>
      <c r="E291" s="52" t="s">
        <v>2370</v>
      </c>
      <c r="F291" s="53" t="s">
        <v>570</v>
      </c>
      <c r="G291" s="179" t="s">
        <v>1429</v>
      </c>
      <c r="H291" s="180" t="s">
        <v>356</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29" t="s">
        <v>356</v>
      </c>
      <c r="AR291" s="5"/>
      <c r="AS291" s="5"/>
      <c r="AT291" s="5"/>
      <c r="AU291" s="5"/>
      <c r="AV291" s="5"/>
      <c r="AW291" s="5"/>
      <c r="AX291" s="284"/>
      <c r="AY291" s="5"/>
      <c r="AZ291" s="5"/>
      <c r="BA291" s="230"/>
      <c r="BB291" s="5"/>
      <c r="BC291" s="258" t="s">
        <v>356</v>
      </c>
      <c r="BD291" s="262"/>
      <c r="BE291" s="249"/>
      <c r="BF291" s="249"/>
      <c r="BG291" s="249"/>
      <c r="BH291" s="249"/>
      <c r="BI291" s="249"/>
      <c r="BJ291" s="249"/>
      <c r="BK291" s="249"/>
      <c r="BL291" s="249"/>
      <c r="BM291" s="249"/>
      <c r="BN291" s="249"/>
      <c r="BO291" s="249"/>
      <c r="BP291" s="249"/>
      <c r="BQ291" s="249"/>
      <c r="BR291" s="249"/>
      <c r="BS291" s="249"/>
      <c r="BT291" s="249"/>
      <c r="BU291" s="249"/>
      <c r="BV291" s="249"/>
      <c r="BW291" s="249"/>
      <c r="BX291" s="249"/>
      <c r="BY291" s="249"/>
      <c r="BZ291" s="249"/>
      <c r="CA291" s="249"/>
      <c r="CB291" s="249"/>
      <c r="CC291" s="249"/>
      <c r="CD291" s="249"/>
      <c r="CE291" s="249"/>
    </row>
    <row r="292" spans="1:83" s="84" customFormat="1" ht="12.95" customHeight="1">
      <c r="A292" s="84" t="s">
        <v>3402</v>
      </c>
      <c r="B292" s="84" t="s">
        <v>2116</v>
      </c>
      <c r="C292" s="79" t="s">
        <v>322</v>
      </c>
      <c r="D292" s="52" t="s">
        <v>2386</v>
      </c>
      <c r="E292" s="52" t="s">
        <v>2353</v>
      </c>
      <c r="F292" s="53" t="s">
        <v>571</v>
      </c>
      <c r="G292" s="179" t="s">
        <v>1429</v>
      </c>
      <c r="H292" s="180" t="s">
        <v>322</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29" t="s">
        <v>322</v>
      </c>
      <c r="AR292" s="5"/>
      <c r="AS292" s="5"/>
      <c r="AT292" s="5"/>
      <c r="AU292" s="5"/>
      <c r="AV292" s="5"/>
      <c r="AW292" s="5"/>
      <c r="AX292" s="284"/>
      <c r="AY292" s="5"/>
      <c r="AZ292" s="5"/>
      <c r="BA292" s="230"/>
      <c r="BB292" s="215"/>
      <c r="BC292" s="260" t="s">
        <v>322</v>
      </c>
      <c r="BD292" s="262"/>
      <c r="BE292" s="249"/>
      <c r="BF292" s="249"/>
      <c r="BG292" s="249"/>
      <c r="BH292" s="249"/>
      <c r="BI292" s="249"/>
      <c r="BJ292" s="249"/>
      <c r="BK292" s="249"/>
      <c r="BL292" s="249"/>
      <c r="BM292" s="249"/>
      <c r="BN292" s="249"/>
      <c r="BO292" s="249"/>
      <c r="BP292" s="249"/>
      <c r="BQ292" s="249"/>
      <c r="BR292" s="249"/>
      <c r="BS292" s="249"/>
      <c r="BT292" s="249"/>
      <c r="BU292" s="249"/>
      <c r="BV292" s="249"/>
      <c r="BW292" s="249"/>
      <c r="BX292" s="249"/>
      <c r="BY292" s="249"/>
      <c r="BZ292" s="249"/>
      <c r="CA292" s="249"/>
      <c r="CB292" s="249"/>
      <c r="CC292" s="249"/>
      <c r="CD292" s="249"/>
      <c r="CE292" s="249"/>
    </row>
    <row r="293" spans="1:83" s="84" customFormat="1" ht="12.95" customHeight="1">
      <c r="A293" s="84" t="s">
        <v>3403</v>
      </c>
      <c r="B293" s="84" t="s">
        <v>2134</v>
      </c>
      <c r="C293" s="79" t="s">
        <v>321</v>
      </c>
      <c r="D293" s="52" t="s">
        <v>2388</v>
      </c>
      <c r="E293" s="52" t="s">
        <v>2389</v>
      </c>
      <c r="F293" s="53" t="s">
        <v>572</v>
      </c>
      <c r="G293" s="179" t="s">
        <v>1429</v>
      </c>
      <c r="H293" s="180" t="s">
        <v>321</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29" t="s">
        <v>321</v>
      </c>
      <c r="AR293" s="5"/>
      <c r="AS293" s="5"/>
      <c r="AT293" s="5"/>
      <c r="AU293" s="5"/>
      <c r="AV293" s="5"/>
      <c r="AW293" s="5"/>
      <c r="AX293" s="284"/>
      <c r="AY293" s="5"/>
      <c r="AZ293" s="5"/>
      <c r="BA293" s="230"/>
      <c r="BB293" s="5"/>
      <c r="BC293" s="232" t="s">
        <v>321</v>
      </c>
      <c r="BD293" s="262"/>
      <c r="BE293" s="249"/>
      <c r="BF293" s="249"/>
      <c r="BG293" s="249"/>
      <c r="BH293" s="249"/>
      <c r="BI293" s="249"/>
      <c r="BJ293" s="249"/>
      <c r="BK293" s="249"/>
      <c r="BL293" s="249"/>
      <c r="BM293" s="249"/>
      <c r="BN293" s="249"/>
      <c r="BO293" s="249"/>
      <c r="BP293" s="249"/>
      <c r="BQ293" s="249"/>
      <c r="BR293" s="249"/>
      <c r="BS293" s="249"/>
      <c r="BT293" s="249"/>
      <c r="BU293" s="249"/>
      <c r="BV293" s="249"/>
      <c r="BW293" s="249"/>
      <c r="BX293" s="249"/>
      <c r="BY293" s="249"/>
      <c r="BZ293" s="249"/>
      <c r="CA293" s="249"/>
      <c r="CB293" s="249"/>
      <c r="CC293" s="249"/>
      <c r="CD293" s="249"/>
      <c r="CE293" s="249"/>
    </row>
    <row r="294" spans="1:83" s="84" customFormat="1" ht="12.95" customHeight="1">
      <c r="A294" s="84" t="s">
        <v>3404</v>
      </c>
      <c r="B294" s="84" t="s">
        <v>2124</v>
      </c>
      <c r="C294" s="79" t="s">
        <v>357</v>
      </c>
      <c r="D294" s="52" t="s">
        <v>2391</v>
      </c>
      <c r="E294" s="52" t="s">
        <v>2392</v>
      </c>
      <c r="F294" s="53" t="s">
        <v>573</v>
      </c>
      <c r="G294" s="179" t="s">
        <v>1429</v>
      </c>
      <c r="H294" s="180" t="s">
        <v>357</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29" t="s">
        <v>357</v>
      </c>
      <c r="AR294" s="5"/>
      <c r="AS294" s="5"/>
      <c r="AT294" s="5"/>
      <c r="AU294" s="5"/>
      <c r="AV294" s="5"/>
      <c r="AW294" s="5"/>
      <c r="AX294" s="284"/>
      <c r="AY294" s="5"/>
      <c r="AZ294" s="5"/>
      <c r="BA294" s="230"/>
      <c r="BB294" s="5"/>
      <c r="BC294" s="232" t="s">
        <v>357</v>
      </c>
      <c r="BD294" s="262"/>
      <c r="BE294" s="249"/>
      <c r="BF294" s="249"/>
      <c r="BG294" s="249"/>
      <c r="BH294" s="249"/>
      <c r="BI294" s="249"/>
      <c r="BJ294" s="249"/>
      <c r="BK294" s="249"/>
      <c r="BL294" s="249"/>
      <c r="BM294" s="249"/>
      <c r="BN294" s="249"/>
      <c r="BO294" s="249"/>
      <c r="BP294" s="249"/>
      <c r="BQ294" s="249"/>
      <c r="BR294" s="249"/>
      <c r="BS294" s="249"/>
      <c r="BT294" s="249"/>
      <c r="BU294" s="249"/>
      <c r="BV294" s="249"/>
      <c r="BW294" s="249"/>
      <c r="BX294" s="249"/>
      <c r="BY294" s="249"/>
      <c r="BZ294" s="249"/>
      <c r="CA294" s="249"/>
      <c r="CB294" s="249"/>
      <c r="CC294" s="249"/>
      <c r="CD294" s="249"/>
      <c r="CE294" s="249"/>
    </row>
    <row r="295" spans="1:83" s="84" customFormat="1" ht="12.95" customHeight="1">
      <c r="A295" s="84" t="s">
        <v>3405</v>
      </c>
      <c r="B295" s="84" t="s">
        <v>2127</v>
      </c>
      <c r="C295" s="79" t="s">
        <v>358</v>
      </c>
      <c r="D295" s="52" t="s">
        <v>2394</v>
      </c>
      <c r="E295" s="52" t="s">
        <v>2395</v>
      </c>
      <c r="F295" s="53" t="s">
        <v>574</v>
      </c>
      <c r="G295" s="179" t="s">
        <v>1429</v>
      </c>
      <c r="H295" s="180" t="s">
        <v>358</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29" t="s">
        <v>358</v>
      </c>
      <c r="AR295" s="5"/>
      <c r="AS295" s="5"/>
      <c r="AT295" s="5"/>
      <c r="AU295" s="5"/>
      <c r="AV295" s="5"/>
      <c r="AW295" s="5"/>
      <c r="AX295" s="284"/>
      <c r="AY295" s="5"/>
      <c r="AZ295" s="5"/>
      <c r="BA295" s="230"/>
      <c r="BB295" s="5"/>
      <c r="BC295" s="232" t="s">
        <v>358</v>
      </c>
      <c r="BD295" s="262"/>
      <c r="BE295" s="249"/>
      <c r="BF295" s="249"/>
      <c r="BG295" s="249"/>
      <c r="BH295" s="249"/>
      <c r="BI295" s="249"/>
      <c r="BJ295" s="249"/>
      <c r="BK295" s="249"/>
      <c r="BL295" s="249"/>
      <c r="BM295" s="249"/>
      <c r="BN295" s="249"/>
      <c r="BO295" s="249"/>
      <c r="BP295" s="249"/>
      <c r="BQ295" s="249"/>
      <c r="BR295" s="249"/>
      <c r="BS295" s="249"/>
      <c r="BT295" s="249"/>
      <c r="BU295" s="249"/>
      <c r="BV295" s="249"/>
      <c r="BW295" s="249"/>
      <c r="BX295" s="249"/>
      <c r="BY295" s="249"/>
      <c r="BZ295" s="249"/>
      <c r="CA295" s="249"/>
      <c r="CB295" s="249"/>
      <c r="CC295" s="249"/>
      <c r="CD295" s="249"/>
      <c r="CE295" s="249"/>
    </row>
    <row r="296" spans="1:83" s="84" customFormat="1" ht="12.95" customHeight="1">
      <c r="A296" s="84" t="s">
        <v>3406</v>
      </c>
      <c r="B296" s="84" t="s">
        <v>2109</v>
      </c>
      <c r="C296" s="79" t="s">
        <v>359</v>
      </c>
      <c r="D296" s="52" t="s">
        <v>2397</v>
      </c>
      <c r="E296" s="52" t="s">
        <v>2351</v>
      </c>
      <c r="F296" s="53" t="s">
        <v>575</v>
      </c>
      <c r="G296" s="179" t="s">
        <v>1429</v>
      </c>
      <c r="H296" s="180" t="s">
        <v>359</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29" t="s">
        <v>359</v>
      </c>
      <c r="AR296" s="5"/>
      <c r="AS296" s="5"/>
      <c r="AT296" s="5"/>
      <c r="AU296" s="5"/>
      <c r="AV296" s="5"/>
      <c r="AW296" s="5"/>
      <c r="AX296" s="284"/>
      <c r="AY296" s="5"/>
      <c r="AZ296" s="5"/>
      <c r="BA296" s="230"/>
      <c r="BB296" s="5"/>
      <c r="BC296" s="232" t="s">
        <v>359</v>
      </c>
      <c r="BD296" s="262"/>
      <c r="BE296" s="249"/>
      <c r="BF296" s="249"/>
      <c r="BG296" s="249"/>
      <c r="BH296" s="249"/>
      <c r="BI296" s="249"/>
      <c r="BJ296" s="249"/>
      <c r="BK296" s="249"/>
      <c r="BL296" s="249"/>
      <c r="BM296" s="249"/>
      <c r="BN296" s="249"/>
      <c r="BO296" s="249"/>
      <c r="BP296" s="249"/>
      <c r="BQ296" s="249"/>
      <c r="BR296" s="249"/>
      <c r="BS296" s="249"/>
      <c r="BT296" s="249"/>
      <c r="BU296" s="249"/>
      <c r="BV296" s="249"/>
      <c r="BW296" s="249"/>
      <c r="BX296" s="249"/>
      <c r="BY296" s="249"/>
      <c r="BZ296" s="249"/>
      <c r="CA296" s="249"/>
      <c r="CB296" s="249"/>
      <c r="CC296" s="249"/>
      <c r="CD296" s="249"/>
      <c r="CE296" s="249"/>
    </row>
    <row r="297" spans="1:83" s="84" customFormat="1" ht="12.95" customHeight="1">
      <c r="A297" s="84" t="s">
        <v>3407</v>
      </c>
      <c r="B297" s="84" t="s">
        <v>2131</v>
      </c>
      <c r="C297" s="79" t="s">
        <v>360</v>
      </c>
      <c r="D297" s="52" t="s">
        <v>2399</v>
      </c>
      <c r="E297" s="52" t="s">
        <v>2349</v>
      </c>
      <c r="F297" s="53" t="s">
        <v>576</v>
      </c>
      <c r="G297" s="179" t="s">
        <v>1429</v>
      </c>
      <c r="H297" s="180" t="s">
        <v>360</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29" t="s">
        <v>360</v>
      </c>
      <c r="AR297" s="5"/>
      <c r="AS297" s="5"/>
      <c r="AT297" s="5"/>
      <c r="AU297" s="5"/>
      <c r="AV297" s="5"/>
      <c r="AW297" s="5"/>
      <c r="AX297" s="284"/>
      <c r="AY297" s="5"/>
      <c r="AZ297" s="5"/>
      <c r="BA297" s="230"/>
      <c r="BB297" s="5"/>
      <c r="BC297" s="232" t="s">
        <v>360</v>
      </c>
      <c r="BD297" s="262"/>
      <c r="BE297" s="249"/>
      <c r="BF297" s="249"/>
      <c r="BG297" s="249"/>
      <c r="BH297" s="249"/>
      <c r="BI297" s="249"/>
      <c r="BJ297" s="249"/>
      <c r="BK297" s="249"/>
      <c r="BL297" s="249"/>
      <c r="BM297" s="249"/>
      <c r="BN297" s="249"/>
      <c r="BO297" s="249"/>
      <c r="BP297" s="249"/>
      <c r="BQ297" s="249"/>
      <c r="BR297" s="249"/>
      <c r="BS297" s="249"/>
      <c r="BT297" s="249"/>
      <c r="BU297" s="249"/>
      <c r="BV297" s="249"/>
      <c r="BW297" s="249"/>
      <c r="BX297" s="249"/>
      <c r="BY297" s="249"/>
      <c r="BZ297" s="249"/>
      <c r="CA297" s="249"/>
      <c r="CB297" s="249"/>
      <c r="CC297" s="249"/>
      <c r="CD297" s="249"/>
      <c r="CE297" s="249"/>
    </row>
    <row r="298" spans="1:83" s="84" customFormat="1" ht="12.95" customHeight="1">
      <c r="A298" s="84" t="s">
        <v>3408</v>
      </c>
      <c r="B298" s="84" t="s">
        <v>3608</v>
      </c>
      <c r="C298" s="79" t="s">
        <v>192</v>
      </c>
      <c r="D298" s="52" t="s">
        <v>1883</v>
      </c>
      <c r="E298" s="52" t="s">
        <v>2355</v>
      </c>
      <c r="F298" s="53" t="s">
        <v>193</v>
      </c>
      <c r="G298" s="179" t="s">
        <v>1429</v>
      </c>
      <c r="H298" s="180" t="s">
        <v>192</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3" t="s">
        <v>192</v>
      </c>
      <c r="AR298" s="5"/>
      <c r="AS298" s="5"/>
      <c r="AT298" s="5"/>
      <c r="AU298" s="5"/>
      <c r="AV298" s="5"/>
      <c r="AW298" s="5"/>
      <c r="AX298" s="284"/>
      <c r="AY298" s="5"/>
      <c r="AZ298" s="5"/>
      <c r="BA298" s="230"/>
      <c r="BB298" s="5"/>
      <c r="BC298" s="232" t="s">
        <v>192</v>
      </c>
      <c r="BD298" s="256"/>
      <c r="BE298" s="249"/>
      <c r="BF298" s="249"/>
      <c r="BG298" s="249"/>
      <c r="BH298" s="249"/>
      <c r="BI298" s="249"/>
      <c r="BJ298" s="249"/>
      <c r="BK298" s="249"/>
      <c r="BL298" s="249"/>
      <c r="BM298" s="249"/>
      <c r="BN298" s="249"/>
      <c r="BO298" s="249"/>
      <c r="BP298" s="249"/>
      <c r="BQ298" s="249"/>
      <c r="BR298" s="249"/>
      <c r="BS298" s="249"/>
      <c r="BT298" s="249"/>
      <c r="BU298" s="249"/>
      <c r="BV298" s="249"/>
      <c r="BW298" s="249"/>
      <c r="BX298" s="249"/>
      <c r="BY298" s="249"/>
      <c r="BZ298" s="249"/>
      <c r="CA298" s="249"/>
      <c r="CB298" s="249"/>
      <c r="CC298" s="249"/>
      <c r="CD298" s="249"/>
      <c r="CE298" s="249"/>
    </row>
    <row r="299" spans="1:83" s="84" customFormat="1" ht="12.95" customHeight="1">
      <c r="A299" s="84" t="s">
        <v>3409</v>
      </c>
      <c r="B299" s="84" t="s">
        <v>3609</v>
      </c>
      <c r="C299" s="79" t="s">
        <v>194</v>
      </c>
      <c r="D299" s="52" t="s">
        <v>1877</v>
      </c>
      <c r="E299" s="52" t="s">
        <v>2402</v>
      </c>
      <c r="F299" s="53" t="s">
        <v>195</v>
      </c>
      <c r="G299" s="179" t="s">
        <v>1429</v>
      </c>
      <c r="H299" s="180" t="s">
        <v>194</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3" t="s">
        <v>194</v>
      </c>
      <c r="AR299" s="5"/>
      <c r="AS299" s="5"/>
      <c r="AT299" s="5"/>
      <c r="AU299" s="5"/>
      <c r="AV299" s="5"/>
      <c r="AW299" s="5"/>
      <c r="AX299" s="284"/>
      <c r="AY299" s="5"/>
      <c r="AZ299" s="5"/>
      <c r="BA299" s="230"/>
      <c r="BB299" s="5"/>
      <c r="BC299" s="232" t="s">
        <v>194</v>
      </c>
      <c r="BD299" s="257"/>
      <c r="BE299" s="249"/>
      <c r="BF299" s="249"/>
      <c r="BG299" s="249"/>
      <c r="BH299" s="249"/>
      <c r="BI299" s="249"/>
      <c r="BJ299" s="249"/>
      <c r="BK299" s="249"/>
      <c r="BL299" s="249"/>
      <c r="BM299" s="249"/>
      <c r="BN299" s="249"/>
      <c r="BO299" s="249"/>
      <c r="BP299" s="249"/>
      <c r="BQ299" s="249"/>
      <c r="BR299" s="249"/>
      <c r="BS299" s="249"/>
      <c r="BT299" s="249"/>
      <c r="BU299" s="249"/>
      <c r="BV299" s="249"/>
      <c r="BW299" s="249"/>
      <c r="BX299" s="249"/>
      <c r="BY299" s="249"/>
      <c r="BZ299" s="249"/>
      <c r="CA299" s="249"/>
      <c r="CB299" s="249"/>
      <c r="CC299" s="249"/>
      <c r="CD299" s="249"/>
      <c r="CE299" s="249"/>
    </row>
    <row r="300" spans="1:83" s="84" customFormat="1" ht="12.95" customHeight="1">
      <c r="A300" s="84" t="s">
        <v>3410</v>
      </c>
      <c r="B300" s="84" t="s">
        <v>3600</v>
      </c>
      <c r="C300" s="79" t="s">
        <v>196</v>
      </c>
      <c r="D300" s="52" t="s">
        <v>1864</v>
      </c>
      <c r="E300" s="52" t="s">
        <v>2404</v>
      </c>
      <c r="F300" s="53" t="s">
        <v>197</v>
      </c>
      <c r="G300" s="179" t="s">
        <v>1429</v>
      </c>
      <c r="H300" s="180" t="s">
        <v>196</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3" t="s">
        <v>196</v>
      </c>
      <c r="AR300" s="5"/>
      <c r="AS300" s="5"/>
      <c r="AT300" s="5"/>
      <c r="AU300" s="5"/>
      <c r="AV300" s="5"/>
      <c r="AW300" s="5"/>
      <c r="AX300" s="284"/>
      <c r="AY300" s="5"/>
      <c r="AZ300" s="5"/>
      <c r="BA300" s="230"/>
      <c r="BB300" s="5"/>
      <c r="BC300" s="232" t="s">
        <v>196</v>
      </c>
      <c r="BD300" s="257"/>
      <c r="BE300" s="249"/>
      <c r="BF300" s="249"/>
      <c r="BG300" s="249"/>
      <c r="BH300" s="249"/>
      <c r="BI300" s="249"/>
      <c r="BJ300" s="249"/>
      <c r="BK300" s="249"/>
      <c r="BL300" s="249"/>
      <c r="BM300" s="249"/>
      <c r="BN300" s="249"/>
      <c r="BO300" s="249"/>
      <c r="BP300" s="249"/>
      <c r="BQ300" s="249"/>
      <c r="BR300" s="249"/>
      <c r="BS300" s="249"/>
      <c r="BT300" s="249"/>
      <c r="BU300" s="249"/>
      <c r="BV300" s="249"/>
      <c r="BW300" s="249"/>
      <c r="BX300" s="249"/>
      <c r="BY300" s="249"/>
      <c r="BZ300" s="249"/>
      <c r="CA300" s="249"/>
      <c r="CB300" s="249"/>
      <c r="CC300" s="249"/>
      <c r="CD300" s="249"/>
      <c r="CE300" s="249"/>
    </row>
    <row r="301" spans="1:83" s="84" customFormat="1" ht="12.95" customHeight="1">
      <c r="A301" s="84" t="s">
        <v>3411</v>
      </c>
      <c r="B301" s="84" t="s">
        <v>2099</v>
      </c>
      <c r="C301" s="79" t="s">
        <v>198</v>
      </c>
      <c r="D301" s="52" t="s">
        <v>1880</v>
      </c>
      <c r="E301" s="52" t="s">
        <v>2406</v>
      </c>
      <c r="F301" s="53" t="s">
        <v>199</v>
      </c>
      <c r="G301" s="179" t="s">
        <v>1429</v>
      </c>
      <c r="H301" s="180" t="s">
        <v>198</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3" t="s">
        <v>198</v>
      </c>
      <c r="AR301" s="5"/>
      <c r="AS301" s="5"/>
      <c r="AT301" s="5"/>
      <c r="AU301" s="5"/>
      <c r="AV301" s="5"/>
      <c r="AW301" s="5"/>
      <c r="AX301" s="284"/>
      <c r="AY301" s="5"/>
      <c r="AZ301" s="5"/>
      <c r="BA301" s="230"/>
      <c r="BB301" s="5"/>
      <c r="BC301" s="232" t="s">
        <v>198</v>
      </c>
      <c r="BD301" s="257"/>
      <c r="BE301" s="249"/>
      <c r="BF301" s="249"/>
      <c r="BG301" s="249"/>
      <c r="BH301" s="249"/>
      <c r="BI301" s="249"/>
      <c r="BJ301" s="249"/>
      <c r="BK301" s="249"/>
      <c r="BL301" s="249"/>
      <c r="BM301" s="249"/>
      <c r="BN301" s="249"/>
      <c r="BO301" s="249"/>
      <c r="BP301" s="249"/>
      <c r="BQ301" s="249"/>
      <c r="BR301" s="249"/>
      <c r="BS301" s="249"/>
      <c r="BT301" s="249"/>
      <c r="BU301" s="249"/>
      <c r="BV301" s="249"/>
      <c r="BW301" s="249"/>
      <c r="BX301" s="249"/>
      <c r="BY301" s="249"/>
      <c r="BZ301" s="249"/>
      <c r="CA301" s="249"/>
      <c r="CB301" s="249"/>
      <c r="CC301" s="249"/>
      <c r="CD301" s="249"/>
      <c r="CE301" s="249"/>
    </row>
    <row r="302" spans="1:83" s="84" customFormat="1" ht="12.95" customHeight="1">
      <c r="A302" s="84" t="s">
        <v>3412</v>
      </c>
      <c r="B302" s="84" t="s">
        <v>3624</v>
      </c>
      <c r="C302" s="79" t="s">
        <v>325</v>
      </c>
      <c r="D302" s="52" t="s">
        <v>1868</v>
      </c>
      <c r="E302" s="52" t="s">
        <v>2357</v>
      </c>
      <c r="F302" s="53" t="s">
        <v>577</v>
      </c>
      <c r="G302" s="179" t="s">
        <v>1429</v>
      </c>
      <c r="H302" s="180" t="s">
        <v>325</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3" t="s">
        <v>325</v>
      </c>
      <c r="AR302" s="5"/>
      <c r="AS302" s="5"/>
      <c r="AT302" s="5"/>
      <c r="AU302" s="5"/>
      <c r="AV302" s="5"/>
      <c r="AW302" s="5"/>
      <c r="AX302" s="284"/>
      <c r="AY302" s="5"/>
      <c r="AZ302" s="5"/>
      <c r="BA302" s="230"/>
      <c r="BB302" s="5"/>
      <c r="BC302" s="232" t="s">
        <v>325</v>
      </c>
      <c r="BD302" s="257"/>
      <c r="BE302" s="249"/>
      <c r="BF302" s="249"/>
      <c r="BG302" s="249"/>
      <c r="BH302" s="249"/>
      <c r="BI302" s="249"/>
      <c r="BJ302" s="249"/>
      <c r="BK302" s="249"/>
      <c r="BL302" s="249"/>
      <c r="BM302" s="249"/>
      <c r="BN302" s="249"/>
      <c r="BO302" s="249"/>
      <c r="BP302" s="249"/>
      <c r="BQ302" s="249"/>
      <c r="BR302" s="249"/>
      <c r="BS302" s="249"/>
      <c r="BT302" s="249"/>
      <c r="BU302" s="249"/>
      <c r="BV302" s="249"/>
      <c r="BW302" s="249"/>
      <c r="BX302" s="249"/>
      <c r="BY302" s="249"/>
      <c r="BZ302" s="249"/>
      <c r="CA302" s="249"/>
      <c r="CB302" s="249"/>
      <c r="CC302" s="249"/>
      <c r="CD302" s="249"/>
      <c r="CE302" s="249"/>
    </row>
    <row r="303" spans="1:83" s="84" customFormat="1" ht="12.95" customHeight="1">
      <c r="A303" s="84" t="s">
        <v>3413</v>
      </c>
      <c r="B303" s="84" t="s">
        <v>3625</v>
      </c>
      <c r="C303" s="79" t="s">
        <v>326</v>
      </c>
      <c r="D303" s="52" t="s">
        <v>1874</v>
      </c>
      <c r="E303" s="52" t="s">
        <v>2346</v>
      </c>
      <c r="F303" s="53" t="s">
        <v>578</v>
      </c>
      <c r="G303" s="179" t="s">
        <v>1429</v>
      </c>
      <c r="H303" s="180" t="s">
        <v>326</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3" t="s">
        <v>326</v>
      </c>
      <c r="AR303" s="5"/>
      <c r="AS303" s="5"/>
      <c r="AT303" s="5"/>
      <c r="AU303" s="5"/>
      <c r="AV303" s="5"/>
      <c r="AW303" s="5"/>
      <c r="AX303" s="284"/>
      <c r="AY303" s="5"/>
      <c r="AZ303" s="5"/>
      <c r="BA303" s="230"/>
      <c r="BB303" s="5"/>
      <c r="BC303" s="232" t="s">
        <v>326</v>
      </c>
      <c r="BD303" s="259"/>
      <c r="BE303" s="249"/>
      <c r="BF303" s="249"/>
      <c r="BG303" s="249"/>
      <c r="BH303" s="249"/>
      <c r="BI303" s="249"/>
      <c r="BJ303" s="249"/>
      <c r="BK303" s="249"/>
      <c r="BL303" s="249"/>
      <c r="BM303" s="249"/>
      <c r="BN303" s="249"/>
      <c r="BO303" s="249"/>
      <c r="BP303" s="249"/>
      <c r="BQ303" s="249"/>
      <c r="BR303" s="249"/>
      <c r="BS303" s="249"/>
      <c r="BT303" s="249"/>
      <c r="BU303" s="249"/>
      <c r="BV303" s="249"/>
      <c r="BW303" s="249"/>
      <c r="BX303" s="249"/>
      <c r="BY303" s="249"/>
      <c r="BZ303" s="249"/>
      <c r="CA303" s="249"/>
      <c r="CB303" s="249"/>
      <c r="CC303" s="249"/>
      <c r="CD303" s="249"/>
      <c r="CE303" s="249"/>
    </row>
    <row r="304" spans="1:83" s="84" customFormat="1" ht="12.95" customHeight="1">
      <c r="A304" s="84" t="s">
        <v>3414</v>
      </c>
      <c r="B304" s="84" t="s">
        <v>2410</v>
      </c>
      <c r="C304" s="79" t="s">
        <v>327</v>
      </c>
      <c r="D304" s="52" t="s">
        <v>2410</v>
      </c>
      <c r="E304" s="52" t="s">
        <v>2374</v>
      </c>
      <c r="F304" s="53" t="s">
        <v>579</v>
      </c>
      <c r="G304" s="179" t="s">
        <v>1429</v>
      </c>
      <c r="H304" s="180" t="s">
        <v>327</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3" t="s">
        <v>327</v>
      </c>
      <c r="AR304" s="5"/>
      <c r="AS304" s="5"/>
      <c r="AT304" s="5"/>
      <c r="AU304" s="5"/>
      <c r="AV304" s="5"/>
      <c r="AW304" s="5"/>
      <c r="AX304" s="284"/>
      <c r="AY304" s="5"/>
      <c r="AZ304" s="5"/>
      <c r="BA304" s="230"/>
      <c r="BB304" s="5"/>
      <c r="BC304" s="232" t="s">
        <v>327</v>
      </c>
      <c r="BD304" s="256"/>
      <c r="BE304" s="249"/>
      <c r="BF304" s="249"/>
      <c r="BG304" s="249"/>
      <c r="BH304" s="249"/>
      <c r="BI304" s="249"/>
      <c r="BJ304" s="249"/>
      <c r="BK304" s="249"/>
      <c r="BL304" s="249"/>
      <c r="BM304" s="249"/>
      <c r="BN304" s="249"/>
      <c r="BO304" s="249"/>
      <c r="BP304" s="249"/>
      <c r="BQ304" s="249"/>
      <c r="BR304" s="249"/>
      <c r="BS304" s="249"/>
      <c r="BT304" s="249"/>
      <c r="BU304" s="249"/>
      <c r="BV304" s="249"/>
      <c r="BW304" s="249"/>
      <c r="BX304" s="249"/>
      <c r="BY304" s="249"/>
      <c r="BZ304" s="249"/>
      <c r="CA304" s="249"/>
      <c r="CB304" s="249"/>
      <c r="CC304" s="249"/>
      <c r="CD304" s="249"/>
      <c r="CE304" s="249"/>
    </row>
    <row r="305" spans="1:83" s="84" customFormat="1" ht="12.95" customHeight="1">
      <c r="A305" s="84" t="s">
        <v>3415</v>
      </c>
      <c r="B305" s="84" t="s">
        <v>1879</v>
      </c>
      <c r="C305" s="79" t="s">
        <v>328</v>
      </c>
      <c r="D305" s="52" t="s">
        <v>2412</v>
      </c>
      <c r="E305" s="52" t="s">
        <v>2376</v>
      </c>
      <c r="F305" s="53" t="s">
        <v>580</v>
      </c>
      <c r="G305" s="179" t="s">
        <v>1429</v>
      </c>
      <c r="H305" s="180" t="s">
        <v>328</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3" t="s">
        <v>328</v>
      </c>
      <c r="AR305" s="5"/>
      <c r="AS305" s="5"/>
      <c r="AT305" s="5"/>
      <c r="AU305" s="5"/>
      <c r="AV305" s="5"/>
      <c r="AW305" s="5"/>
      <c r="AX305" s="284"/>
      <c r="AY305" s="5"/>
      <c r="AZ305" s="5"/>
      <c r="BA305" s="230"/>
      <c r="BB305" s="5"/>
      <c r="BC305" s="232" t="s">
        <v>328</v>
      </c>
      <c r="BD305" s="257"/>
      <c r="BE305" s="249"/>
      <c r="BF305" s="249"/>
      <c r="BG305" s="249"/>
      <c r="BH305" s="249"/>
      <c r="BI305" s="249"/>
      <c r="BJ305" s="249"/>
      <c r="BK305" s="249"/>
      <c r="BL305" s="249"/>
      <c r="BM305" s="249"/>
      <c r="BN305" s="249"/>
      <c r="BO305" s="249"/>
      <c r="BP305" s="249"/>
      <c r="BQ305" s="249"/>
      <c r="BR305" s="249"/>
      <c r="BS305" s="249"/>
      <c r="BT305" s="249"/>
      <c r="BU305" s="249"/>
      <c r="BV305" s="249"/>
      <c r="BW305" s="249"/>
      <c r="BX305" s="249"/>
      <c r="BY305" s="249"/>
      <c r="BZ305" s="249"/>
      <c r="CA305" s="249"/>
      <c r="CB305" s="249"/>
      <c r="CC305" s="249"/>
      <c r="CD305" s="249"/>
      <c r="CE305" s="249"/>
    </row>
    <row r="306" spans="1:83" s="84" customFormat="1" ht="12.95" customHeight="1">
      <c r="A306" s="84" t="s">
        <v>3416</v>
      </c>
      <c r="B306" s="84" t="s">
        <v>3580</v>
      </c>
      <c r="C306" s="79" t="s">
        <v>329</v>
      </c>
      <c r="D306" s="52" t="s">
        <v>2414</v>
      </c>
      <c r="E306" s="52" t="s">
        <v>2380</v>
      </c>
      <c r="F306" s="53" t="s">
        <v>581</v>
      </c>
      <c r="G306" s="179" t="s">
        <v>1429</v>
      </c>
      <c r="H306" s="180" t="s">
        <v>329</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3" t="s">
        <v>329</v>
      </c>
      <c r="AR306" s="5"/>
      <c r="AS306" s="5"/>
      <c r="AT306" s="5"/>
      <c r="AU306" s="5"/>
      <c r="AV306" s="5"/>
      <c r="AW306" s="5"/>
      <c r="AX306" s="284"/>
      <c r="AY306" s="5"/>
      <c r="AZ306" s="5"/>
      <c r="BA306" s="230"/>
      <c r="BB306" s="5"/>
      <c r="BC306" s="232" t="s">
        <v>329</v>
      </c>
      <c r="BD306" s="257"/>
      <c r="BE306" s="249"/>
      <c r="BF306" s="249"/>
      <c r="BG306" s="249"/>
      <c r="BH306" s="249"/>
      <c r="BI306" s="249"/>
      <c r="BJ306" s="249"/>
      <c r="BK306" s="249"/>
      <c r="BL306" s="249"/>
      <c r="BM306" s="249"/>
      <c r="BN306" s="249"/>
      <c r="BO306" s="249"/>
      <c r="BP306" s="249"/>
      <c r="BQ306" s="249"/>
      <c r="BR306" s="249"/>
      <c r="BS306" s="249"/>
      <c r="BT306" s="249"/>
      <c r="BU306" s="249"/>
      <c r="BV306" s="249"/>
      <c r="BW306" s="249"/>
      <c r="BX306" s="249"/>
      <c r="BY306" s="249"/>
      <c r="BZ306" s="249"/>
      <c r="CA306" s="249"/>
      <c r="CB306" s="249"/>
      <c r="CC306" s="249"/>
      <c r="CD306" s="249"/>
      <c r="CE306" s="249"/>
    </row>
    <row r="307" spans="1:83" s="84" customFormat="1" ht="12.95" customHeight="1">
      <c r="A307" s="84" t="s">
        <v>3417</v>
      </c>
      <c r="B307" s="84" t="s">
        <v>1873</v>
      </c>
      <c r="C307" s="79" t="s">
        <v>330</v>
      </c>
      <c r="D307" s="52" t="s">
        <v>2416</v>
      </c>
      <c r="E307" s="52" t="s">
        <v>2378</v>
      </c>
      <c r="F307" s="53" t="s">
        <v>582</v>
      </c>
      <c r="G307" s="179" t="s">
        <v>1429</v>
      </c>
      <c r="H307" s="180" t="s">
        <v>330</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3" t="s">
        <v>330</v>
      </c>
      <c r="AR307" s="5"/>
      <c r="AS307" s="5"/>
      <c r="AT307" s="5"/>
      <c r="AU307" s="5"/>
      <c r="AV307" s="5"/>
      <c r="AW307" s="5"/>
      <c r="AX307" s="284"/>
      <c r="AY307" s="5"/>
      <c r="AZ307" s="5"/>
      <c r="BA307" s="230"/>
      <c r="BB307" s="5"/>
      <c r="BC307" s="232" t="s">
        <v>330</v>
      </c>
      <c r="BD307" s="257"/>
      <c r="BE307" s="249"/>
      <c r="BF307" s="249"/>
      <c r="BG307" s="249"/>
      <c r="BH307" s="249"/>
      <c r="BI307" s="249"/>
      <c r="BJ307" s="249"/>
      <c r="BK307" s="249"/>
      <c r="BL307" s="249"/>
      <c r="BM307" s="249"/>
      <c r="BN307" s="249"/>
      <c r="BO307" s="249"/>
      <c r="BP307" s="249"/>
      <c r="BQ307" s="249"/>
      <c r="BR307" s="249"/>
      <c r="BS307" s="249"/>
      <c r="BT307" s="249"/>
      <c r="BU307" s="249"/>
      <c r="BV307" s="249"/>
      <c r="BW307" s="249"/>
      <c r="BX307" s="249"/>
      <c r="BY307" s="249"/>
      <c r="BZ307" s="249"/>
      <c r="CA307" s="249"/>
      <c r="CB307" s="249"/>
      <c r="CC307" s="249"/>
      <c r="CD307" s="249"/>
      <c r="CE307" s="249"/>
    </row>
    <row r="308" spans="1:83" s="84" customFormat="1" ht="12.95" customHeight="1">
      <c r="A308" s="84" t="s">
        <v>3418</v>
      </c>
      <c r="B308" s="84" t="s">
        <v>2416</v>
      </c>
      <c r="C308" s="79" t="s">
        <v>331</v>
      </c>
      <c r="D308" s="52" t="s">
        <v>2418</v>
      </c>
      <c r="E308" s="52" t="s">
        <v>2384</v>
      </c>
      <c r="F308" s="53" t="s">
        <v>583</v>
      </c>
      <c r="G308" s="179" t="s">
        <v>1429</v>
      </c>
      <c r="H308" s="180" t="s">
        <v>331</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3" t="s">
        <v>331</v>
      </c>
      <c r="AR308" s="5"/>
      <c r="AS308" s="5"/>
      <c r="AT308" s="5"/>
      <c r="AU308" s="5"/>
      <c r="AV308" s="5"/>
      <c r="AW308" s="5"/>
      <c r="AX308" s="284"/>
      <c r="AY308" s="5"/>
      <c r="AZ308" s="5"/>
      <c r="BA308" s="230"/>
      <c r="BB308" s="5"/>
      <c r="BC308" s="232" t="s">
        <v>331</v>
      </c>
      <c r="BD308" s="257"/>
      <c r="BE308" s="249"/>
      <c r="BF308" s="249"/>
      <c r="BG308" s="249"/>
      <c r="BH308" s="249"/>
      <c r="BI308" s="249"/>
      <c r="BJ308" s="249"/>
      <c r="BK308" s="249"/>
      <c r="BL308" s="249"/>
      <c r="BM308" s="249"/>
      <c r="BN308" s="249"/>
      <c r="BO308" s="249"/>
      <c r="BP308" s="249"/>
      <c r="BQ308" s="249"/>
      <c r="BR308" s="249"/>
      <c r="BS308" s="249"/>
      <c r="BT308" s="249"/>
      <c r="BU308" s="249"/>
      <c r="BV308" s="249"/>
      <c r="BW308" s="249"/>
      <c r="BX308" s="249"/>
      <c r="BY308" s="249"/>
      <c r="BZ308" s="249"/>
      <c r="CA308" s="249"/>
      <c r="CB308" s="249"/>
      <c r="CC308" s="249"/>
      <c r="CD308" s="249"/>
      <c r="CE308" s="249"/>
    </row>
    <row r="309" spans="1:83" s="84" customFormat="1" ht="12.95" customHeight="1">
      <c r="A309" s="84" t="s">
        <v>3419</v>
      </c>
      <c r="B309" s="84" t="s">
        <v>2418</v>
      </c>
      <c r="C309" s="79" t="s">
        <v>332</v>
      </c>
      <c r="D309" s="52" t="s">
        <v>2420</v>
      </c>
      <c r="E309" s="52" t="s">
        <v>2382</v>
      </c>
      <c r="F309" s="53" t="s">
        <v>584</v>
      </c>
      <c r="G309" s="179" t="s">
        <v>1429</v>
      </c>
      <c r="H309" s="180" t="s">
        <v>332</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3" t="s">
        <v>332</v>
      </c>
      <c r="AR309" s="5"/>
      <c r="AS309" s="5"/>
      <c r="AT309" s="5"/>
      <c r="AU309" s="5"/>
      <c r="AV309" s="5"/>
      <c r="AW309" s="5"/>
      <c r="AX309" s="284"/>
      <c r="AY309" s="5"/>
      <c r="AZ309" s="5"/>
      <c r="BA309" s="230"/>
      <c r="BB309" s="5"/>
      <c r="BC309" s="232" t="s">
        <v>332</v>
      </c>
      <c r="BD309" s="259"/>
      <c r="BE309" s="249"/>
      <c r="BF309" s="249"/>
      <c r="BG309" s="249"/>
      <c r="BH309" s="249"/>
      <c r="BI309" s="249"/>
      <c r="BJ309" s="249"/>
      <c r="BK309" s="249"/>
      <c r="BL309" s="249"/>
      <c r="BM309" s="249"/>
      <c r="BN309" s="249"/>
      <c r="BO309" s="249"/>
      <c r="BP309" s="249"/>
      <c r="BQ309" s="249"/>
      <c r="BR309" s="249"/>
      <c r="BS309" s="249"/>
      <c r="BT309" s="249"/>
      <c r="BU309" s="249"/>
      <c r="BV309" s="249"/>
      <c r="BW309" s="249"/>
      <c r="BX309" s="249"/>
      <c r="BY309" s="249"/>
      <c r="BZ309" s="249"/>
      <c r="CA309" s="249"/>
      <c r="CB309" s="249"/>
      <c r="CC309" s="249"/>
      <c r="CD309" s="249"/>
      <c r="CE309" s="249"/>
    </row>
    <row r="310" spans="1:83" s="84" customFormat="1" ht="12.95" customHeight="1">
      <c r="A310" s="1"/>
      <c r="B310" s="1"/>
      <c r="C310" s="79" t="s">
        <v>220</v>
      </c>
      <c r="D310" s="52" t="s">
        <v>2422</v>
      </c>
      <c r="E310" s="52" t="s">
        <v>2423</v>
      </c>
      <c r="F310" s="53" t="s">
        <v>221</v>
      </c>
      <c r="G310" s="179" t="s">
        <v>1429</v>
      </c>
      <c r="H310" s="180" t="s">
        <v>220</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3" t="s">
        <v>220</v>
      </c>
      <c r="AR310" s="5"/>
      <c r="AS310" s="5"/>
      <c r="AT310" s="5"/>
      <c r="AU310" s="5"/>
      <c r="AV310" s="5"/>
      <c r="AW310" s="5"/>
      <c r="AX310" s="284"/>
      <c r="AY310" s="5">
        <v>453</v>
      </c>
      <c r="AZ310" s="5"/>
      <c r="BA310" s="230"/>
      <c r="BB310" s="5"/>
      <c r="BC310" s="232"/>
      <c r="BD310" s="263"/>
      <c r="BE310" s="249"/>
      <c r="BF310" s="249"/>
      <c r="BG310" s="249"/>
      <c r="BH310" s="249"/>
      <c r="BI310" s="249"/>
      <c r="BJ310" s="249"/>
      <c r="BK310" s="249"/>
      <c r="BL310" s="249"/>
      <c r="BM310" s="249"/>
      <c r="BN310" s="249"/>
      <c r="BO310" s="249"/>
      <c r="BP310" s="249"/>
      <c r="BQ310" s="249"/>
      <c r="BR310" s="249"/>
      <c r="BS310" s="249"/>
      <c r="BT310" s="249"/>
      <c r="BU310" s="249"/>
      <c r="BV310" s="249"/>
      <c r="BW310" s="249"/>
      <c r="BX310" s="249"/>
      <c r="BY310" s="249"/>
      <c r="BZ310" s="249"/>
      <c r="CA310" s="249"/>
      <c r="CB310" s="249"/>
      <c r="CC310" s="249"/>
      <c r="CD310" s="249"/>
      <c r="CE310" s="249"/>
    </row>
    <row r="311" spans="1:83" s="84" customFormat="1" ht="12.95" customHeight="1">
      <c r="A311" s="1"/>
      <c r="B311" s="1"/>
      <c r="C311" s="79" t="s">
        <v>222</v>
      </c>
      <c r="D311" s="52" t="s">
        <v>2426</v>
      </c>
      <c r="E311" s="52" t="s">
        <v>2427</v>
      </c>
      <c r="F311" s="53" t="s">
        <v>1320</v>
      </c>
      <c r="G311" s="179" t="s">
        <v>1429</v>
      </c>
      <c r="H311" s="180" t="s">
        <v>222</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3" t="s">
        <v>222</v>
      </c>
      <c r="AR311" s="5"/>
      <c r="AS311" s="5"/>
      <c r="AT311" s="5"/>
      <c r="AU311" s="5"/>
      <c r="AV311" s="5"/>
      <c r="AW311" s="5"/>
      <c r="AX311" s="284"/>
      <c r="AY311" s="5"/>
      <c r="AZ311" s="5">
        <v>49.9</v>
      </c>
      <c r="BA311" s="230"/>
      <c r="BB311" s="219"/>
      <c r="BC311" s="236"/>
      <c r="BD311" s="263"/>
      <c r="BE311" s="249"/>
      <c r="BF311" s="249"/>
      <c r="BG311" s="249"/>
      <c r="BH311" s="249"/>
      <c r="BI311" s="249"/>
      <c r="BJ311" s="249"/>
      <c r="BK311" s="249"/>
      <c r="BL311" s="249"/>
      <c r="BM311" s="249"/>
      <c r="BN311" s="249"/>
      <c r="BO311" s="249"/>
      <c r="BP311" s="249"/>
      <c r="BQ311" s="249"/>
      <c r="BR311" s="249"/>
      <c r="BS311" s="249"/>
      <c r="BT311" s="249"/>
      <c r="BU311" s="249"/>
      <c r="BV311" s="249"/>
      <c r="BW311" s="249"/>
      <c r="BX311" s="249"/>
      <c r="BY311" s="249"/>
      <c r="BZ311" s="249"/>
      <c r="CA311" s="249"/>
      <c r="CB311" s="249"/>
      <c r="CC311" s="249"/>
      <c r="CD311" s="249"/>
      <c r="CE311" s="249"/>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1"/>
      <c r="AR312" s="251"/>
      <c r="AS312" s="252"/>
      <c r="AT312" s="252"/>
      <c r="AU312" s="252"/>
      <c r="AV312" s="252"/>
      <c r="AW312" s="252"/>
      <c r="AX312" s="291"/>
      <c r="AY312" s="252"/>
      <c r="AZ312" s="252"/>
      <c r="BA312" s="252"/>
      <c r="BB312" s="168" t="s">
        <v>511</v>
      </c>
      <c r="BC312" s="253"/>
      <c r="BD312" s="253"/>
      <c r="BE312" s="254"/>
      <c r="BF312" s="254"/>
      <c r="BG312" s="254"/>
      <c r="BH312" s="254"/>
      <c r="BI312" s="254"/>
      <c r="BJ312" s="254"/>
      <c r="BK312" s="254"/>
      <c r="BL312" s="254"/>
      <c r="BM312" s="254"/>
      <c r="BN312" s="254"/>
      <c r="BO312" s="254"/>
      <c r="BP312" s="254"/>
      <c r="BQ312" s="254"/>
      <c r="BR312" s="254"/>
      <c r="BS312" s="254"/>
      <c r="BT312" s="254"/>
      <c r="BU312" s="254"/>
      <c r="BV312" s="254"/>
      <c r="BW312" s="254"/>
      <c r="BX312" s="254"/>
      <c r="BY312" s="254"/>
      <c r="BZ312" s="254"/>
      <c r="CA312" s="254"/>
      <c r="CB312" s="254"/>
      <c r="CC312" s="254"/>
      <c r="CD312" s="254"/>
      <c r="CE312" s="254"/>
    </row>
    <row r="313" spans="1:83" s="84" customFormat="1" ht="12.95" customHeight="1">
      <c r="A313" s="84" t="s">
        <v>3447</v>
      </c>
      <c r="B313" s="84" t="s">
        <v>3615</v>
      </c>
      <c r="C313" s="79" t="s">
        <v>1028</v>
      </c>
      <c r="D313" s="52" t="s">
        <v>2429</v>
      </c>
      <c r="E313" s="52" t="s">
        <v>2257</v>
      </c>
      <c r="F313" s="53" t="s">
        <v>1321</v>
      </c>
      <c r="G313" s="179" t="s">
        <v>1429</v>
      </c>
      <c r="H313" s="180"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29" t="s">
        <v>1028</v>
      </c>
      <c r="AR313" s="5"/>
      <c r="AS313" s="5"/>
      <c r="AT313" s="5"/>
      <c r="AU313" s="5"/>
      <c r="AV313" s="5"/>
      <c r="AW313" s="5"/>
      <c r="AX313" s="284"/>
      <c r="AY313" s="5"/>
      <c r="AZ313" s="5"/>
      <c r="BA313" s="230"/>
      <c r="BB313" s="215"/>
      <c r="BC313" s="231" t="s">
        <v>3532</v>
      </c>
      <c r="BD313" s="238"/>
      <c r="BE313" s="249"/>
      <c r="BF313" s="249"/>
      <c r="BG313" s="249"/>
      <c r="BH313" s="249"/>
      <c r="BI313" s="249"/>
      <c r="BJ313" s="249"/>
      <c r="BK313" s="249"/>
      <c r="BL313" s="249"/>
      <c r="BM313" s="249"/>
      <c r="BN313" s="249"/>
      <c r="BO313" s="249"/>
      <c r="BP313" s="249"/>
      <c r="BQ313" s="249"/>
      <c r="BR313" s="249"/>
      <c r="BS313" s="249"/>
      <c r="BT313" s="249"/>
      <c r="BU313" s="249"/>
      <c r="BV313" s="249"/>
      <c r="BW313" s="249"/>
      <c r="BX313" s="249"/>
      <c r="BY313" s="249"/>
      <c r="BZ313" s="249"/>
      <c r="CA313" s="249"/>
      <c r="CB313" s="249"/>
      <c r="CC313" s="249"/>
      <c r="CD313" s="249"/>
      <c r="CE313" s="249"/>
    </row>
    <row r="314" spans="1:83" s="84" customFormat="1" ht="12.95" customHeight="1">
      <c r="A314" s="84" t="s">
        <v>3448</v>
      </c>
      <c r="B314" s="84" t="s">
        <v>1836</v>
      </c>
      <c r="C314" s="79" t="s">
        <v>1029</v>
      </c>
      <c r="D314" s="52" t="s">
        <v>2433</v>
      </c>
      <c r="E314" s="52" t="s">
        <v>2264</v>
      </c>
      <c r="F314" s="53" t="s">
        <v>1322</v>
      </c>
      <c r="G314" s="179" t="s">
        <v>1429</v>
      </c>
      <c r="H314" s="180"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29" t="s">
        <v>1029</v>
      </c>
      <c r="AR314" s="5"/>
      <c r="AS314" s="5"/>
      <c r="AT314" s="5"/>
      <c r="AU314" s="5"/>
      <c r="AV314" s="5"/>
      <c r="AW314" s="5"/>
      <c r="AX314" s="284"/>
      <c r="AY314" s="5"/>
      <c r="AZ314" s="5"/>
      <c r="BA314" s="230"/>
      <c r="BB314" s="5"/>
      <c r="BC314" s="232" t="s">
        <v>3532</v>
      </c>
      <c r="BD314" s="238"/>
      <c r="BE314" s="249"/>
      <c r="BF314" s="249"/>
      <c r="BG314" s="249"/>
      <c r="BH314" s="249"/>
      <c r="BI314" s="249"/>
      <c r="BJ314" s="249"/>
      <c r="BK314" s="249"/>
      <c r="BL314" s="249"/>
      <c r="BM314" s="249"/>
      <c r="BN314" s="249"/>
      <c r="BO314" s="249"/>
      <c r="BP314" s="249"/>
      <c r="BQ314" s="249"/>
      <c r="BR314" s="249"/>
      <c r="BS314" s="249"/>
      <c r="BT314" s="249"/>
      <c r="BU314" s="249"/>
      <c r="BV314" s="249"/>
      <c r="BW314" s="249"/>
      <c r="BX314" s="249"/>
      <c r="BY314" s="249"/>
      <c r="BZ314" s="249"/>
      <c r="CA314" s="249"/>
      <c r="CB314" s="249"/>
      <c r="CC314" s="249"/>
      <c r="CD314" s="249"/>
      <c r="CE314" s="249"/>
    </row>
    <row r="315" spans="1:83" s="84" customFormat="1" ht="12.95" customHeight="1">
      <c r="A315" s="84" t="s">
        <v>3445</v>
      </c>
      <c r="B315" s="84" t="s">
        <v>1832</v>
      </c>
      <c r="C315" s="79" t="s">
        <v>1030</v>
      </c>
      <c r="D315" s="52" t="s">
        <v>2435</v>
      </c>
      <c r="E315" s="52" t="s">
        <v>2274</v>
      </c>
      <c r="F315" s="53" t="s">
        <v>1323</v>
      </c>
      <c r="G315" s="179" t="s">
        <v>1429</v>
      </c>
      <c r="H315" s="180"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29" t="s">
        <v>1030</v>
      </c>
      <c r="AR315" s="5"/>
      <c r="AS315" s="5"/>
      <c r="AT315" s="5"/>
      <c r="AU315" s="5"/>
      <c r="AV315" s="5"/>
      <c r="AW315" s="5"/>
      <c r="AX315" s="284"/>
      <c r="AY315" s="5"/>
      <c r="AZ315" s="5"/>
      <c r="BA315" s="230"/>
      <c r="BB315" s="5"/>
      <c r="BC315" s="232" t="s">
        <v>3532</v>
      </c>
      <c r="BD315" s="238"/>
      <c r="BE315" s="249"/>
      <c r="BF315" s="249"/>
      <c r="BG315" s="249"/>
      <c r="BH315" s="249"/>
      <c r="BI315" s="249"/>
      <c r="BJ315" s="249"/>
      <c r="BK315" s="249"/>
      <c r="BL315" s="249"/>
      <c r="BM315" s="249"/>
      <c r="BN315" s="249"/>
      <c r="BO315" s="249"/>
      <c r="BP315" s="249"/>
      <c r="BQ315" s="249"/>
      <c r="BR315" s="249"/>
      <c r="BS315" s="249"/>
      <c r="BT315" s="249"/>
      <c r="BU315" s="249"/>
      <c r="BV315" s="249"/>
      <c r="BW315" s="249"/>
      <c r="BX315" s="249"/>
      <c r="BY315" s="249"/>
      <c r="BZ315" s="249"/>
      <c r="CA315" s="249"/>
      <c r="CB315" s="249"/>
      <c r="CC315" s="249"/>
      <c r="CD315" s="249"/>
      <c r="CE315" s="249"/>
    </row>
    <row r="316" spans="1:83" s="84" customFormat="1" ht="12.95" customHeight="1">
      <c r="A316" s="84" t="s">
        <v>3446</v>
      </c>
      <c r="B316" s="84" t="s">
        <v>1850</v>
      </c>
      <c r="C316" s="79" t="s">
        <v>1031</v>
      </c>
      <c r="D316" s="52" t="s">
        <v>2437</v>
      </c>
      <c r="E316" s="52" t="s">
        <v>2254</v>
      </c>
      <c r="F316" s="53" t="s">
        <v>1324</v>
      </c>
      <c r="G316" s="179" t="s">
        <v>1429</v>
      </c>
      <c r="H316" s="180"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29" t="s">
        <v>1031</v>
      </c>
      <c r="AR316" s="5"/>
      <c r="AS316" s="5"/>
      <c r="AT316" s="5"/>
      <c r="AU316" s="5"/>
      <c r="AV316" s="5"/>
      <c r="AW316" s="5"/>
      <c r="AX316" s="284"/>
      <c r="AY316" s="5"/>
      <c r="AZ316" s="5"/>
      <c r="BA316" s="230"/>
      <c r="BB316" s="5"/>
      <c r="BC316" s="232" t="s">
        <v>3532</v>
      </c>
      <c r="BD316" s="238"/>
      <c r="BE316" s="249"/>
      <c r="BF316" s="249"/>
      <c r="BG316" s="249"/>
      <c r="BH316" s="249"/>
      <c r="BI316" s="249"/>
      <c r="BJ316" s="249"/>
      <c r="BK316" s="249"/>
      <c r="BL316" s="249"/>
      <c r="BM316" s="249"/>
      <c r="BN316" s="249"/>
      <c r="BO316" s="249"/>
      <c r="BP316" s="249"/>
      <c r="BQ316" s="249"/>
      <c r="BR316" s="249"/>
      <c r="BS316" s="249"/>
      <c r="BT316" s="249"/>
      <c r="BU316" s="249"/>
      <c r="BV316" s="249"/>
      <c r="BW316" s="249"/>
      <c r="BX316" s="249"/>
      <c r="BY316" s="249"/>
      <c r="BZ316" s="249"/>
      <c r="CA316" s="249"/>
      <c r="CB316" s="249"/>
      <c r="CC316" s="249"/>
      <c r="CD316" s="249"/>
      <c r="CE316" s="249"/>
    </row>
    <row r="317" spans="1:83" s="84" customFormat="1" ht="12.95" customHeight="1">
      <c r="A317" s="84" t="s">
        <v>3443</v>
      </c>
      <c r="B317" s="84" t="s">
        <v>2935</v>
      </c>
      <c r="C317" s="79" t="s">
        <v>1032</v>
      </c>
      <c r="D317" s="52" t="s">
        <v>2439</v>
      </c>
      <c r="E317" s="52" t="s">
        <v>2440</v>
      </c>
      <c r="F317" s="53" t="s">
        <v>1325</v>
      </c>
      <c r="G317" s="179" t="s">
        <v>1429</v>
      </c>
      <c r="H317" s="180"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29" t="s">
        <v>1032</v>
      </c>
      <c r="AR317" s="5"/>
      <c r="AS317" s="5"/>
      <c r="AT317" s="5"/>
      <c r="AU317" s="5"/>
      <c r="AV317" s="5"/>
      <c r="AW317" s="5"/>
      <c r="AX317" s="284"/>
      <c r="AY317" s="5"/>
      <c r="AZ317" s="5"/>
      <c r="BA317" s="230"/>
      <c r="BB317" s="5"/>
      <c r="BC317" s="232" t="s">
        <v>3532</v>
      </c>
      <c r="BD317" s="238"/>
      <c r="BE317" s="249"/>
      <c r="BF317" s="249"/>
      <c r="BG317" s="249"/>
      <c r="BH317" s="249"/>
      <c r="BI317" s="249"/>
      <c r="BJ317" s="249"/>
      <c r="BK317" s="249"/>
      <c r="BL317" s="249"/>
      <c r="BM317" s="249"/>
      <c r="BN317" s="249"/>
      <c r="BO317" s="249"/>
      <c r="BP317" s="249"/>
      <c r="BQ317" s="249"/>
      <c r="BR317" s="249"/>
      <c r="BS317" s="249"/>
      <c r="BT317" s="249"/>
      <c r="BU317" s="249"/>
      <c r="BV317" s="249"/>
      <c r="BW317" s="249"/>
      <c r="BX317" s="249"/>
      <c r="BY317" s="249"/>
      <c r="BZ317" s="249"/>
      <c r="CA317" s="249"/>
      <c r="CB317" s="249"/>
      <c r="CC317" s="249"/>
      <c r="CD317" s="249"/>
      <c r="CE317" s="249"/>
    </row>
    <row r="318" spans="1:83" s="84" customFormat="1" ht="12.95" customHeight="1">
      <c r="A318" s="84" t="s">
        <v>3444</v>
      </c>
      <c r="B318" s="84" t="s">
        <v>2948</v>
      </c>
      <c r="C318" s="79" t="s">
        <v>1033</v>
      </c>
      <c r="D318" s="52" t="s">
        <v>2442</v>
      </c>
      <c r="E318" s="52" t="s">
        <v>2443</v>
      </c>
      <c r="F318" s="53" t="s">
        <v>1326</v>
      </c>
      <c r="G318" s="179" t="s">
        <v>1429</v>
      </c>
      <c r="H318" s="180"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29" t="s">
        <v>1033</v>
      </c>
      <c r="AR318" s="5"/>
      <c r="AS318" s="5"/>
      <c r="AT318" s="5"/>
      <c r="AU318" s="5"/>
      <c r="AV318" s="5"/>
      <c r="AW318" s="5"/>
      <c r="AX318" s="284"/>
      <c r="AY318" s="5"/>
      <c r="AZ318" s="5"/>
      <c r="BA318" s="230"/>
      <c r="BB318" s="5"/>
      <c r="BC318" s="232" t="s">
        <v>3532</v>
      </c>
      <c r="BD318" s="238"/>
      <c r="BE318" s="249"/>
      <c r="BF318" s="249"/>
      <c r="BG318" s="249"/>
      <c r="BH318" s="249"/>
      <c r="BI318" s="249"/>
      <c r="BJ318" s="249"/>
      <c r="BK318" s="249"/>
      <c r="BL318" s="249"/>
      <c r="BM318" s="249"/>
      <c r="BN318" s="249"/>
      <c r="BO318" s="249"/>
      <c r="BP318" s="249"/>
      <c r="BQ318" s="249"/>
      <c r="BR318" s="249"/>
      <c r="BS318" s="249"/>
      <c r="BT318" s="249"/>
      <c r="BU318" s="249"/>
      <c r="BV318" s="249"/>
      <c r="BW318" s="249"/>
      <c r="BX318" s="249"/>
      <c r="BY318" s="249"/>
      <c r="BZ318" s="249"/>
      <c r="CA318" s="249"/>
      <c r="CB318" s="249"/>
      <c r="CC318" s="249"/>
      <c r="CD318" s="249"/>
      <c r="CE318" s="249"/>
    </row>
    <row r="319" spans="1:83" s="84" customFormat="1" ht="12.95" customHeight="1">
      <c r="A319" s="84" t="s">
        <v>3449</v>
      </c>
      <c r="B319" s="84" t="s">
        <v>3631</v>
      </c>
      <c r="C319" s="79" t="s">
        <v>1034</v>
      </c>
      <c r="D319" s="52" t="s">
        <v>2445</v>
      </c>
      <c r="E319" s="52" t="s">
        <v>84</v>
      </c>
      <c r="F319" s="53" t="s">
        <v>1327</v>
      </c>
      <c r="G319" s="179" t="s">
        <v>1429</v>
      </c>
      <c r="H319" s="180"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29" t="s">
        <v>1034</v>
      </c>
      <c r="AR319" s="5"/>
      <c r="AS319" s="5"/>
      <c r="AT319" s="5"/>
      <c r="AU319" s="5"/>
      <c r="AV319" s="5"/>
      <c r="AW319" s="5"/>
      <c r="AX319" s="284"/>
      <c r="AY319" s="5"/>
      <c r="AZ319" s="5"/>
      <c r="BA319" s="230"/>
      <c r="BB319" s="5"/>
      <c r="BC319" s="232" t="s">
        <v>3532</v>
      </c>
      <c r="BD319" s="238"/>
      <c r="BE319" s="249"/>
      <c r="BF319" s="249"/>
      <c r="BG319" s="249"/>
      <c r="BH319" s="249"/>
      <c r="BI319" s="249"/>
      <c r="BJ319" s="249"/>
      <c r="BK319" s="249"/>
      <c r="BL319" s="249"/>
      <c r="BM319" s="249"/>
      <c r="BN319" s="249"/>
      <c r="BO319" s="249"/>
      <c r="BP319" s="249"/>
      <c r="BQ319" s="249"/>
      <c r="BR319" s="249"/>
      <c r="BS319" s="249"/>
      <c r="BT319" s="249"/>
      <c r="BU319" s="249"/>
      <c r="BV319" s="249"/>
      <c r="BW319" s="249"/>
      <c r="BX319" s="249"/>
      <c r="BY319" s="249"/>
      <c r="BZ319" s="249"/>
      <c r="CA319" s="249"/>
      <c r="CB319" s="249"/>
      <c r="CC319" s="249"/>
      <c r="CD319" s="249"/>
      <c r="CE319" s="249"/>
    </row>
    <row r="320" spans="1:83" s="84" customFormat="1" ht="12.95" customHeight="1">
      <c r="A320" s="84" t="s">
        <v>3450</v>
      </c>
      <c r="B320" s="84" t="s">
        <v>3632</v>
      </c>
      <c r="C320" s="79" t="s">
        <v>1035</v>
      </c>
      <c r="D320" s="52" t="s">
        <v>2447</v>
      </c>
      <c r="E320" s="52" t="s">
        <v>83</v>
      </c>
      <c r="F320" s="53" t="s">
        <v>1328</v>
      </c>
      <c r="G320" s="179" t="s">
        <v>1429</v>
      </c>
      <c r="H320" s="180"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29" t="s">
        <v>1035</v>
      </c>
      <c r="AR320" s="5"/>
      <c r="AS320" s="5"/>
      <c r="AT320" s="5"/>
      <c r="AU320" s="5"/>
      <c r="AV320" s="5"/>
      <c r="AW320" s="5"/>
      <c r="AX320" s="284"/>
      <c r="AY320" s="5"/>
      <c r="AZ320" s="5"/>
      <c r="BA320" s="230"/>
      <c r="BB320" s="5"/>
      <c r="BC320" s="232" t="s">
        <v>3532</v>
      </c>
      <c r="BD320" s="238"/>
      <c r="BE320" s="249"/>
      <c r="BF320" s="249"/>
      <c r="BG320" s="249"/>
      <c r="BH320" s="249"/>
      <c r="BI320" s="249"/>
      <c r="BJ320" s="249"/>
      <c r="BK320" s="249"/>
      <c r="BL320" s="249"/>
      <c r="BM320" s="249"/>
      <c r="BN320" s="249"/>
      <c r="BO320" s="249"/>
      <c r="BP320" s="249"/>
      <c r="BQ320" s="249"/>
      <c r="BR320" s="249"/>
      <c r="BS320" s="249"/>
      <c r="BT320" s="249"/>
      <c r="BU320" s="249"/>
      <c r="BV320" s="249"/>
      <c r="BW320" s="249"/>
      <c r="BX320" s="249"/>
      <c r="BY320" s="249"/>
      <c r="BZ320" s="249"/>
      <c r="CA320" s="249"/>
      <c r="CB320" s="249"/>
      <c r="CC320" s="249"/>
      <c r="CD320" s="249"/>
      <c r="CE320" s="249"/>
    </row>
    <row r="321" spans="1:83" s="84" customFormat="1" ht="12.95" customHeight="1">
      <c r="A321" s="1"/>
      <c r="B321" s="1"/>
      <c r="C321" s="79" t="s">
        <v>1036</v>
      </c>
      <c r="D321" s="52" t="s">
        <v>2299</v>
      </c>
      <c r="E321" s="52" t="s">
        <v>2439</v>
      </c>
      <c r="F321" s="53" t="s">
        <v>1329</v>
      </c>
      <c r="G321" s="179" t="s">
        <v>1429</v>
      </c>
      <c r="H321" s="180"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3" t="s">
        <v>1036</v>
      </c>
      <c r="AR321" s="5"/>
      <c r="AS321" s="5"/>
      <c r="AT321" s="5"/>
      <c r="AU321" s="5"/>
      <c r="AV321" s="5"/>
      <c r="AW321" s="5"/>
      <c r="AX321" s="284"/>
      <c r="AY321" s="5"/>
      <c r="AZ321" s="5" t="s">
        <v>67</v>
      </c>
      <c r="BA321" s="230"/>
      <c r="BB321" s="5"/>
      <c r="BC321" s="232" t="s">
        <v>3532</v>
      </c>
      <c r="BD321" s="250"/>
      <c r="BE321" s="249"/>
      <c r="BF321" s="249"/>
      <c r="BG321" s="249"/>
      <c r="BH321" s="249"/>
      <c r="BI321" s="249"/>
      <c r="BJ321" s="249"/>
      <c r="BK321" s="249"/>
      <c r="BL321" s="249"/>
      <c r="BM321" s="249"/>
      <c r="BN321" s="249"/>
      <c r="BO321" s="249"/>
      <c r="BP321" s="249"/>
      <c r="BQ321" s="249"/>
      <c r="BR321" s="249"/>
      <c r="BS321" s="249"/>
      <c r="BT321" s="249"/>
      <c r="BU321" s="249"/>
      <c r="BV321" s="249"/>
      <c r="BW321" s="249"/>
      <c r="BX321" s="249"/>
      <c r="BY321" s="249"/>
      <c r="BZ321" s="249"/>
      <c r="CA321" s="249"/>
      <c r="CB321" s="249"/>
      <c r="CC321" s="249"/>
      <c r="CD321" s="249"/>
      <c r="CE321" s="249"/>
    </row>
    <row r="322" spans="1:83" s="84" customFormat="1" ht="12.95" customHeight="1">
      <c r="A322" s="1"/>
      <c r="B322" s="1"/>
      <c r="C322" s="79" t="s">
        <v>1037</v>
      </c>
      <c r="D322" s="52" t="s">
        <v>2450</v>
      </c>
      <c r="E322" s="52" t="s">
        <v>2251</v>
      </c>
      <c r="F322" s="53" t="s">
        <v>1330</v>
      </c>
      <c r="G322" s="179" t="s">
        <v>1429</v>
      </c>
      <c r="H322" s="180"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3" t="s">
        <v>1037</v>
      </c>
      <c r="AR322" s="5"/>
      <c r="AS322" s="5"/>
      <c r="AT322" s="5"/>
      <c r="AU322" s="5"/>
      <c r="AV322" s="5"/>
      <c r="AW322" s="5"/>
      <c r="AX322" s="284"/>
      <c r="AY322" s="5"/>
      <c r="AZ322" s="5" t="s">
        <v>67</v>
      </c>
      <c r="BA322" s="230"/>
      <c r="BB322" s="5"/>
      <c r="BC322" s="232" t="s">
        <v>3532</v>
      </c>
      <c r="BD322" s="250"/>
      <c r="BE322" s="249"/>
      <c r="BF322" s="249"/>
      <c r="BG322" s="249"/>
      <c r="BH322" s="249"/>
      <c r="BI322" s="249"/>
      <c r="BJ322" s="249"/>
      <c r="BK322" s="249"/>
      <c r="BL322" s="249"/>
      <c r="BM322" s="249"/>
      <c r="BN322" s="249"/>
      <c r="BO322" s="249"/>
      <c r="BP322" s="249"/>
      <c r="BQ322" s="249"/>
      <c r="BR322" s="249"/>
      <c r="BS322" s="249"/>
      <c r="BT322" s="249"/>
      <c r="BU322" s="249"/>
      <c r="BV322" s="249"/>
      <c r="BW322" s="249"/>
      <c r="BX322" s="249"/>
      <c r="BY322" s="249"/>
      <c r="BZ322" s="249"/>
      <c r="CA322" s="249"/>
      <c r="CB322" s="249"/>
      <c r="CC322" s="249"/>
      <c r="CD322" s="249"/>
      <c r="CE322" s="249"/>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1"/>
      <c r="AR323" s="251"/>
      <c r="AS323" s="252"/>
      <c r="AT323" s="252"/>
      <c r="AU323" s="252"/>
      <c r="AV323" s="252"/>
      <c r="AW323" s="252"/>
      <c r="AX323" s="291"/>
      <c r="AY323" s="252"/>
      <c r="AZ323" s="252"/>
      <c r="BA323" s="252"/>
      <c r="BB323" s="168" t="s">
        <v>511</v>
      </c>
      <c r="BC323" s="253"/>
      <c r="BD323" s="253"/>
      <c r="BE323" s="254"/>
      <c r="BF323" s="254"/>
      <c r="BG323" s="254"/>
      <c r="BH323" s="254"/>
      <c r="BI323" s="254"/>
      <c r="BJ323" s="254"/>
      <c r="BK323" s="254"/>
      <c r="BL323" s="254"/>
      <c r="BM323" s="254"/>
      <c r="BN323" s="254"/>
      <c r="BO323" s="254"/>
      <c r="BP323" s="254"/>
      <c r="BQ323" s="254"/>
      <c r="BR323" s="254"/>
      <c r="BS323" s="254"/>
      <c r="BT323" s="254"/>
      <c r="BU323" s="254"/>
      <c r="BV323" s="254"/>
      <c r="BW323" s="254"/>
      <c r="BX323" s="254"/>
      <c r="BY323" s="254"/>
      <c r="BZ323" s="254"/>
      <c r="CA323" s="254"/>
      <c r="CB323" s="254"/>
      <c r="CC323" s="254"/>
      <c r="CD323" s="254"/>
      <c r="CE323" s="254"/>
    </row>
    <row r="324" spans="1:83" s="84" customFormat="1" ht="12.95" customHeight="1">
      <c r="A324" s="84" t="s">
        <v>3439</v>
      </c>
      <c r="B324" s="84" t="s">
        <v>1611</v>
      </c>
      <c r="C324" s="79" t="s">
        <v>1039</v>
      </c>
      <c r="D324" s="52" t="s">
        <v>2452</v>
      </c>
      <c r="E324" s="52" t="s">
        <v>2453</v>
      </c>
      <c r="F324" s="53" t="s">
        <v>1331</v>
      </c>
      <c r="G324" s="179" t="s">
        <v>1429</v>
      </c>
      <c r="H324" s="180"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29" t="s">
        <v>1039</v>
      </c>
      <c r="AR324" s="5"/>
      <c r="AS324" s="5"/>
      <c r="AT324" s="5"/>
      <c r="AU324" s="5"/>
      <c r="AV324" s="5"/>
      <c r="AW324" s="5"/>
      <c r="AX324" s="284"/>
      <c r="AY324" s="5"/>
      <c r="AZ324" s="5"/>
      <c r="BA324" s="230"/>
      <c r="BB324" s="215"/>
      <c r="BC324" s="231" t="s">
        <v>3533</v>
      </c>
      <c r="BD324" s="238"/>
      <c r="BE324" s="249"/>
      <c r="BF324" s="249"/>
      <c r="BG324" s="249"/>
      <c r="BH324" s="249"/>
      <c r="BI324" s="249"/>
      <c r="BJ324" s="249"/>
      <c r="BK324" s="249"/>
      <c r="BL324" s="249"/>
      <c r="BM324" s="249"/>
      <c r="BN324" s="249"/>
      <c r="BO324" s="249"/>
      <c r="BP324" s="249"/>
      <c r="BQ324" s="249"/>
      <c r="BR324" s="249"/>
      <c r="BS324" s="249"/>
      <c r="BT324" s="249"/>
      <c r="BU324" s="249"/>
      <c r="BV324" s="249"/>
      <c r="BW324" s="249"/>
      <c r="BX324" s="249"/>
      <c r="BY324" s="249"/>
      <c r="BZ324" s="249"/>
      <c r="CA324" s="249"/>
      <c r="CB324" s="249"/>
      <c r="CC324" s="249"/>
      <c r="CD324" s="249"/>
      <c r="CE324" s="249"/>
    </row>
    <row r="325" spans="1:83" s="84" customFormat="1" ht="12.95" customHeight="1">
      <c r="A325" s="84" t="s">
        <v>3440</v>
      </c>
      <c r="B325" s="84" t="s">
        <v>1886</v>
      </c>
      <c r="C325" s="79" t="s">
        <v>1040</v>
      </c>
      <c r="D325" s="52" t="s">
        <v>2293</v>
      </c>
      <c r="E325" s="52" t="s">
        <v>2456</v>
      </c>
      <c r="F325" s="53" t="s">
        <v>1332</v>
      </c>
      <c r="G325" s="179" t="s">
        <v>1429</v>
      </c>
      <c r="H325" s="180"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29" t="s">
        <v>1040</v>
      </c>
      <c r="AR325" s="5"/>
      <c r="AS325" s="5"/>
      <c r="AT325" s="5"/>
      <c r="AU325" s="5"/>
      <c r="AV325" s="5"/>
      <c r="AW325" s="5"/>
      <c r="AX325" s="284"/>
      <c r="AY325" s="5"/>
      <c r="AZ325" s="5"/>
      <c r="BA325" s="230"/>
      <c r="BB325" s="5"/>
      <c r="BC325" s="232" t="s">
        <v>3533</v>
      </c>
      <c r="BD325" s="238"/>
      <c r="BE325" s="249"/>
      <c r="BF325" s="249"/>
      <c r="BG325" s="249"/>
      <c r="BH325" s="249"/>
      <c r="BI325" s="249"/>
      <c r="BJ325" s="249"/>
      <c r="BK325" s="249"/>
      <c r="BL325" s="249"/>
      <c r="BM325" s="249"/>
      <c r="BN325" s="249"/>
      <c r="BO325" s="249"/>
      <c r="BP325" s="249"/>
      <c r="BQ325" s="249"/>
      <c r="BR325" s="249"/>
      <c r="BS325" s="249"/>
      <c r="BT325" s="249"/>
      <c r="BU325" s="249"/>
      <c r="BV325" s="249"/>
      <c r="BW325" s="249"/>
      <c r="BX325" s="249"/>
      <c r="BY325" s="249"/>
      <c r="BZ325" s="249"/>
      <c r="CA325" s="249"/>
      <c r="CB325" s="249"/>
      <c r="CC325" s="249"/>
      <c r="CD325" s="249"/>
      <c r="CE325" s="249"/>
    </row>
    <row r="326" spans="1:83" s="84" customFormat="1" ht="12.95" customHeight="1">
      <c r="A326" s="84" t="s">
        <v>3437</v>
      </c>
      <c r="B326" s="84" t="s">
        <v>1578</v>
      </c>
      <c r="C326" s="79" t="s">
        <v>1041</v>
      </c>
      <c r="D326" s="52" t="s">
        <v>2458</v>
      </c>
      <c r="E326" s="52" t="s">
        <v>2450</v>
      </c>
      <c r="F326" s="53" t="s">
        <v>1333</v>
      </c>
      <c r="G326" s="179" t="s">
        <v>1429</v>
      </c>
      <c r="H326" s="180"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29" t="s">
        <v>1041</v>
      </c>
      <c r="AR326" s="5"/>
      <c r="AS326" s="5"/>
      <c r="AT326" s="5"/>
      <c r="AU326" s="5"/>
      <c r="AV326" s="5"/>
      <c r="AW326" s="5"/>
      <c r="AX326" s="284"/>
      <c r="AY326" s="5"/>
      <c r="AZ326" s="5"/>
      <c r="BA326" s="230"/>
      <c r="BB326" s="5"/>
      <c r="BC326" s="232" t="s">
        <v>3533</v>
      </c>
      <c r="BD326" s="238"/>
      <c r="BE326" s="249"/>
      <c r="BF326" s="249"/>
      <c r="BG326" s="249"/>
      <c r="BH326" s="249"/>
      <c r="BI326" s="249"/>
      <c r="BJ326" s="249"/>
      <c r="BK326" s="249"/>
      <c r="BL326" s="249"/>
      <c r="BM326" s="249"/>
      <c r="BN326" s="249"/>
      <c r="BO326" s="249"/>
      <c r="BP326" s="249"/>
      <c r="BQ326" s="249"/>
      <c r="BR326" s="249"/>
      <c r="BS326" s="249"/>
      <c r="BT326" s="249"/>
      <c r="BU326" s="249"/>
      <c r="BV326" s="249"/>
      <c r="BW326" s="249"/>
      <c r="BX326" s="249"/>
      <c r="BY326" s="249"/>
      <c r="BZ326" s="249"/>
      <c r="CA326" s="249"/>
      <c r="CB326" s="249"/>
      <c r="CC326" s="249"/>
      <c r="CD326" s="249"/>
      <c r="CE326" s="249"/>
    </row>
    <row r="327" spans="1:83" s="84" customFormat="1" ht="12.95" customHeight="1">
      <c r="A327" s="84" t="s">
        <v>3438</v>
      </c>
      <c r="B327" s="84" t="s">
        <v>1619</v>
      </c>
      <c r="C327" s="79" t="s">
        <v>1042</v>
      </c>
      <c r="D327" s="52" t="s">
        <v>2460</v>
      </c>
      <c r="E327" s="52" t="s">
        <v>2461</v>
      </c>
      <c r="F327" s="53" t="s">
        <v>1334</v>
      </c>
      <c r="G327" s="179" t="s">
        <v>1429</v>
      </c>
      <c r="H327" s="180"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29" t="s">
        <v>1042</v>
      </c>
      <c r="AR327" s="5"/>
      <c r="AS327" s="5"/>
      <c r="AT327" s="5"/>
      <c r="AU327" s="5"/>
      <c r="AV327" s="5"/>
      <c r="AW327" s="5"/>
      <c r="AX327" s="284"/>
      <c r="AY327" s="5"/>
      <c r="AZ327" s="5"/>
      <c r="BA327" s="230"/>
      <c r="BB327" s="5"/>
      <c r="BC327" s="232" t="s">
        <v>3533</v>
      </c>
      <c r="BD327" s="238"/>
      <c r="BE327" s="249"/>
      <c r="BF327" s="249"/>
      <c r="BG327" s="249"/>
      <c r="BH327" s="249"/>
      <c r="BI327" s="249"/>
      <c r="BJ327" s="249"/>
      <c r="BK327" s="249"/>
      <c r="BL327" s="249"/>
      <c r="BM327" s="249"/>
      <c r="BN327" s="249"/>
      <c r="BO327" s="249"/>
      <c r="BP327" s="249"/>
      <c r="BQ327" s="249"/>
      <c r="BR327" s="249"/>
      <c r="BS327" s="249"/>
      <c r="BT327" s="249"/>
      <c r="BU327" s="249"/>
      <c r="BV327" s="249"/>
      <c r="BW327" s="249"/>
      <c r="BX327" s="249"/>
      <c r="BY327" s="249"/>
      <c r="BZ327" s="249"/>
      <c r="CA327" s="249"/>
      <c r="CB327" s="249"/>
      <c r="CC327" s="249"/>
      <c r="CD327" s="249"/>
      <c r="CE327" s="249"/>
    </row>
    <row r="328" spans="1:83" s="84" customFormat="1" ht="12.95" customHeight="1">
      <c r="A328" s="84" t="s">
        <v>3435</v>
      </c>
      <c r="B328" s="84" t="s">
        <v>3592</v>
      </c>
      <c r="C328" s="79" t="s">
        <v>1043</v>
      </c>
      <c r="D328" s="52" t="s">
        <v>2463</v>
      </c>
      <c r="E328" s="52" t="s">
        <v>2433</v>
      </c>
      <c r="F328" s="53" t="s">
        <v>1335</v>
      </c>
      <c r="G328" s="179" t="s">
        <v>1429</v>
      </c>
      <c r="H328" s="180"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29" t="s">
        <v>1043</v>
      </c>
      <c r="AR328" s="5"/>
      <c r="AS328" s="5"/>
      <c r="AT328" s="5"/>
      <c r="AU328" s="5"/>
      <c r="AV328" s="5"/>
      <c r="AW328" s="5"/>
      <c r="AX328" s="284"/>
      <c r="AY328" s="5"/>
      <c r="AZ328" s="5"/>
      <c r="BA328" s="230"/>
      <c r="BB328" s="5"/>
      <c r="BC328" s="232" t="s">
        <v>3533</v>
      </c>
      <c r="BD328" s="238"/>
      <c r="BE328" s="249"/>
      <c r="BF328" s="249"/>
      <c r="BG328" s="249"/>
      <c r="BH328" s="249"/>
      <c r="BI328" s="249"/>
      <c r="BJ328" s="249"/>
      <c r="BK328" s="249"/>
      <c r="BL328" s="249"/>
      <c r="BM328" s="249"/>
      <c r="BN328" s="249"/>
      <c r="BO328" s="249"/>
      <c r="BP328" s="249"/>
      <c r="BQ328" s="249"/>
      <c r="BR328" s="249"/>
      <c r="BS328" s="249"/>
      <c r="BT328" s="249"/>
      <c r="BU328" s="249"/>
      <c r="BV328" s="249"/>
      <c r="BW328" s="249"/>
      <c r="BX328" s="249"/>
      <c r="BY328" s="249"/>
      <c r="BZ328" s="249"/>
      <c r="CA328" s="249"/>
      <c r="CB328" s="249"/>
      <c r="CC328" s="249"/>
      <c r="CD328" s="249"/>
      <c r="CE328" s="249"/>
    </row>
    <row r="329" spans="1:83" s="84" customFormat="1" ht="12.95" customHeight="1">
      <c r="A329" s="84" t="s">
        <v>3436</v>
      </c>
      <c r="B329" s="84" t="s">
        <v>3591</v>
      </c>
      <c r="C329" s="79" t="s">
        <v>1044</v>
      </c>
      <c r="D329" s="52" t="s">
        <v>2302</v>
      </c>
      <c r="E329" s="52" t="s">
        <v>2465</v>
      </c>
      <c r="F329" s="53" t="s">
        <v>1336</v>
      </c>
      <c r="G329" s="179" t="s">
        <v>1429</v>
      </c>
      <c r="H329" s="180"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29" t="s">
        <v>1044</v>
      </c>
      <c r="AR329" s="5"/>
      <c r="AS329" s="5"/>
      <c r="AT329" s="5"/>
      <c r="AU329" s="5"/>
      <c r="AV329" s="5"/>
      <c r="AW329" s="5"/>
      <c r="AX329" s="284"/>
      <c r="AY329" s="5"/>
      <c r="AZ329" s="5"/>
      <c r="BA329" s="230"/>
      <c r="BB329" s="5"/>
      <c r="BC329" s="232" t="s">
        <v>3533</v>
      </c>
      <c r="BD329" s="238"/>
      <c r="BE329" s="249"/>
      <c r="BF329" s="249"/>
      <c r="BG329" s="249"/>
      <c r="BH329" s="249"/>
      <c r="BI329" s="249"/>
      <c r="BJ329" s="249"/>
      <c r="BK329" s="249"/>
      <c r="BL329" s="249"/>
      <c r="BM329" s="249"/>
      <c r="BN329" s="249"/>
      <c r="BO329" s="249"/>
      <c r="BP329" s="249"/>
      <c r="BQ329" s="249"/>
      <c r="BR329" s="249"/>
      <c r="BS329" s="249"/>
      <c r="BT329" s="249"/>
      <c r="BU329" s="249"/>
      <c r="BV329" s="249"/>
      <c r="BW329" s="249"/>
      <c r="BX329" s="249"/>
      <c r="BY329" s="249"/>
      <c r="BZ329" s="249"/>
      <c r="CA329" s="249"/>
      <c r="CB329" s="249"/>
      <c r="CC329" s="249"/>
      <c r="CD329" s="249"/>
      <c r="CE329" s="249"/>
    </row>
    <row r="330" spans="1:83" s="84" customFormat="1" ht="12.95" customHeight="1">
      <c r="A330" s="84" t="s">
        <v>3441</v>
      </c>
      <c r="B330" s="84" t="s">
        <v>1885</v>
      </c>
      <c r="C330" s="79" t="s">
        <v>1045</v>
      </c>
      <c r="D330" s="52" t="s">
        <v>2288</v>
      </c>
      <c r="E330" s="52" t="s">
        <v>2463</v>
      </c>
      <c r="F330" s="53" t="s">
        <v>1337</v>
      </c>
      <c r="G330" s="179" t="s">
        <v>1429</v>
      </c>
      <c r="H330" s="180"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29" t="s">
        <v>1045</v>
      </c>
      <c r="AR330" s="5"/>
      <c r="AS330" s="5"/>
      <c r="AT330" s="5"/>
      <c r="AU330" s="5"/>
      <c r="AV330" s="5"/>
      <c r="AW330" s="5"/>
      <c r="AX330" s="284"/>
      <c r="AY330" s="5"/>
      <c r="AZ330" s="5"/>
      <c r="BA330" s="230"/>
      <c r="BB330" s="5"/>
      <c r="BC330" s="232" t="s">
        <v>3533</v>
      </c>
      <c r="BD330" s="238"/>
      <c r="BE330" s="249"/>
      <c r="BF330" s="249"/>
      <c r="BG330" s="249"/>
      <c r="BH330" s="249"/>
      <c r="BI330" s="249"/>
      <c r="BJ330" s="249"/>
      <c r="BK330" s="249"/>
      <c r="BL330" s="249"/>
      <c r="BM330" s="249"/>
      <c r="BN330" s="249"/>
      <c r="BO330" s="249"/>
      <c r="BP330" s="249"/>
      <c r="BQ330" s="249"/>
      <c r="BR330" s="249"/>
      <c r="BS330" s="249"/>
      <c r="BT330" s="249"/>
      <c r="BU330" s="249"/>
      <c r="BV330" s="249"/>
      <c r="BW330" s="249"/>
      <c r="BX330" s="249"/>
      <c r="BY330" s="249"/>
      <c r="BZ330" s="249"/>
      <c r="CA330" s="249"/>
      <c r="CB330" s="249"/>
      <c r="CC330" s="249"/>
      <c r="CD330" s="249"/>
      <c r="CE330" s="249"/>
    </row>
    <row r="331" spans="1:83" s="84" customFormat="1" ht="12.95" customHeight="1">
      <c r="A331" s="84" t="s">
        <v>3442</v>
      </c>
      <c r="B331" s="84" t="s">
        <v>1602</v>
      </c>
      <c r="C331" s="79" t="s">
        <v>1046</v>
      </c>
      <c r="D331" s="52" t="s">
        <v>2305</v>
      </c>
      <c r="E331" s="52" t="s">
        <v>2460</v>
      </c>
      <c r="F331" s="53" t="s">
        <v>1338</v>
      </c>
      <c r="G331" s="179" t="s">
        <v>1429</v>
      </c>
      <c r="H331" s="180"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4" t="s">
        <v>1046</v>
      </c>
      <c r="AR331" s="5"/>
      <c r="AS331" s="5"/>
      <c r="AT331" s="5"/>
      <c r="AU331" s="5"/>
      <c r="AV331" s="5"/>
      <c r="AW331" s="5"/>
      <c r="AX331" s="284"/>
      <c r="AY331" s="5"/>
      <c r="AZ331" s="5"/>
      <c r="BA331" s="230"/>
      <c r="BB331" s="5"/>
      <c r="BC331" s="232" t="s">
        <v>3533</v>
      </c>
      <c r="BD331" s="238"/>
      <c r="BE331" s="249"/>
      <c r="BF331" s="249"/>
      <c r="BG331" s="249"/>
      <c r="BH331" s="249"/>
      <c r="BI331" s="249"/>
      <c r="BJ331" s="249"/>
      <c r="BK331" s="249"/>
      <c r="BL331" s="249"/>
      <c r="BM331" s="249"/>
      <c r="BN331" s="249"/>
      <c r="BO331" s="249"/>
      <c r="BP331" s="249"/>
      <c r="BQ331" s="249"/>
      <c r="BR331" s="249"/>
      <c r="BS331" s="249"/>
      <c r="BT331" s="249"/>
      <c r="BU331" s="249"/>
      <c r="BV331" s="249"/>
      <c r="BW331" s="249"/>
      <c r="BX331" s="249"/>
      <c r="BY331" s="249"/>
      <c r="BZ331" s="249"/>
      <c r="CA331" s="249"/>
      <c r="CB331" s="249"/>
      <c r="CC331" s="249"/>
      <c r="CD331" s="249"/>
      <c r="CE331" s="249"/>
    </row>
    <row r="332" spans="1:83" s="84" customFormat="1" ht="12.95" customHeight="1">
      <c r="A332" s="1"/>
      <c r="B332" s="1"/>
      <c r="C332" s="79" t="s">
        <v>1047</v>
      </c>
      <c r="D332" s="52" t="s">
        <v>2296</v>
      </c>
      <c r="E332" s="52" t="s">
        <v>2452</v>
      </c>
      <c r="F332" s="53" t="s">
        <v>1339</v>
      </c>
      <c r="G332" s="179" t="s">
        <v>1429</v>
      </c>
      <c r="H332" s="180"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5" t="s">
        <v>1047</v>
      </c>
      <c r="AR332" s="5"/>
      <c r="AS332" s="5"/>
      <c r="AT332" s="5"/>
      <c r="AU332" s="5"/>
      <c r="AV332" s="5"/>
      <c r="AW332" s="5"/>
      <c r="AX332" s="284"/>
      <c r="AY332" s="5"/>
      <c r="AZ332" s="5" t="s">
        <v>67</v>
      </c>
      <c r="BA332" s="230"/>
      <c r="BB332" s="5"/>
      <c r="BC332" s="232" t="s">
        <v>3533</v>
      </c>
      <c r="BD332" s="264"/>
      <c r="BE332" s="249"/>
      <c r="BF332" s="249"/>
      <c r="BG332" s="249"/>
      <c r="BH332" s="249"/>
      <c r="BI332" s="249"/>
      <c r="BJ332" s="249"/>
      <c r="BK332" s="249"/>
      <c r="BL332" s="249"/>
      <c r="BM332" s="249"/>
      <c r="BN332" s="249"/>
      <c r="BO332" s="249"/>
      <c r="BP332" s="249"/>
      <c r="BQ332" s="249"/>
      <c r="BR332" s="249"/>
      <c r="BS332" s="249"/>
      <c r="BT332" s="249"/>
      <c r="BU332" s="249"/>
      <c r="BV332" s="249"/>
      <c r="BW332" s="249"/>
      <c r="BX332" s="249"/>
      <c r="BY332" s="249"/>
      <c r="BZ332" s="249"/>
      <c r="CA332" s="249"/>
      <c r="CB332" s="249"/>
      <c r="CC332" s="249"/>
      <c r="CD332" s="249"/>
      <c r="CE332" s="249"/>
    </row>
    <row r="333" spans="1:83" s="84" customFormat="1" ht="12.95" customHeight="1">
      <c r="A333" s="1"/>
      <c r="B333" s="1"/>
      <c r="C333" s="79" t="s">
        <v>1048</v>
      </c>
      <c r="D333" s="52" t="s">
        <v>2470</v>
      </c>
      <c r="E333" s="52" t="s">
        <v>2442</v>
      </c>
      <c r="F333" s="53" t="s">
        <v>1340</v>
      </c>
      <c r="G333" s="179" t="s">
        <v>1429</v>
      </c>
      <c r="H333" s="180"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3" t="s">
        <v>1048</v>
      </c>
      <c r="AR333" s="5"/>
      <c r="AS333" s="5"/>
      <c r="AT333" s="5"/>
      <c r="AU333" s="5"/>
      <c r="AV333" s="5"/>
      <c r="AW333" s="5"/>
      <c r="AX333" s="284"/>
      <c r="AY333" s="5"/>
      <c r="AZ333" s="5"/>
      <c r="BA333" s="230"/>
      <c r="BB333" s="219"/>
      <c r="BC333" s="236" t="s">
        <v>3533</v>
      </c>
      <c r="BD333" s="265"/>
      <c r="BE333" s="249"/>
      <c r="BF333" s="249"/>
      <c r="BG333" s="249"/>
      <c r="BH333" s="249"/>
      <c r="BI333" s="249"/>
      <c r="BJ333" s="249"/>
      <c r="BK333" s="249"/>
      <c r="BL333" s="249"/>
      <c r="BM333" s="249"/>
      <c r="BN333" s="249"/>
      <c r="BO333" s="249"/>
      <c r="BP333" s="249"/>
      <c r="BQ333" s="249"/>
      <c r="BR333" s="249"/>
      <c r="BS333" s="249"/>
      <c r="BT333" s="249"/>
      <c r="BU333" s="249"/>
      <c r="BV333" s="249"/>
      <c r="BW333" s="249"/>
      <c r="BX333" s="249"/>
      <c r="BY333" s="249"/>
      <c r="BZ333" s="249"/>
      <c r="CA333" s="249"/>
      <c r="CB333" s="249"/>
      <c r="CC333" s="249"/>
      <c r="CD333" s="249"/>
      <c r="CE333" s="249"/>
    </row>
    <row r="334" spans="1:83" s="94" customFormat="1" ht="18" customHeight="1">
      <c r="A334" s="88" t="s">
        <v>224</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1"/>
      <c r="AR334" s="251"/>
      <c r="AS334" s="252"/>
      <c r="AT334" s="252"/>
      <c r="AU334" s="252"/>
      <c r="AV334" s="252"/>
      <c r="AW334" s="252"/>
      <c r="AX334" s="291"/>
      <c r="AY334" s="252"/>
      <c r="AZ334" s="252"/>
      <c r="BA334" s="252"/>
      <c r="BB334" s="168" t="s">
        <v>286</v>
      </c>
      <c r="BC334" s="253"/>
      <c r="BD334" s="253"/>
      <c r="BE334" s="254"/>
      <c r="BF334" s="254"/>
      <c r="BG334" s="254"/>
      <c r="BH334" s="254"/>
      <c r="BI334" s="254"/>
      <c r="BJ334" s="254"/>
      <c r="BK334" s="254"/>
      <c r="BL334" s="254"/>
      <c r="BM334" s="254"/>
      <c r="BN334" s="254"/>
      <c r="BO334" s="254"/>
      <c r="BP334" s="254"/>
      <c r="BQ334" s="254"/>
      <c r="BR334" s="254"/>
      <c r="BS334" s="254"/>
      <c r="BT334" s="254"/>
      <c r="BU334" s="254"/>
      <c r="BV334" s="254"/>
      <c r="BW334" s="254"/>
      <c r="BX334" s="254"/>
      <c r="BY334" s="254"/>
      <c r="BZ334" s="254"/>
      <c r="CA334" s="254"/>
      <c r="CB334" s="254"/>
      <c r="CC334" s="254"/>
      <c r="CD334" s="254"/>
      <c r="CE334" s="254"/>
    </row>
    <row r="335" spans="1:83" s="84" customFormat="1" ht="12.95" customHeight="1">
      <c r="A335" s="1"/>
      <c r="B335" s="1"/>
      <c r="C335" s="79" t="s">
        <v>1049</v>
      </c>
      <c r="D335" s="52" t="s">
        <v>2472</v>
      </c>
      <c r="E335" s="52" t="s">
        <v>2473</v>
      </c>
      <c r="F335" s="53" t="s">
        <v>1341</v>
      </c>
      <c r="G335" s="179" t="s">
        <v>1429</v>
      </c>
      <c r="H335" s="180"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5" t="s">
        <v>1341</v>
      </c>
      <c r="AR335" s="5"/>
      <c r="AS335" s="5"/>
      <c r="AT335" s="5"/>
      <c r="AU335" s="5"/>
      <c r="AV335" s="5"/>
      <c r="AW335" s="5"/>
      <c r="AX335" s="284"/>
      <c r="AY335" s="5"/>
      <c r="AZ335" s="5"/>
      <c r="BA335" s="230"/>
      <c r="BB335" s="5"/>
      <c r="BC335" s="232" t="s">
        <v>3534</v>
      </c>
      <c r="BD335" s="256"/>
      <c r="BE335" s="249"/>
      <c r="BF335" s="249"/>
      <c r="BG335" s="249"/>
      <c r="BH335" s="249"/>
      <c r="BI335" s="249"/>
      <c r="BJ335" s="249"/>
      <c r="BK335" s="249"/>
      <c r="BL335" s="249"/>
      <c r="BM335" s="249"/>
      <c r="BN335" s="249"/>
      <c r="BO335" s="249"/>
      <c r="BP335" s="249"/>
      <c r="BQ335" s="249"/>
      <c r="BR335" s="249"/>
      <c r="BS335" s="249"/>
      <c r="BT335" s="249"/>
      <c r="BU335" s="249"/>
      <c r="BV335" s="249"/>
      <c r="BW335" s="249"/>
      <c r="BX335" s="249"/>
      <c r="BY335" s="249"/>
      <c r="BZ335" s="249"/>
      <c r="CA335" s="249"/>
      <c r="CB335" s="249"/>
      <c r="CC335" s="249"/>
      <c r="CD335" s="249"/>
      <c r="CE335" s="249"/>
    </row>
    <row r="336" spans="1:83" s="84" customFormat="1" ht="12.95" customHeight="1">
      <c r="A336" s="1"/>
      <c r="B336" s="1"/>
      <c r="C336" s="79" t="s">
        <v>1061</v>
      </c>
      <c r="D336" s="52" t="s">
        <v>2477</v>
      </c>
      <c r="E336" s="52" t="s">
        <v>2478</v>
      </c>
      <c r="F336" s="53" t="s">
        <v>1342</v>
      </c>
      <c r="G336" s="179" t="s">
        <v>1429</v>
      </c>
      <c r="H336" s="180"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3" t="s">
        <v>1342</v>
      </c>
      <c r="AR336" s="5"/>
      <c r="AS336" s="5"/>
      <c r="AT336" s="5"/>
      <c r="AU336" s="5"/>
      <c r="AV336" s="5"/>
      <c r="AW336" s="5"/>
      <c r="AX336" s="284"/>
      <c r="AY336" s="5"/>
      <c r="AZ336" s="5"/>
      <c r="BA336" s="230"/>
      <c r="BB336" s="5"/>
      <c r="BC336" s="232" t="s">
        <v>3534</v>
      </c>
      <c r="BD336" s="257"/>
      <c r="BE336" s="249"/>
      <c r="BF336" s="249"/>
      <c r="BG336" s="249"/>
      <c r="BH336" s="249"/>
      <c r="BI336" s="249"/>
      <c r="BJ336" s="249"/>
      <c r="BK336" s="249"/>
      <c r="BL336" s="249"/>
      <c r="BM336" s="249"/>
      <c r="BN336" s="249"/>
      <c r="BO336" s="249"/>
      <c r="BP336" s="249"/>
      <c r="BQ336" s="249"/>
      <c r="BR336" s="249"/>
      <c r="BS336" s="249"/>
      <c r="BT336" s="249"/>
      <c r="BU336" s="249"/>
      <c r="BV336" s="249"/>
      <c r="BW336" s="249"/>
      <c r="BX336" s="249"/>
      <c r="BY336" s="249"/>
      <c r="BZ336" s="249"/>
      <c r="CA336" s="249"/>
      <c r="CB336" s="249"/>
      <c r="CC336" s="249"/>
      <c r="CD336" s="249"/>
      <c r="CE336" s="249"/>
    </row>
    <row r="337" spans="1:83" s="84" customFormat="1" ht="12.95" customHeight="1">
      <c r="A337" s="1"/>
      <c r="B337" s="1"/>
      <c r="C337" s="79" t="s">
        <v>225</v>
      </c>
      <c r="D337" s="52" t="s">
        <v>1806</v>
      </c>
      <c r="E337" s="52" t="s">
        <v>2480</v>
      </c>
      <c r="F337" s="53" t="s">
        <v>226</v>
      </c>
      <c r="G337" s="179" t="s">
        <v>1429</v>
      </c>
      <c r="H337" s="180" t="s">
        <v>225</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3" t="s">
        <v>226</v>
      </c>
      <c r="AR337" s="5"/>
      <c r="AS337" s="5"/>
      <c r="AT337" s="5"/>
      <c r="AU337" s="5"/>
      <c r="AV337" s="5"/>
      <c r="AW337" s="5"/>
      <c r="AX337" s="284"/>
      <c r="AY337" s="5"/>
      <c r="AZ337" s="5" t="s">
        <v>67</v>
      </c>
      <c r="BA337" s="230"/>
      <c r="BB337" s="219"/>
      <c r="BC337" s="236"/>
      <c r="BD337" s="259"/>
      <c r="BE337" s="249"/>
      <c r="BF337" s="249"/>
      <c r="BG337" s="249"/>
      <c r="BH337" s="249"/>
      <c r="BI337" s="249"/>
      <c r="BJ337" s="249"/>
      <c r="BK337" s="249"/>
      <c r="BL337" s="249"/>
      <c r="BM337" s="249"/>
      <c r="BN337" s="249"/>
      <c r="BO337" s="249"/>
      <c r="BP337" s="249"/>
      <c r="BQ337" s="249"/>
      <c r="BR337" s="249"/>
      <c r="BS337" s="249"/>
      <c r="BT337" s="249"/>
      <c r="BU337" s="249"/>
      <c r="BV337" s="249"/>
      <c r="BW337" s="249"/>
      <c r="BX337" s="249"/>
      <c r="BY337" s="249"/>
      <c r="BZ337" s="249"/>
      <c r="CA337" s="249"/>
      <c r="CB337" s="249"/>
      <c r="CC337" s="249"/>
      <c r="CD337" s="249"/>
      <c r="CE337" s="249"/>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1"/>
      <c r="AR338" s="251"/>
      <c r="AS338" s="252"/>
      <c r="AT338" s="252"/>
      <c r="AU338" s="252"/>
      <c r="AV338" s="252"/>
      <c r="AW338" s="252"/>
      <c r="AX338" s="291"/>
      <c r="AY338" s="252"/>
      <c r="AZ338" s="252"/>
      <c r="BA338" s="252"/>
      <c r="BB338" s="168" t="s">
        <v>50</v>
      </c>
      <c r="BC338" s="252"/>
      <c r="BD338" s="253"/>
      <c r="BE338" s="254"/>
      <c r="BF338" s="254"/>
      <c r="BG338" s="254"/>
      <c r="BH338" s="254"/>
      <c r="BI338" s="254"/>
      <c r="BJ338" s="254"/>
      <c r="BK338" s="254"/>
      <c r="BL338" s="254"/>
      <c r="BM338" s="254"/>
      <c r="BN338" s="254"/>
      <c r="BO338" s="254"/>
      <c r="BP338" s="254"/>
      <c r="BQ338" s="254"/>
      <c r="BR338" s="254"/>
      <c r="BS338" s="254"/>
      <c r="BT338" s="254"/>
      <c r="BU338" s="254"/>
      <c r="BV338" s="254"/>
      <c r="BW338" s="254"/>
      <c r="BX338" s="254"/>
      <c r="BY338" s="254"/>
      <c r="BZ338" s="254"/>
      <c r="CA338" s="254"/>
      <c r="CB338" s="254"/>
      <c r="CC338" s="254"/>
      <c r="CD338" s="254"/>
      <c r="CE338" s="254"/>
    </row>
    <row r="339" spans="1:83" s="84" customFormat="1" ht="12.95" customHeight="1">
      <c r="A339" s="84" t="s">
        <v>3428</v>
      </c>
      <c r="B339" s="84" t="s">
        <v>3572</v>
      </c>
      <c r="C339" s="79" t="s">
        <v>241</v>
      </c>
      <c r="D339" s="52" t="s">
        <v>2482</v>
      </c>
      <c r="E339" s="52" t="s">
        <v>2483</v>
      </c>
      <c r="F339" s="53" t="s">
        <v>273</v>
      </c>
      <c r="G339" s="179" t="s">
        <v>1429</v>
      </c>
      <c r="H339" s="180" t="s">
        <v>241</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7" t="s">
        <v>241</v>
      </c>
      <c r="AR339" s="5"/>
      <c r="AS339" s="5"/>
      <c r="AT339" s="5"/>
      <c r="AU339" s="5"/>
      <c r="AV339" s="5"/>
      <c r="AW339" s="5"/>
      <c r="AX339" s="284"/>
      <c r="AY339" s="5"/>
      <c r="AZ339" s="5"/>
      <c r="BA339" s="230"/>
      <c r="BB339" s="215"/>
      <c r="BC339" s="232" t="s">
        <v>241</v>
      </c>
      <c r="BD339" s="266"/>
      <c r="BE339" s="249"/>
      <c r="BF339" s="249"/>
      <c r="BG339" s="249"/>
      <c r="BH339" s="249"/>
      <c r="BI339" s="249"/>
      <c r="BJ339" s="249"/>
      <c r="BK339" s="249"/>
      <c r="BL339" s="249"/>
      <c r="BM339" s="249"/>
      <c r="BN339" s="249"/>
      <c r="BO339" s="249"/>
      <c r="BP339" s="249"/>
      <c r="BQ339" s="249"/>
      <c r="BR339" s="249"/>
      <c r="BS339" s="249"/>
      <c r="BT339" s="249"/>
      <c r="BU339" s="249"/>
      <c r="BV339" s="249"/>
      <c r="BW339" s="249"/>
      <c r="BX339" s="249"/>
      <c r="BY339" s="249"/>
      <c r="BZ339" s="249"/>
      <c r="CA339" s="249"/>
      <c r="CB339" s="249"/>
      <c r="CC339" s="249"/>
      <c r="CD339" s="249"/>
      <c r="CE339" s="249"/>
    </row>
    <row r="340" spans="1:83" s="84" customFormat="1" ht="12.95" customHeight="1">
      <c r="A340" s="84" t="s">
        <v>3429</v>
      </c>
      <c r="B340" s="84" t="s">
        <v>1588</v>
      </c>
      <c r="C340" s="79" t="s">
        <v>242</v>
      </c>
      <c r="D340" s="52" t="s">
        <v>2487</v>
      </c>
      <c r="E340" s="52" t="s">
        <v>2488</v>
      </c>
      <c r="F340" s="53" t="s">
        <v>274</v>
      </c>
      <c r="G340" s="179" t="s">
        <v>1429</v>
      </c>
      <c r="H340" s="180" t="s">
        <v>242</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5" t="s">
        <v>242</v>
      </c>
      <c r="AR340" s="5"/>
      <c r="AS340" s="5"/>
      <c r="AT340" s="5"/>
      <c r="AU340" s="5"/>
      <c r="AV340" s="5"/>
      <c r="AW340" s="5"/>
      <c r="AX340" s="284"/>
      <c r="AY340" s="5"/>
      <c r="AZ340" s="5"/>
      <c r="BA340" s="230"/>
      <c r="BB340" s="5"/>
      <c r="BC340" s="232" t="s">
        <v>242</v>
      </c>
      <c r="BD340" s="266"/>
      <c r="BE340" s="249"/>
      <c r="BF340" s="249"/>
      <c r="BG340" s="249"/>
      <c r="BH340" s="249"/>
      <c r="BI340" s="249"/>
      <c r="BJ340" s="249"/>
      <c r="BK340" s="249"/>
      <c r="BL340" s="249"/>
      <c r="BM340" s="249"/>
      <c r="BN340" s="249"/>
      <c r="BO340" s="249"/>
      <c r="BP340" s="249"/>
      <c r="BQ340" s="249"/>
      <c r="BR340" s="249"/>
      <c r="BS340" s="249"/>
      <c r="BT340" s="249"/>
      <c r="BU340" s="249"/>
      <c r="BV340" s="249"/>
      <c r="BW340" s="249"/>
      <c r="BX340" s="249"/>
      <c r="BY340" s="249"/>
      <c r="BZ340" s="249"/>
      <c r="CA340" s="249"/>
      <c r="CB340" s="249"/>
      <c r="CC340" s="249"/>
      <c r="CD340" s="249"/>
      <c r="CE340" s="249"/>
    </row>
    <row r="341" spans="1:83" s="84" customFormat="1" ht="12.95" customHeight="1">
      <c r="A341" s="84" t="s">
        <v>3430</v>
      </c>
      <c r="B341" s="84" t="s">
        <v>1608</v>
      </c>
      <c r="C341" s="79" t="s">
        <v>227</v>
      </c>
      <c r="D341" s="52" t="s">
        <v>2490</v>
      </c>
      <c r="E341" s="52" t="s">
        <v>2491</v>
      </c>
      <c r="F341" s="53" t="s">
        <v>269</v>
      </c>
      <c r="G341" s="179" t="s">
        <v>1429</v>
      </c>
      <c r="H341" s="180" t="s">
        <v>227</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5" t="s">
        <v>227</v>
      </c>
      <c r="AR341" s="5"/>
      <c r="AS341" s="5"/>
      <c r="AT341" s="5"/>
      <c r="AU341" s="5"/>
      <c r="AV341" s="5"/>
      <c r="AW341" s="5"/>
      <c r="AX341" s="284"/>
      <c r="AY341" s="5"/>
      <c r="AZ341" s="5"/>
      <c r="BA341" s="230"/>
      <c r="BB341" s="5"/>
      <c r="BC341" s="232" t="s">
        <v>227</v>
      </c>
      <c r="BD341" s="238"/>
      <c r="BE341" s="249"/>
      <c r="BF341" s="249"/>
      <c r="BG341" s="249"/>
      <c r="BH341" s="249"/>
      <c r="BI341" s="249"/>
      <c r="BJ341" s="249"/>
      <c r="BK341" s="249"/>
      <c r="BL341" s="249"/>
      <c r="BM341" s="249"/>
      <c r="BN341" s="249"/>
      <c r="BO341" s="249"/>
      <c r="BP341" s="249"/>
      <c r="BQ341" s="249"/>
      <c r="BR341" s="249"/>
      <c r="BS341" s="249"/>
      <c r="BT341" s="249"/>
      <c r="BU341" s="249"/>
      <c r="BV341" s="249"/>
      <c r="BW341" s="249"/>
      <c r="BX341" s="249"/>
      <c r="BY341" s="249"/>
      <c r="BZ341" s="249"/>
      <c r="CA341" s="249"/>
      <c r="CB341" s="249"/>
      <c r="CC341" s="249"/>
      <c r="CD341" s="249"/>
      <c r="CE341" s="249"/>
    </row>
    <row r="342" spans="1:83" s="84" customFormat="1" ht="12.95" customHeight="1">
      <c r="A342" s="84" t="s">
        <v>3431</v>
      </c>
      <c r="B342" s="84" t="s">
        <v>1616</v>
      </c>
      <c r="C342" s="79" t="s">
        <v>228</v>
      </c>
      <c r="D342" s="52" t="s">
        <v>2493</v>
      </c>
      <c r="E342" s="52" t="s">
        <v>2494</v>
      </c>
      <c r="F342" s="53" t="s">
        <v>270</v>
      </c>
      <c r="G342" s="179" t="s">
        <v>1429</v>
      </c>
      <c r="H342" s="180" t="s">
        <v>228</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5" t="s">
        <v>228</v>
      </c>
      <c r="AR342" s="5"/>
      <c r="AS342" s="5"/>
      <c r="AT342" s="5"/>
      <c r="AU342" s="5"/>
      <c r="AV342" s="5"/>
      <c r="AW342" s="5"/>
      <c r="AX342" s="284"/>
      <c r="AY342" s="5"/>
      <c r="AZ342" s="5"/>
      <c r="BA342" s="230"/>
      <c r="BB342" s="5"/>
      <c r="BC342" s="232" t="s">
        <v>228</v>
      </c>
      <c r="BD342" s="238"/>
      <c r="BE342" s="249"/>
      <c r="BF342" s="249"/>
      <c r="BG342" s="249"/>
      <c r="BH342" s="249"/>
      <c r="BI342" s="249"/>
      <c r="BJ342" s="249"/>
      <c r="BK342" s="249"/>
      <c r="BL342" s="249"/>
      <c r="BM342" s="249"/>
      <c r="BN342" s="249"/>
      <c r="BO342" s="249"/>
      <c r="BP342" s="249"/>
      <c r="BQ342" s="249"/>
      <c r="BR342" s="249"/>
      <c r="BS342" s="249"/>
      <c r="BT342" s="249"/>
      <c r="BU342" s="249"/>
      <c r="BV342" s="249"/>
      <c r="BW342" s="249"/>
      <c r="BX342" s="249"/>
      <c r="BY342" s="249"/>
      <c r="BZ342" s="249"/>
      <c r="CA342" s="249"/>
      <c r="CB342" s="249"/>
      <c r="CC342" s="249"/>
      <c r="CD342" s="249"/>
      <c r="CE342" s="249"/>
    </row>
    <row r="343" spans="1:83" s="84" customFormat="1" ht="12.95" customHeight="1">
      <c r="A343" s="84" t="s">
        <v>3432</v>
      </c>
      <c r="B343" s="84" t="s">
        <v>3573</v>
      </c>
      <c r="C343" s="79" t="s">
        <v>243</v>
      </c>
      <c r="D343" s="52" t="s">
        <v>2496</v>
      </c>
      <c r="E343" s="52" t="s">
        <v>2497</v>
      </c>
      <c r="F343" s="53" t="s">
        <v>271</v>
      </c>
      <c r="G343" s="179" t="s">
        <v>1429</v>
      </c>
      <c r="H343" s="180" t="s">
        <v>243</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7" t="s">
        <v>243</v>
      </c>
      <c r="AR343" s="5"/>
      <c r="AS343" s="5"/>
      <c r="AT343" s="5"/>
      <c r="AU343" s="5"/>
      <c r="AV343" s="5"/>
      <c r="AW343" s="5"/>
      <c r="AX343" s="284"/>
      <c r="AY343" s="5"/>
      <c r="AZ343" s="5"/>
      <c r="BA343" s="230"/>
      <c r="BB343" s="5"/>
      <c r="BC343" s="232" t="s">
        <v>243</v>
      </c>
      <c r="BD343" s="238"/>
      <c r="BE343" s="249"/>
      <c r="BF343" s="249"/>
      <c r="BG343" s="249"/>
      <c r="BH343" s="249"/>
      <c r="BI343" s="249"/>
      <c r="BJ343" s="249"/>
      <c r="BK343" s="249"/>
      <c r="BL343" s="249"/>
      <c r="BM343" s="249"/>
      <c r="BN343" s="249"/>
      <c r="BO343" s="249"/>
      <c r="BP343" s="249"/>
      <c r="BQ343" s="249"/>
      <c r="BR343" s="249"/>
      <c r="BS343" s="249"/>
      <c r="BT343" s="249"/>
      <c r="BU343" s="249"/>
      <c r="BV343" s="249"/>
      <c r="BW343" s="249"/>
      <c r="BX343" s="249"/>
      <c r="BY343" s="249"/>
      <c r="BZ343" s="249"/>
      <c r="CA343" s="249"/>
      <c r="CB343" s="249"/>
      <c r="CC343" s="249"/>
      <c r="CD343" s="249"/>
      <c r="CE343" s="249"/>
    </row>
    <row r="344" spans="1:83" s="84" customFormat="1" ht="12.95" customHeight="1">
      <c r="A344" s="84" t="s">
        <v>3433</v>
      </c>
      <c r="B344" s="84" t="s">
        <v>3574</v>
      </c>
      <c r="C344" s="79" t="s">
        <v>244</v>
      </c>
      <c r="D344" s="52" t="s">
        <v>2499</v>
      </c>
      <c r="E344" s="52" t="s">
        <v>2500</v>
      </c>
      <c r="F344" s="53" t="s">
        <v>272</v>
      </c>
      <c r="G344" s="179" t="s">
        <v>1429</v>
      </c>
      <c r="H344" s="180" t="s">
        <v>244</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5" t="s">
        <v>244</v>
      </c>
      <c r="AR344" s="5"/>
      <c r="AS344" s="5"/>
      <c r="AT344" s="5"/>
      <c r="AU344" s="5"/>
      <c r="AV344" s="5"/>
      <c r="AW344" s="5"/>
      <c r="AX344" s="284"/>
      <c r="AY344" s="5"/>
      <c r="AZ344" s="5"/>
      <c r="BA344" s="230"/>
      <c r="BB344" s="5"/>
      <c r="BC344" s="232" t="s">
        <v>244</v>
      </c>
      <c r="BD344" s="238"/>
      <c r="BE344" s="249"/>
      <c r="BF344" s="249"/>
      <c r="BG344" s="249"/>
      <c r="BH344" s="249"/>
      <c r="BI344" s="249"/>
      <c r="BJ344" s="249"/>
      <c r="BK344" s="249"/>
      <c r="BL344" s="249"/>
      <c r="BM344" s="249"/>
      <c r="BN344" s="249"/>
      <c r="BO344" s="249"/>
      <c r="BP344" s="249"/>
      <c r="BQ344" s="249"/>
      <c r="BR344" s="249"/>
      <c r="BS344" s="249"/>
      <c r="BT344" s="249"/>
      <c r="BU344" s="249"/>
      <c r="BV344" s="249"/>
      <c r="BW344" s="249"/>
      <c r="BX344" s="249"/>
      <c r="BY344" s="249"/>
      <c r="BZ344" s="249"/>
      <c r="CA344" s="249"/>
      <c r="CB344" s="249"/>
      <c r="CC344" s="249"/>
      <c r="CD344" s="249"/>
      <c r="CE344" s="249"/>
    </row>
    <row r="345" spans="1:83" s="84" customFormat="1" ht="12.95" customHeight="1">
      <c r="A345" s="1"/>
      <c r="B345" s="1"/>
      <c r="C345" s="79" t="s">
        <v>229</v>
      </c>
      <c r="D345" s="52" t="s">
        <v>2502</v>
      </c>
      <c r="E345" s="52" t="s">
        <v>2503</v>
      </c>
      <c r="F345" s="53" t="s">
        <v>230</v>
      </c>
      <c r="G345" s="179" t="s">
        <v>1429</v>
      </c>
      <c r="H345" s="180" t="s">
        <v>229</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3" t="s">
        <v>229</v>
      </c>
      <c r="AR345" s="5"/>
      <c r="AS345" s="5"/>
      <c r="AT345" s="5"/>
      <c r="AU345" s="5"/>
      <c r="AV345" s="5"/>
      <c r="AW345" s="5"/>
      <c r="AX345" s="284"/>
      <c r="AY345" s="5"/>
      <c r="AZ345" s="5" t="s">
        <v>67</v>
      </c>
      <c r="BA345" s="230"/>
      <c r="BB345" s="219"/>
      <c r="BC345" s="236"/>
      <c r="BD345" s="267"/>
      <c r="BE345" s="249"/>
      <c r="BF345" s="249"/>
      <c r="BG345" s="249"/>
      <c r="BH345" s="249"/>
      <c r="BI345" s="249"/>
      <c r="BJ345" s="249"/>
      <c r="BK345" s="249"/>
      <c r="BL345" s="249"/>
      <c r="BM345" s="249"/>
      <c r="BN345" s="249"/>
      <c r="BO345" s="249"/>
      <c r="BP345" s="249"/>
      <c r="BQ345" s="249"/>
      <c r="BR345" s="249"/>
      <c r="BS345" s="249"/>
      <c r="BT345" s="249"/>
      <c r="BU345" s="249"/>
      <c r="BV345" s="249"/>
      <c r="BW345" s="249"/>
      <c r="BX345" s="249"/>
      <c r="BY345" s="249"/>
      <c r="BZ345" s="249"/>
      <c r="CA345" s="249"/>
      <c r="CB345" s="249"/>
      <c r="CC345" s="249"/>
      <c r="CD345" s="249"/>
      <c r="CE345" s="249"/>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1"/>
      <c r="AR346" s="251"/>
      <c r="AS346" s="252"/>
      <c r="AT346" s="252"/>
      <c r="AU346" s="252"/>
      <c r="AV346" s="252"/>
      <c r="AW346" s="252"/>
      <c r="AX346" s="291"/>
      <c r="AY346" s="252"/>
      <c r="AZ346" s="252"/>
      <c r="BA346" s="252"/>
      <c r="BB346" s="168" t="s">
        <v>511</v>
      </c>
      <c r="BC346" s="252"/>
      <c r="BD346" s="253"/>
      <c r="BE346" s="309"/>
      <c r="BF346" s="254"/>
      <c r="BG346" s="254"/>
      <c r="BH346" s="254"/>
      <c r="BI346" s="254"/>
      <c r="BJ346" s="254"/>
      <c r="BK346" s="254"/>
      <c r="BL346" s="254"/>
      <c r="BM346" s="254"/>
      <c r="BN346" s="254"/>
      <c r="BO346" s="254"/>
      <c r="BP346" s="254"/>
      <c r="BQ346" s="254"/>
      <c r="BR346" s="254"/>
      <c r="BS346" s="254"/>
      <c r="BT346" s="254"/>
      <c r="BU346" s="254"/>
      <c r="BV346" s="254"/>
      <c r="BW346" s="254"/>
      <c r="BX346" s="254"/>
      <c r="BY346" s="254"/>
      <c r="BZ346" s="254"/>
      <c r="CA346" s="254"/>
      <c r="CB346" s="254"/>
      <c r="CC346" s="254"/>
      <c r="CD346" s="254"/>
      <c r="CE346" s="254"/>
    </row>
    <row r="347" spans="1:83" s="84" customFormat="1" ht="12.95" customHeight="1">
      <c r="A347" s="84" t="s">
        <v>3648</v>
      </c>
      <c r="B347" s="84" t="s">
        <v>3649</v>
      </c>
      <c r="C347" s="79" t="s">
        <v>333</v>
      </c>
      <c r="D347" s="52" t="s">
        <v>2506</v>
      </c>
      <c r="E347" s="52" t="s">
        <v>2507</v>
      </c>
      <c r="F347" s="53" t="s">
        <v>585</v>
      </c>
      <c r="G347" s="179" t="s">
        <v>1429</v>
      </c>
      <c r="H347" s="180"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7" t="s">
        <v>2508</v>
      </c>
      <c r="AR347" s="5"/>
      <c r="AS347" s="5"/>
      <c r="AT347" s="5"/>
      <c r="AU347" s="5"/>
      <c r="AV347" s="5"/>
      <c r="AW347" s="5"/>
      <c r="AX347" s="284"/>
      <c r="AY347" s="5"/>
      <c r="AZ347" s="5"/>
      <c r="BA347" s="230"/>
      <c r="BB347" s="5"/>
      <c r="BC347" s="232" t="s">
        <v>3537</v>
      </c>
      <c r="BD347" s="238" t="s">
        <v>3660</v>
      </c>
      <c r="BE347" s="249"/>
      <c r="BF347" s="249"/>
      <c r="BG347" s="249"/>
      <c r="BH347" s="249"/>
      <c r="BI347" s="249"/>
      <c r="BJ347" s="249"/>
      <c r="BK347" s="249"/>
      <c r="BL347" s="249"/>
      <c r="BM347" s="249"/>
      <c r="BN347" s="249"/>
      <c r="BO347" s="249"/>
      <c r="BP347" s="249"/>
      <c r="BQ347" s="249"/>
      <c r="BR347" s="249"/>
      <c r="BS347" s="249"/>
      <c r="BT347" s="249"/>
      <c r="BU347" s="249"/>
      <c r="BV347" s="249"/>
      <c r="BW347" s="249"/>
      <c r="BX347" s="249"/>
      <c r="BY347" s="249"/>
      <c r="BZ347" s="249"/>
      <c r="CA347" s="249"/>
      <c r="CB347" s="249"/>
      <c r="CC347" s="249"/>
      <c r="CD347" s="249"/>
      <c r="CE347" s="249"/>
    </row>
    <row r="348" spans="1:83" s="84" customFormat="1" ht="12.95" customHeight="1">
      <c r="A348" s="84" t="s">
        <v>3650</v>
      </c>
      <c r="B348" s="84" t="s">
        <v>3651</v>
      </c>
      <c r="C348" s="79" t="s">
        <v>337</v>
      </c>
      <c r="D348" s="52" t="s">
        <v>2512</v>
      </c>
      <c r="E348" s="52" t="s">
        <v>2513</v>
      </c>
      <c r="F348" s="53" t="s">
        <v>586</v>
      </c>
      <c r="G348" s="179" t="s">
        <v>1429</v>
      </c>
      <c r="H348" s="180"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130"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5" t="s">
        <v>2514</v>
      </c>
      <c r="AR348" s="5"/>
      <c r="AS348" s="5"/>
      <c r="AT348" s="5"/>
      <c r="AU348" s="5"/>
      <c r="AV348" s="5"/>
      <c r="AW348" s="5"/>
      <c r="AX348" s="284"/>
      <c r="AY348" s="5"/>
      <c r="AZ348" s="5"/>
      <c r="BA348" s="230"/>
      <c r="BB348" s="5"/>
      <c r="BC348" s="232" t="s">
        <v>3538</v>
      </c>
      <c r="BD348" s="238" t="s">
        <v>3660</v>
      </c>
      <c r="BE348" s="249"/>
      <c r="BF348" s="249"/>
      <c r="BG348" s="249"/>
      <c r="BH348" s="249"/>
      <c r="BI348" s="249"/>
      <c r="BJ348" s="249"/>
      <c r="BK348" s="249"/>
      <c r="BL348" s="249"/>
      <c r="BM348" s="249"/>
      <c r="BN348" s="249"/>
      <c r="BO348" s="249"/>
      <c r="BP348" s="249"/>
      <c r="BQ348" s="249"/>
      <c r="BR348" s="249"/>
      <c r="BS348" s="249"/>
      <c r="BT348" s="249"/>
      <c r="BU348" s="249"/>
      <c r="BV348" s="249"/>
      <c r="BW348" s="249"/>
      <c r="BX348" s="249"/>
      <c r="BY348" s="249"/>
      <c r="BZ348" s="249"/>
      <c r="CA348" s="249"/>
      <c r="CB348" s="249"/>
      <c r="CC348" s="249"/>
      <c r="CD348" s="249"/>
      <c r="CE348" s="249"/>
    </row>
    <row r="349" spans="1:83" s="84" customFormat="1" ht="12.95" customHeight="1">
      <c r="A349" s="84" t="s">
        <v>3652</v>
      </c>
      <c r="B349" s="84" t="s">
        <v>3653</v>
      </c>
      <c r="C349" s="79" t="s">
        <v>335</v>
      </c>
      <c r="D349" s="52" t="s">
        <v>2516</v>
      </c>
      <c r="E349" s="52" t="s">
        <v>2517</v>
      </c>
      <c r="F349" s="53" t="s">
        <v>587</v>
      </c>
      <c r="G349" s="179" t="s">
        <v>1429</v>
      </c>
      <c r="H349" s="180" t="s">
        <v>1447</v>
      </c>
      <c r="I349" s="55" t="s">
        <v>2518</v>
      </c>
      <c r="J349" s="55" t="s">
        <v>1429</v>
      </c>
      <c r="K349" s="56" t="s">
        <v>1429</v>
      </c>
      <c r="L349" s="54" t="s">
        <v>1429</v>
      </c>
      <c r="M349" s="55" t="s">
        <v>1581</v>
      </c>
      <c r="N349" s="55" t="s">
        <v>1581</v>
      </c>
      <c r="O349" s="55" t="s">
        <v>1429</v>
      </c>
      <c r="P349" s="56" t="s">
        <v>1429</v>
      </c>
      <c r="Q349" s="85"/>
      <c r="R349" s="85"/>
      <c r="S349" s="85"/>
      <c r="T349" s="85"/>
      <c r="U349" s="85"/>
      <c r="V349" s="146" t="s">
        <v>2519</v>
      </c>
      <c r="W349" s="51" t="s">
        <v>2510</v>
      </c>
      <c r="X349" s="130"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7" t="s">
        <v>2518</v>
      </c>
      <c r="AR349" s="5"/>
      <c r="AS349" s="5"/>
      <c r="AT349" s="5"/>
      <c r="AU349" s="5"/>
      <c r="AV349" s="5"/>
      <c r="AW349" s="5"/>
      <c r="AX349" s="284"/>
      <c r="AY349" s="5"/>
      <c r="AZ349" s="5"/>
      <c r="BA349" s="230"/>
      <c r="BB349" s="5"/>
      <c r="BC349" s="232" t="s">
        <v>3539</v>
      </c>
      <c r="BD349" s="238" t="s">
        <v>3660</v>
      </c>
      <c r="BE349" s="249"/>
      <c r="BF349" s="249"/>
      <c r="BG349" s="249"/>
      <c r="BH349" s="249"/>
      <c r="BI349" s="249"/>
      <c r="BJ349" s="249"/>
      <c r="BK349" s="249"/>
      <c r="BL349" s="249"/>
      <c r="BM349" s="249"/>
      <c r="BN349" s="249"/>
      <c r="BO349" s="249"/>
      <c r="BP349" s="249"/>
      <c r="BQ349" s="249"/>
      <c r="BR349" s="249"/>
      <c r="BS349" s="249"/>
      <c r="BT349" s="249"/>
      <c r="BU349" s="249"/>
      <c r="BV349" s="249"/>
      <c r="BW349" s="249"/>
      <c r="BX349" s="249"/>
      <c r="BY349" s="249"/>
      <c r="BZ349" s="249"/>
      <c r="CA349" s="249"/>
      <c r="CB349" s="249"/>
      <c r="CC349" s="249"/>
      <c r="CD349" s="249"/>
      <c r="CE349" s="249"/>
    </row>
    <row r="350" spans="1:83" s="84" customFormat="1" ht="12.95" customHeight="1">
      <c r="A350" s="84" t="s">
        <v>3654</v>
      </c>
      <c r="B350" s="84" t="s">
        <v>3655</v>
      </c>
      <c r="C350" s="79" t="s">
        <v>338</v>
      </c>
      <c r="D350" s="52" t="s">
        <v>2520</v>
      </c>
      <c r="E350" s="52" t="s">
        <v>2521</v>
      </c>
      <c r="F350" s="53" t="s">
        <v>588</v>
      </c>
      <c r="G350" s="179" t="s">
        <v>1429</v>
      </c>
      <c r="H350" s="180" t="s">
        <v>1446</v>
      </c>
      <c r="I350" s="55" t="s">
        <v>2522</v>
      </c>
      <c r="J350" s="55" t="s">
        <v>1429</v>
      </c>
      <c r="K350" s="56" t="s">
        <v>1429</v>
      </c>
      <c r="L350" s="54" t="s">
        <v>1429</v>
      </c>
      <c r="M350" s="55" t="s">
        <v>1581</v>
      </c>
      <c r="N350" s="55" t="s">
        <v>1581</v>
      </c>
      <c r="O350" s="55" t="s">
        <v>1429</v>
      </c>
      <c r="P350" s="56" t="s">
        <v>1429</v>
      </c>
      <c r="Q350" s="85"/>
      <c r="R350" s="85"/>
      <c r="S350" s="85"/>
      <c r="T350" s="85"/>
      <c r="U350" s="85"/>
      <c r="V350" s="146" t="s">
        <v>2523</v>
      </c>
      <c r="W350" s="51" t="s">
        <v>2510</v>
      </c>
      <c r="X350" s="130"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5" t="s">
        <v>2522</v>
      </c>
      <c r="AR350" s="5"/>
      <c r="AS350" s="5"/>
      <c r="AT350" s="5"/>
      <c r="AU350" s="5"/>
      <c r="AV350" s="5"/>
      <c r="AW350" s="5"/>
      <c r="AX350" s="284"/>
      <c r="AY350" s="5"/>
      <c r="AZ350" s="5"/>
      <c r="BA350" s="230"/>
      <c r="BB350" s="5"/>
      <c r="BC350" s="232" t="s">
        <v>3540</v>
      </c>
      <c r="BD350" s="238" t="s">
        <v>3660</v>
      </c>
      <c r="BE350" s="249"/>
      <c r="BF350" s="249"/>
      <c r="BG350" s="249"/>
      <c r="BH350" s="249"/>
      <c r="BI350" s="249"/>
      <c r="BJ350" s="249"/>
      <c r="BK350" s="249"/>
      <c r="BL350" s="249"/>
      <c r="BM350" s="249"/>
      <c r="BN350" s="249"/>
      <c r="BO350" s="249"/>
      <c r="BP350" s="249"/>
      <c r="BQ350" s="249"/>
      <c r="BR350" s="249"/>
      <c r="BS350" s="249"/>
      <c r="BT350" s="249"/>
      <c r="BU350" s="249"/>
      <c r="BV350" s="249"/>
      <c r="BW350" s="249"/>
      <c r="BX350" s="249"/>
      <c r="BY350" s="249"/>
      <c r="BZ350" s="249"/>
      <c r="CA350" s="249"/>
      <c r="CB350" s="249"/>
      <c r="CC350" s="249"/>
      <c r="CD350" s="249"/>
      <c r="CE350" s="249"/>
    </row>
    <row r="351" spans="1:83" s="84" customFormat="1" ht="12.95" customHeight="1">
      <c r="A351" s="209" t="s">
        <v>3545</v>
      </c>
      <c r="B351" s="209" t="s">
        <v>2943</v>
      </c>
      <c r="C351" s="79" t="s">
        <v>339</v>
      </c>
      <c r="D351" s="52" t="s">
        <v>2524</v>
      </c>
      <c r="E351" s="52" t="s">
        <v>2525</v>
      </c>
      <c r="F351" s="53" t="s">
        <v>589</v>
      </c>
      <c r="G351" s="179" t="s">
        <v>1429</v>
      </c>
      <c r="H351" s="180" t="s">
        <v>1448</v>
      </c>
      <c r="I351" s="55" t="s">
        <v>2526</v>
      </c>
      <c r="J351" s="55" t="s">
        <v>1429</v>
      </c>
      <c r="K351" s="56" t="s">
        <v>1429</v>
      </c>
      <c r="L351" s="54" t="s">
        <v>1429</v>
      </c>
      <c r="M351" s="55" t="s">
        <v>1590</v>
      </c>
      <c r="N351" s="55" t="s">
        <v>1590</v>
      </c>
      <c r="O351" s="55" t="s">
        <v>1429</v>
      </c>
      <c r="P351" s="56" t="s">
        <v>1429</v>
      </c>
      <c r="Q351" s="85"/>
      <c r="R351" s="85"/>
      <c r="S351" s="85"/>
      <c r="T351" s="85"/>
      <c r="U351" s="85"/>
      <c r="V351" s="146" t="s">
        <v>2527</v>
      </c>
      <c r="W351" s="51" t="s">
        <v>2510</v>
      </c>
      <c r="X351" s="130"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7" t="s">
        <v>2526</v>
      </c>
      <c r="AR351" s="5"/>
      <c r="AS351" s="5"/>
      <c r="AT351" s="5"/>
      <c r="AU351" s="5"/>
      <c r="AV351" s="5"/>
      <c r="AW351" s="5"/>
      <c r="AX351" s="284"/>
      <c r="AY351" s="5"/>
      <c r="AZ351" s="5"/>
      <c r="BA351" s="230"/>
      <c r="BB351" s="5"/>
      <c r="BC351" s="232" t="s">
        <v>3545</v>
      </c>
      <c r="BD351" s="238" t="s">
        <v>3661</v>
      </c>
      <c r="BE351" s="249"/>
      <c r="BF351" s="249"/>
      <c r="BG351" s="249"/>
      <c r="BH351" s="249"/>
      <c r="BI351" s="249"/>
      <c r="BJ351" s="249"/>
      <c r="BK351" s="249"/>
      <c r="BL351" s="249"/>
      <c r="BM351" s="249"/>
      <c r="BN351" s="249"/>
      <c r="BO351" s="249"/>
      <c r="BP351" s="249"/>
      <c r="BQ351" s="249"/>
      <c r="BR351" s="249"/>
      <c r="BS351" s="249"/>
      <c r="BT351" s="249"/>
      <c r="BU351" s="249"/>
      <c r="BV351" s="249"/>
      <c r="BW351" s="249"/>
      <c r="BX351" s="249"/>
      <c r="BY351" s="249"/>
      <c r="BZ351" s="249"/>
      <c r="CA351" s="249"/>
      <c r="CB351" s="249"/>
      <c r="CC351" s="249"/>
      <c r="CD351" s="249"/>
      <c r="CE351" s="249"/>
    </row>
    <row r="352" spans="1:83" s="84" customFormat="1" ht="12.95" customHeight="1">
      <c r="A352" s="209" t="s">
        <v>3546</v>
      </c>
      <c r="B352" s="209" t="s">
        <v>3616</v>
      </c>
      <c r="C352" s="79" t="s">
        <v>334</v>
      </c>
      <c r="D352" s="52" t="s">
        <v>2528</v>
      </c>
      <c r="E352" s="52" t="s">
        <v>2529</v>
      </c>
      <c r="F352" s="53" t="s">
        <v>590</v>
      </c>
      <c r="G352" s="179" t="s">
        <v>1429</v>
      </c>
      <c r="H352" s="180" t="s">
        <v>1449</v>
      </c>
      <c r="I352" s="55" t="s">
        <v>2530</v>
      </c>
      <c r="J352" s="55" t="s">
        <v>1429</v>
      </c>
      <c r="K352" s="56" t="s">
        <v>1429</v>
      </c>
      <c r="L352" s="54" t="s">
        <v>1429</v>
      </c>
      <c r="M352" s="55" t="s">
        <v>1590</v>
      </c>
      <c r="N352" s="55" t="s">
        <v>1590</v>
      </c>
      <c r="O352" s="55" t="s">
        <v>1429</v>
      </c>
      <c r="P352" s="56" t="s">
        <v>1429</v>
      </c>
      <c r="Q352" s="85"/>
      <c r="R352" s="85"/>
      <c r="S352" s="85"/>
      <c r="T352" s="85"/>
      <c r="U352" s="85"/>
      <c r="V352" s="146" t="s">
        <v>2531</v>
      </c>
      <c r="W352" s="51" t="s">
        <v>2510</v>
      </c>
      <c r="X352" s="130"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5" t="s">
        <v>2530</v>
      </c>
      <c r="AR352" s="5"/>
      <c r="AS352" s="5"/>
      <c r="AT352" s="5"/>
      <c r="AU352" s="5"/>
      <c r="AV352" s="5"/>
      <c r="AW352" s="5"/>
      <c r="AX352" s="284"/>
      <c r="AY352" s="5"/>
      <c r="AZ352" s="5"/>
      <c r="BA352" s="230"/>
      <c r="BB352" s="5"/>
      <c r="BC352" s="232" t="s">
        <v>3546</v>
      </c>
      <c r="BD352" s="238" t="s">
        <v>3661</v>
      </c>
      <c r="BE352" s="249"/>
      <c r="BF352" s="249"/>
      <c r="BG352" s="249"/>
      <c r="BH352" s="249"/>
      <c r="BI352" s="249"/>
      <c r="BJ352" s="249"/>
      <c r="BK352" s="249"/>
      <c r="BL352" s="249"/>
      <c r="BM352" s="249"/>
      <c r="BN352" s="249"/>
      <c r="BO352" s="249"/>
      <c r="BP352" s="249"/>
      <c r="BQ352" s="249"/>
      <c r="BR352" s="249"/>
      <c r="BS352" s="249"/>
      <c r="BT352" s="249"/>
      <c r="BU352" s="249"/>
      <c r="BV352" s="249"/>
      <c r="BW352" s="249"/>
      <c r="BX352" s="249"/>
      <c r="BY352" s="249"/>
      <c r="BZ352" s="249"/>
      <c r="CA352" s="249"/>
      <c r="CB352" s="249"/>
      <c r="CC352" s="249"/>
      <c r="CD352" s="249"/>
      <c r="CE352" s="249"/>
    </row>
    <row r="353" spans="1:83" s="84" customFormat="1" ht="12.95" customHeight="1">
      <c r="A353" s="209" t="s">
        <v>3548</v>
      </c>
      <c r="B353" s="209" t="s">
        <v>3586</v>
      </c>
      <c r="C353" s="79" t="s">
        <v>336</v>
      </c>
      <c r="D353" s="52" t="s">
        <v>2525</v>
      </c>
      <c r="E353" s="52" t="s">
        <v>2532</v>
      </c>
      <c r="F353" s="53" t="s">
        <v>591</v>
      </c>
      <c r="G353" s="179" t="s">
        <v>1429</v>
      </c>
      <c r="H353" s="180" t="s">
        <v>1450</v>
      </c>
      <c r="I353" s="55" t="s">
        <v>2533</v>
      </c>
      <c r="J353" s="55" t="s">
        <v>1429</v>
      </c>
      <c r="K353" s="56" t="s">
        <v>1429</v>
      </c>
      <c r="L353" s="54" t="s">
        <v>1429</v>
      </c>
      <c r="M353" s="55" t="s">
        <v>1581</v>
      </c>
      <c r="N353" s="55" t="s">
        <v>1581</v>
      </c>
      <c r="O353" s="55" t="s">
        <v>1429</v>
      </c>
      <c r="P353" s="56" t="s">
        <v>1429</v>
      </c>
      <c r="Q353" s="85"/>
      <c r="R353" s="85"/>
      <c r="S353" s="85"/>
      <c r="T353" s="85"/>
      <c r="U353" s="85"/>
      <c r="V353" s="146" t="s">
        <v>2534</v>
      </c>
      <c r="W353" s="51" t="s">
        <v>2510</v>
      </c>
      <c r="X353" s="130"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7" t="s">
        <v>2533</v>
      </c>
      <c r="AR353" s="5"/>
      <c r="AS353" s="5"/>
      <c r="AT353" s="5"/>
      <c r="AU353" s="5"/>
      <c r="AV353" s="5"/>
      <c r="AW353" s="5"/>
      <c r="AX353" s="284"/>
      <c r="AY353" s="5"/>
      <c r="AZ353" s="5"/>
      <c r="BA353" s="230"/>
      <c r="BB353" s="5"/>
      <c r="BC353" s="232" t="s">
        <v>3548</v>
      </c>
      <c r="BD353" s="238" t="s">
        <v>3661</v>
      </c>
      <c r="BE353" s="249"/>
      <c r="BF353" s="249"/>
      <c r="BG353" s="249"/>
      <c r="BH353" s="249"/>
      <c r="BI353" s="249"/>
      <c r="BJ353" s="249"/>
      <c r="BK353" s="249"/>
      <c r="BL353" s="249"/>
      <c r="BM353" s="249"/>
      <c r="BN353" s="249"/>
      <c r="BO353" s="249"/>
      <c r="BP353" s="249"/>
      <c r="BQ353" s="249"/>
      <c r="BR353" s="249"/>
      <c r="BS353" s="249"/>
      <c r="BT353" s="249"/>
      <c r="BU353" s="249"/>
      <c r="BV353" s="249"/>
      <c r="BW353" s="249"/>
      <c r="BX353" s="249"/>
      <c r="BY353" s="249"/>
      <c r="BZ353" s="249"/>
      <c r="CA353" s="249"/>
      <c r="CB353" s="249"/>
      <c r="CC353" s="249"/>
      <c r="CD353" s="249"/>
      <c r="CE353" s="249"/>
    </row>
    <row r="354" spans="1:83" s="84" customFormat="1" ht="12.95" customHeight="1">
      <c r="A354" s="209" t="s">
        <v>3547</v>
      </c>
      <c r="B354" s="209" t="s">
        <v>3585</v>
      </c>
      <c r="C354" s="79" t="s">
        <v>340</v>
      </c>
      <c r="D354" s="52" t="s">
        <v>2529</v>
      </c>
      <c r="E354" s="52" t="s">
        <v>2535</v>
      </c>
      <c r="F354" s="53" t="s">
        <v>592</v>
      </c>
      <c r="G354" s="179" t="s">
        <v>1429</v>
      </c>
      <c r="H354" s="180" t="s">
        <v>1451</v>
      </c>
      <c r="I354" s="55" t="s">
        <v>2536</v>
      </c>
      <c r="J354" s="55" t="s">
        <v>1429</v>
      </c>
      <c r="K354" s="56" t="s">
        <v>1429</v>
      </c>
      <c r="L354" s="54" t="s">
        <v>1429</v>
      </c>
      <c r="M354" s="55" t="s">
        <v>1581</v>
      </c>
      <c r="N354" s="55" t="s">
        <v>1581</v>
      </c>
      <c r="O354" s="55" t="s">
        <v>1429</v>
      </c>
      <c r="P354" s="56" t="s">
        <v>1429</v>
      </c>
      <c r="Q354" s="85"/>
      <c r="R354" s="85"/>
      <c r="S354" s="85"/>
      <c r="T354" s="85"/>
      <c r="U354" s="85"/>
      <c r="V354" s="146" t="s">
        <v>2537</v>
      </c>
      <c r="W354" s="51" t="s">
        <v>2510</v>
      </c>
      <c r="X354" s="130"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5" t="s">
        <v>2536</v>
      </c>
      <c r="AR354" s="5"/>
      <c r="AS354" s="5"/>
      <c r="AT354" s="5"/>
      <c r="AU354" s="5"/>
      <c r="AV354" s="5"/>
      <c r="AW354" s="5"/>
      <c r="AX354" s="284"/>
      <c r="AY354" s="5"/>
      <c r="AZ354" s="5"/>
      <c r="BA354" s="230"/>
      <c r="BB354" s="5"/>
      <c r="BC354" s="232" t="s">
        <v>3547</v>
      </c>
      <c r="BD354" s="238" t="s">
        <v>3661</v>
      </c>
      <c r="BE354" s="249"/>
      <c r="BF354" s="249"/>
      <c r="BG354" s="249"/>
      <c r="BH354" s="249"/>
      <c r="BI354" s="249"/>
      <c r="BJ354" s="249"/>
      <c r="BK354" s="249"/>
      <c r="BL354" s="249"/>
      <c r="BM354" s="249"/>
      <c r="BN354" s="249"/>
      <c r="BO354" s="249"/>
      <c r="BP354" s="249"/>
      <c r="BQ354" s="249"/>
      <c r="BR354" s="249"/>
      <c r="BS354" s="249"/>
      <c r="BT354" s="249"/>
      <c r="BU354" s="249"/>
      <c r="BV354" s="249"/>
      <c r="BW354" s="249"/>
      <c r="BX354" s="249"/>
      <c r="BY354" s="249"/>
      <c r="BZ354" s="249"/>
      <c r="CA354" s="249"/>
      <c r="CB354" s="249"/>
      <c r="CC354" s="249"/>
      <c r="CD354" s="249"/>
      <c r="CE354" s="249"/>
    </row>
    <row r="355" spans="1:83" s="84" customFormat="1" ht="12.95" customHeight="1">
      <c r="A355" s="209" t="s">
        <v>3656</v>
      </c>
      <c r="B355" s="209" t="s">
        <v>3766</v>
      </c>
      <c r="C355" s="79" t="s">
        <v>245</v>
      </c>
      <c r="D355" s="52" t="s">
        <v>2538</v>
      </c>
      <c r="E355" s="52" t="s">
        <v>2539</v>
      </c>
      <c r="F355" s="53" t="s">
        <v>268</v>
      </c>
      <c r="G355" s="179" t="s">
        <v>1429</v>
      </c>
      <c r="H355" s="180"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130"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7" t="s">
        <v>1452</v>
      </c>
      <c r="AR355" s="5"/>
      <c r="AS355" s="5"/>
      <c r="AT355" s="5"/>
      <c r="AU355" s="5"/>
      <c r="AV355" s="5"/>
      <c r="AW355" s="5"/>
      <c r="AX355" s="284"/>
      <c r="AY355" s="5"/>
      <c r="AZ355" s="5"/>
      <c r="BA355" s="230"/>
      <c r="BB355" s="5"/>
      <c r="BC355" s="232" t="s">
        <v>3656</v>
      </c>
      <c r="BD355" s="238" t="s">
        <v>3662</v>
      </c>
      <c r="BE355" s="249"/>
      <c r="BF355" s="249"/>
      <c r="BG355" s="249"/>
      <c r="BH355" s="249"/>
      <c r="BI355" s="249"/>
      <c r="BJ355" s="249"/>
      <c r="BK355" s="249"/>
      <c r="BL355" s="249"/>
      <c r="BM355" s="249"/>
      <c r="BN355" s="249"/>
      <c r="BO355" s="249"/>
      <c r="BP355" s="249"/>
      <c r="BQ355" s="249"/>
      <c r="BR355" s="249"/>
      <c r="BS355" s="249"/>
      <c r="BT355" s="249"/>
      <c r="BU355" s="249"/>
      <c r="BV355" s="249"/>
      <c r="BW355" s="249"/>
      <c r="BX355" s="249"/>
      <c r="BY355" s="249"/>
      <c r="BZ355" s="249"/>
      <c r="CA355" s="249"/>
      <c r="CB355" s="249"/>
      <c r="CC355" s="249"/>
      <c r="CD355" s="249"/>
      <c r="CE355" s="249"/>
    </row>
    <row r="356" spans="1:83" s="84" customFormat="1" ht="12.95" customHeight="1">
      <c r="A356" s="209" t="s">
        <v>3657</v>
      </c>
      <c r="B356" s="209" t="s">
        <v>3767</v>
      </c>
      <c r="C356" s="79" t="s">
        <v>246</v>
      </c>
      <c r="D356" s="52" t="s">
        <v>2542</v>
      </c>
      <c r="E356" s="52" t="s">
        <v>2543</v>
      </c>
      <c r="F356" s="53" t="s">
        <v>267</v>
      </c>
      <c r="G356" s="179" t="s">
        <v>1429</v>
      </c>
      <c r="H356" s="180"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5" t="s">
        <v>1453</v>
      </c>
      <c r="AR356" s="5"/>
      <c r="AS356" s="5"/>
      <c r="AT356" s="5"/>
      <c r="AU356" s="5"/>
      <c r="AV356" s="5"/>
      <c r="AW356" s="5"/>
      <c r="AX356" s="284"/>
      <c r="AY356" s="5"/>
      <c r="AZ356" s="5"/>
      <c r="BA356" s="230"/>
      <c r="BB356" s="5"/>
      <c r="BC356" s="232" t="s">
        <v>3657</v>
      </c>
      <c r="BD356" s="238" t="s">
        <v>3662</v>
      </c>
      <c r="BE356" s="249"/>
      <c r="BF356" s="249"/>
      <c r="BG356" s="249"/>
      <c r="BH356" s="249"/>
      <c r="BI356" s="249"/>
      <c r="BJ356" s="249"/>
      <c r="BK356" s="249"/>
      <c r="BL356" s="249"/>
      <c r="BM356" s="249"/>
      <c r="BN356" s="249"/>
      <c r="BO356" s="249"/>
      <c r="BP356" s="249"/>
      <c r="BQ356" s="249"/>
      <c r="BR356" s="249"/>
      <c r="BS356" s="249"/>
      <c r="BT356" s="249"/>
      <c r="BU356" s="249"/>
      <c r="BV356" s="249"/>
      <c r="BW356" s="249"/>
      <c r="BX356" s="249"/>
      <c r="BY356" s="249"/>
      <c r="BZ356" s="249"/>
      <c r="CA356" s="249"/>
      <c r="CB356" s="249"/>
      <c r="CC356" s="249"/>
      <c r="CD356" s="249"/>
      <c r="CE356" s="249"/>
    </row>
    <row r="357" spans="1:83" s="84" customFormat="1" ht="12.95" customHeight="1">
      <c r="A357" s="209" t="s">
        <v>3658</v>
      </c>
      <c r="B357" s="209" t="s">
        <v>3768</v>
      </c>
      <c r="C357" s="79" t="s">
        <v>247</v>
      </c>
      <c r="D357" s="52" t="s">
        <v>2513</v>
      </c>
      <c r="E357" s="52" t="s">
        <v>2546</v>
      </c>
      <c r="F357" s="53" t="s">
        <v>266</v>
      </c>
      <c r="G357" s="179" t="s">
        <v>1429</v>
      </c>
      <c r="H357" s="180"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7" t="s">
        <v>1454</v>
      </c>
      <c r="AR357" s="5"/>
      <c r="AS357" s="5"/>
      <c r="AT357" s="5"/>
      <c r="AU357" s="5"/>
      <c r="AV357" s="5"/>
      <c r="AW357" s="5"/>
      <c r="AX357" s="284"/>
      <c r="AY357" s="5"/>
      <c r="AZ357" s="5"/>
      <c r="BA357" s="230"/>
      <c r="BB357" s="5"/>
      <c r="BC357" s="232" t="s">
        <v>3658</v>
      </c>
      <c r="BD357" s="238" t="s">
        <v>3662</v>
      </c>
      <c r="BE357" s="249"/>
      <c r="BF357" s="249"/>
      <c r="BG357" s="249"/>
      <c r="BH357" s="249"/>
      <c r="BI357" s="249"/>
      <c r="BJ357" s="249"/>
      <c r="BK357" s="249"/>
      <c r="BL357" s="249"/>
      <c r="BM357" s="249"/>
      <c r="BN357" s="249"/>
      <c r="BO357" s="249"/>
      <c r="BP357" s="249"/>
      <c r="BQ357" s="249"/>
      <c r="BR357" s="249"/>
      <c r="BS357" s="249"/>
      <c r="BT357" s="249"/>
      <c r="BU357" s="249"/>
      <c r="BV357" s="249"/>
      <c r="BW357" s="249"/>
      <c r="BX357" s="249"/>
      <c r="BY357" s="249"/>
      <c r="BZ357" s="249"/>
      <c r="CA357" s="249"/>
      <c r="CB357" s="249"/>
      <c r="CC357" s="249"/>
      <c r="CD357" s="249"/>
      <c r="CE357" s="249"/>
    </row>
    <row r="358" spans="1:83" s="84" customFormat="1" ht="12.95" customHeight="1">
      <c r="A358" s="209" t="s">
        <v>3659</v>
      </c>
      <c r="B358" s="209" t="s">
        <v>3769</v>
      </c>
      <c r="C358" s="79" t="s">
        <v>248</v>
      </c>
      <c r="D358" s="52" t="s">
        <v>2507</v>
      </c>
      <c r="E358" s="52" t="s">
        <v>2549</v>
      </c>
      <c r="F358" s="53" t="s">
        <v>265</v>
      </c>
      <c r="G358" s="179" t="s">
        <v>1429</v>
      </c>
      <c r="H358" s="180"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5" t="s">
        <v>1455</v>
      </c>
      <c r="AR358" s="5"/>
      <c r="AS358" s="5"/>
      <c r="AT358" s="5"/>
      <c r="AU358" s="5"/>
      <c r="AV358" s="5"/>
      <c r="AW358" s="5"/>
      <c r="AX358" s="284"/>
      <c r="AY358" s="5"/>
      <c r="AZ358" s="5"/>
      <c r="BA358" s="230"/>
      <c r="BB358" s="5"/>
      <c r="BC358" s="232" t="s">
        <v>3659</v>
      </c>
      <c r="BD358" s="238" t="s">
        <v>3662</v>
      </c>
      <c r="BE358" s="249"/>
      <c r="BF358" s="249"/>
      <c r="BG358" s="249"/>
      <c r="BH358" s="249"/>
      <c r="BI358" s="249"/>
      <c r="BJ358" s="249"/>
      <c r="BK358" s="249"/>
      <c r="BL358" s="249"/>
      <c r="BM358" s="249"/>
      <c r="BN358" s="249"/>
      <c r="BO358" s="249"/>
      <c r="BP358" s="249"/>
      <c r="BQ358" s="249"/>
      <c r="BR358" s="249"/>
      <c r="BS358" s="249"/>
      <c r="BT358" s="249"/>
      <c r="BU358" s="249"/>
      <c r="BV358" s="249"/>
      <c r="BW358" s="249"/>
      <c r="BX358" s="249"/>
      <c r="BY358" s="249"/>
      <c r="BZ358" s="249"/>
      <c r="CA358" s="249"/>
      <c r="CB358" s="249"/>
      <c r="CC358" s="249"/>
      <c r="CD358" s="249"/>
      <c r="CE358" s="249"/>
    </row>
    <row r="359" spans="1:83" s="84" customFormat="1" ht="12.95" customHeight="1">
      <c r="A359" s="209" t="s">
        <v>3541</v>
      </c>
      <c r="B359" s="209" t="s">
        <v>1831</v>
      </c>
      <c r="C359" s="79" t="s">
        <v>249</v>
      </c>
      <c r="D359" s="52" t="s">
        <v>2552</v>
      </c>
      <c r="E359" s="52" t="s">
        <v>2553</v>
      </c>
      <c r="F359" s="53" t="s">
        <v>264</v>
      </c>
      <c r="G359" s="179" t="s">
        <v>1429</v>
      </c>
      <c r="H359" s="180"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7" t="s">
        <v>2554</v>
      </c>
      <c r="AR359" s="5"/>
      <c r="AS359" s="5"/>
      <c r="AT359" s="5"/>
      <c r="AU359" s="5"/>
      <c r="AV359" s="5"/>
      <c r="AW359" s="5"/>
      <c r="AX359" s="284"/>
      <c r="AY359" s="5"/>
      <c r="AZ359" s="5"/>
      <c r="BA359" s="230"/>
      <c r="BB359" s="5"/>
      <c r="BC359" s="232" t="s">
        <v>3541</v>
      </c>
      <c r="BD359" s="238" t="s">
        <v>3663</v>
      </c>
      <c r="BE359" s="249"/>
      <c r="BF359" s="249"/>
      <c r="BG359" s="249"/>
      <c r="BH359" s="249"/>
      <c r="BI359" s="249"/>
      <c r="BJ359" s="249"/>
      <c r="BK359" s="249"/>
      <c r="BL359" s="249"/>
      <c r="BM359" s="249"/>
      <c r="BN359" s="249"/>
      <c r="BO359" s="249"/>
      <c r="BP359" s="249"/>
      <c r="BQ359" s="249"/>
      <c r="BR359" s="249"/>
      <c r="BS359" s="249"/>
      <c r="BT359" s="249"/>
      <c r="BU359" s="249"/>
      <c r="BV359" s="249"/>
      <c r="BW359" s="249"/>
      <c r="BX359" s="249"/>
      <c r="BY359" s="249"/>
      <c r="BZ359" s="249"/>
      <c r="CA359" s="249"/>
      <c r="CB359" s="249"/>
      <c r="CC359" s="249"/>
      <c r="CD359" s="249"/>
      <c r="CE359" s="249"/>
    </row>
    <row r="360" spans="1:83" s="84" customFormat="1" ht="12.95" customHeight="1">
      <c r="A360" s="209" t="s">
        <v>3542</v>
      </c>
      <c r="B360" s="209" t="s">
        <v>1839</v>
      </c>
      <c r="C360" s="79" t="s">
        <v>250</v>
      </c>
      <c r="D360" s="52" t="s">
        <v>2556</v>
      </c>
      <c r="E360" s="52" t="s">
        <v>2557</v>
      </c>
      <c r="F360" s="53" t="s">
        <v>263</v>
      </c>
      <c r="G360" s="179" t="s">
        <v>1429</v>
      </c>
      <c r="H360" s="180"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5" t="s">
        <v>2558</v>
      </c>
      <c r="AR360" s="5"/>
      <c r="AS360" s="5"/>
      <c r="AT360" s="5"/>
      <c r="AU360" s="5"/>
      <c r="AV360" s="5"/>
      <c r="AW360" s="5"/>
      <c r="AX360" s="284"/>
      <c r="AY360" s="5"/>
      <c r="AZ360" s="5"/>
      <c r="BA360" s="230"/>
      <c r="BB360" s="5"/>
      <c r="BC360" s="232" t="s">
        <v>3542</v>
      </c>
      <c r="BD360" s="238" t="s">
        <v>3663</v>
      </c>
      <c r="BE360" s="249"/>
      <c r="BF360" s="249"/>
      <c r="BG360" s="249"/>
      <c r="BH360" s="249"/>
      <c r="BI360" s="249"/>
      <c r="BJ360" s="249"/>
      <c r="BK360" s="249"/>
      <c r="BL360" s="249"/>
      <c r="BM360" s="249"/>
      <c r="BN360" s="249"/>
      <c r="BO360" s="249"/>
      <c r="BP360" s="249"/>
      <c r="BQ360" s="249"/>
      <c r="BR360" s="249"/>
      <c r="BS360" s="249"/>
      <c r="BT360" s="249"/>
      <c r="BU360" s="249"/>
      <c r="BV360" s="249"/>
      <c r="BW360" s="249"/>
      <c r="BX360" s="249"/>
      <c r="BY360" s="249"/>
      <c r="BZ360" s="249"/>
      <c r="CA360" s="249"/>
      <c r="CB360" s="249"/>
      <c r="CC360" s="249"/>
      <c r="CD360" s="249"/>
      <c r="CE360" s="249"/>
    </row>
    <row r="361" spans="1:83" s="84" customFormat="1" ht="12.95" customHeight="1">
      <c r="A361" s="209" t="s">
        <v>3543</v>
      </c>
      <c r="B361" s="209" t="s">
        <v>3581</v>
      </c>
      <c r="C361" s="79" t="s">
        <v>251</v>
      </c>
      <c r="D361" s="52" t="s">
        <v>2543</v>
      </c>
      <c r="E361" s="52" t="s">
        <v>2560</v>
      </c>
      <c r="F361" s="53" t="s">
        <v>262</v>
      </c>
      <c r="G361" s="179" t="s">
        <v>1429</v>
      </c>
      <c r="H361" s="180"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7" t="s">
        <v>2561</v>
      </c>
      <c r="AR361" s="5"/>
      <c r="AS361" s="5"/>
      <c r="AT361" s="5"/>
      <c r="AU361" s="5"/>
      <c r="AV361" s="5"/>
      <c r="AW361" s="5"/>
      <c r="AX361" s="284"/>
      <c r="AY361" s="5"/>
      <c r="AZ361" s="5"/>
      <c r="BA361" s="230"/>
      <c r="BB361" s="5"/>
      <c r="BC361" s="232" t="s">
        <v>3543</v>
      </c>
      <c r="BD361" s="238" t="s">
        <v>3663</v>
      </c>
      <c r="BE361" s="249"/>
      <c r="BF361" s="249"/>
      <c r="BG361" s="249"/>
      <c r="BH361" s="249"/>
      <c r="BI361" s="249"/>
      <c r="BJ361" s="249"/>
      <c r="BK361" s="249"/>
      <c r="BL361" s="249"/>
      <c r="BM361" s="249"/>
      <c r="BN361" s="249"/>
      <c r="BO361" s="249"/>
      <c r="BP361" s="249"/>
      <c r="BQ361" s="249"/>
      <c r="BR361" s="249"/>
      <c r="BS361" s="249"/>
      <c r="BT361" s="249"/>
      <c r="BU361" s="249"/>
      <c r="BV361" s="249"/>
      <c r="BW361" s="249"/>
      <c r="BX361" s="249"/>
      <c r="BY361" s="249"/>
      <c r="BZ361" s="249"/>
      <c r="CA361" s="249"/>
      <c r="CB361" s="249"/>
      <c r="CC361" s="249"/>
      <c r="CD361" s="249"/>
      <c r="CE361" s="249"/>
    </row>
    <row r="362" spans="1:83" s="84" customFormat="1" ht="12.95" customHeight="1">
      <c r="A362" s="209" t="s">
        <v>3544</v>
      </c>
      <c r="B362" s="209" t="s">
        <v>1601</v>
      </c>
      <c r="C362" s="79" t="s">
        <v>252</v>
      </c>
      <c r="D362" s="52" t="s">
        <v>2539</v>
      </c>
      <c r="E362" s="52" t="s">
        <v>2563</v>
      </c>
      <c r="F362" s="53" t="s">
        <v>261</v>
      </c>
      <c r="G362" s="179" t="s">
        <v>1429</v>
      </c>
      <c r="H362" s="180"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5" t="s">
        <v>2564</v>
      </c>
      <c r="AR362" s="5"/>
      <c r="AS362" s="5"/>
      <c r="AT362" s="5"/>
      <c r="AU362" s="5"/>
      <c r="AV362" s="5"/>
      <c r="AW362" s="5"/>
      <c r="AX362" s="284"/>
      <c r="AY362" s="5"/>
      <c r="AZ362" s="5"/>
      <c r="BA362" s="230"/>
      <c r="BB362" s="5"/>
      <c r="BC362" s="232" t="s">
        <v>3544</v>
      </c>
      <c r="BD362" s="238" t="s">
        <v>3663</v>
      </c>
      <c r="BE362" s="249"/>
      <c r="BF362" s="249"/>
      <c r="BG362" s="249"/>
      <c r="BH362" s="249"/>
      <c r="BI362" s="249"/>
      <c r="BJ362" s="249"/>
      <c r="BK362" s="249"/>
      <c r="BL362" s="249"/>
      <c r="BM362" s="249"/>
      <c r="BN362" s="249"/>
      <c r="BO362" s="249"/>
      <c r="BP362" s="249"/>
      <c r="BQ362" s="249"/>
      <c r="BR362" s="249"/>
      <c r="BS362" s="249"/>
      <c r="BT362" s="249"/>
      <c r="BU362" s="249"/>
      <c r="BV362" s="249"/>
      <c r="BW362" s="249"/>
      <c r="BX362" s="249"/>
      <c r="BY362" s="249"/>
      <c r="BZ362" s="249"/>
      <c r="CA362" s="249"/>
      <c r="CB362" s="249"/>
      <c r="CC362" s="249"/>
      <c r="CD362" s="249"/>
      <c r="CE362" s="249"/>
    </row>
    <row r="363" spans="1:83" s="84" customFormat="1" ht="12.95" customHeight="1">
      <c r="A363" s="84" t="s">
        <v>3424</v>
      </c>
      <c r="B363" s="84" t="s">
        <v>3633</v>
      </c>
      <c r="C363" s="79" t="s">
        <v>253</v>
      </c>
      <c r="D363" s="52" t="s">
        <v>2566</v>
      </c>
      <c r="E363" s="52" t="s">
        <v>2567</v>
      </c>
      <c r="F363" s="53" t="s">
        <v>260</v>
      </c>
      <c r="G363" s="179" t="s">
        <v>1429</v>
      </c>
      <c r="H363" s="180"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7" t="s">
        <v>1461</v>
      </c>
      <c r="AR363" s="5"/>
      <c r="AS363" s="5"/>
      <c r="AT363" s="5"/>
      <c r="AU363" s="5"/>
      <c r="AV363" s="5"/>
      <c r="AW363" s="5"/>
      <c r="AX363" s="284"/>
      <c r="AY363" s="5"/>
      <c r="AZ363" s="5"/>
      <c r="BA363" s="230"/>
      <c r="BB363" s="5"/>
      <c r="BC363" s="232" t="s">
        <v>3424</v>
      </c>
      <c r="BD363" s="238" t="s">
        <v>3664</v>
      </c>
      <c r="BE363" s="249"/>
      <c r="BF363" s="249"/>
      <c r="BG363" s="249"/>
      <c r="BH363" s="249"/>
      <c r="BI363" s="249"/>
      <c r="BJ363" s="249"/>
      <c r="BK363" s="249"/>
      <c r="BL363" s="249"/>
      <c r="BM363" s="249"/>
      <c r="BN363" s="249"/>
      <c r="BO363" s="249"/>
      <c r="BP363" s="249"/>
      <c r="BQ363" s="249"/>
      <c r="BR363" s="249"/>
      <c r="BS363" s="249"/>
      <c r="BT363" s="249"/>
      <c r="BU363" s="249"/>
      <c r="BV363" s="249"/>
      <c r="BW363" s="249"/>
      <c r="BX363" s="249"/>
      <c r="BY363" s="249"/>
      <c r="BZ363" s="249"/>
      <c r="CA363" s="249"/>
      <c r="CB363" s="249"/>
      <c r="CC363" s="249"/>
      <c r="CD363" s="249"/>
      <c r="CE363" s="249"/>
    </row>
    <row r="364" spans="1:83" s="84" customFormat="1" ht="12.95" customHeight="1">
      <c r="A364" s="84" t="s">
        <v>3425</v>
      </c>
      <c r="B364" s="84" t="s">
        <v>3634</v>
      </c>
      <c r="C364" s="79" t="s">
        <v>254</v>
      </c>
      <c r="D364" s="52" t="s">
        <v>2570</v>
      </c>
      <c r="E364" s="52" t="s">
        <v>2571</v>
      </c>
      <c r="F364" s="53" t="s">
        <v>259</v>
      </c>
      <c r="G364" s="179" t="s">
        <v>1429</v>
      </c>
      <c r="H364" s="180"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5" t="s">
        <v>1460</v>
      </c>
      <c r="AR364" s="5"/>
      <c r="AS364" s="5"/>
      <c r="AT364" s="5"/>
      <c r="AU364" s="5"/>
      <c r="AV364" s="5"/>
      <c r="AW364" s="5"/>
      <c r="AX364" s="284"/>
      <c r="AY364" s="5"/>
      <c r="AZ364" s="5"/>
      <c r="BA364" s="230"/>
      <c r="BB364" s="5"/>
      <c r="BC364" s="232" t="s">
        <v>3425</v>
      </c>
      <c r="BD364" s="238" t="s">
        <v>3664</v>
      </c>
      <c r="BE364" s="249"/>
      <c r="BF364" s="249"/>
      <c r="BG364" s="249"/>
      <c r="BH364" s="249"/>
      <c r="BI364" s="249"/>
      <c r="BJ364" s="249"/>
      <c r="BK364" s="249"/>
      <c r="BL364" s="249"/>
      <c r="BM364" s="249"/>
      <c r="BN364" s="249"/>
      <c r="BO364" s="249"/>
      <c r="BP364" s="249"/>
      <c r="BQ364" s="249"/>
      <c r="BR364" s="249"/>
      <c r="BS364" s="249"/>
      <c r="BT364" s="249"/>
      <c r="BU364" s="249"/>
      <c r="BV364" s="249"/>
      <c r="BW364" s="249"/>
      <c r="BX364" s="249"/>
      <c r="BY364" s="249"/>
      <c r="BZ364" s="249"/>
      <c r="CA364" s="249"/>
      <c r="CB364" s="249"/>
      <c r="CC364" s="249"/>
      <c r="CD364" s="249"/>
      <c r="CE364" s="249"/>
    </row>
    <row r="365" spans="1:83" s="84" customFormat="1" ht="12.95" customHeight="1">
      <c r="A365" s="84" t="s">
        <v>3426</v>
      </c>
      <c r="B365" s="84" t="s">
        <v>3594</v>
      </c>
      <c r="C365" s="79" t="s">
        <v>255</v>
      </c>
      <c r="D365" s="52" t="s">
        <v>2553</v>
      </c>
      <c r="E365" s="52" t="s">
        <v>2574</v>
      </c>
      <c r="F365" s="53" t="s">
        <v>258</v>
      </c>
      <c r="G365" s="179" t="s">
        <v>1429</v>
      </c>
      <c r="H365" s="180"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7" t="s">
        <v>1463</v>
      </c>
      <c r="AR365" s="5"/>
      <c r="AS365" s="5"/>
      <c r="AT365" s="5"/>
      <c r="AU365" s="5"/>
      <c r="AV365" s="5"/>
      <c r="AW365" s="5"/>
      <c r="AX365" s="284"/>
      <c r="AY365" s="5"/>
      <c r="AZ365" s="5"/>
      <c r="BA365" s="230"/>
      <c r="BB365" s="5"/>
      <c r="BC365" s="232" t="s">
        <v>3426</v>
      </c>
      <c r="BD365" s="238" t="s">
        <v>3664</v>
      </c>
      <c r="BE365" s="249"/>
      <c r="BF365" s="249"/>
      <c r="BG365" s="249"/>
      <c r="BH365" s="249"/>
      <c r="BI365" s="249"/>
      <c r="BJ365" s="249"/>
      <c r="BK365" s="249"/>
      <c r="BL365" s="249"/>
      <c r="BM365" s="249"/>
      <c r="BN365" s="249"/>
      <c r="BO365" s="249"/>
      <c r="BP365" s="249"/>
      <c r="BQ365" s="249"/>
      <c r="BR365" s="249"/>
      <c r="BS365" s="249"/>
      <c r="BT365" s="249"/>
      <c r="BU365" s="249"/>
      <c r="BV365" s="249"/>
      <c r="BW365" s="249"/>
      <c r="BX365" s="249"/>
      <c r="BY365" s="249"/>
      <c r="BZ365" s="249"/>
      <c r="CA365" s="249"/>
      <c r="CB365" s="249"/>
      <c r="CC365" s="249"/>
      <c r="CD365" s="249"/>
      <c r="CE365" s="249"/>
    </row>
    <row r="366" spans="1:83" s="84" customFormat="1" ht="12.95" customHeight="1">
      <c r="A366" s="84" t="s">
        <v>3427</v>
      </c>
      <c r="B366" s="84" t="s">
        <v>3593</v>
      </c>
      <c r="C366" s="79" t="s">
        <v>256</v>
      </c>
      <c r="D366" s="52" t="s">
        <v>2557</v>
      </c>
      <c r="E366" s="52" t="s">
        <v>2577</v>
      </c>
      <c r="F366" s="53" t="s">
        <v>257</v>
      </c>
      <c r="G366" s="179" t="s">
        <v>1429</v>
      </c>
      <c r="H366" s="180"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5" t="s">
        <v>1462</v>
      </c>
      <c r="AR366" s="5"/>
      <c r="AS366" s="5"/>
      <c r="AT366" s="5"/>
      <c r="AU366" s="5"/>
      <c r="AV366" s="5"/>
      <c r="AW366" s="5"/>
      <c r="AX366" s="284"/>
      <c r="AY366" s="5"/>
      <c r="AZ366" s="5"/>
      <c r="BA366" s="230"/>
      <c r="BB366" s="5"/>
      <c r="BC366" s="232" t="s">
        <v>3427</v>
      </c>
      <c r="BD366" s="238" t="s">
        <v>3664</v>
      </c>
      <c r="BE366" s="249"/>
      <c r="BF366" s="249"/>
      <c r="BG366" s="249"/>
      <c r="BH366" s="249"/>
      <c r="BI366" s="249"/>
      <c r="BJ366" s="249"/>
      <c r="BK366" s="249"/>
      <c r="BL366" s="249"/>
      <c r="BM366" s="249"/>
      <c r="BN366" s="249"/>
      <c r="BO366" s="249"/>
      <c r="BP366" s="249"/>
      <c r="BQ366" s="249"/>
      <c r="BR366" s="249"/>
      <c r="BS366" s="249"/>
      <c r="BT366" s="249"/>
      <c r="BU366" s="249"/>
      <c r="BV366" s="249"/>
      <c r="BW366" s="249"/>
      <c r="BX366" s="249"/>
      <c r="BY366" s="249"/>
      <c r="BZ366" s="249"/>
      <c r="CA366" s="249"/>
      <c r="CB366" s="249"/>
      <c r="CC366" s="249"/>
      <c r="CD366" s="249"/>
      <c r="CE366" s="249"/>
    </row>
    <row r="367" spans="1:83" s="84" customFormat="1" ht="12.95" customHeight="1">
      <c r="A367" s="84" t="s">
        <v>3420</v>
      </c>
      <c r="B367" s="84" t="s">
        <v>3618</v>
      </c>
      <c r="C367" s="79" t="s">
        <v>341</v>
      </c>
      <c r="D367" s="52" t="s">
        <v>2580</v>
      </c>
      <c r="E367" s="52" t="s">
        <v>2581</v>
      </c>
      <c r="F367" s="53" t="s">
        <v>593</v>
      </c>
      <c r="G367" s="179" t="s">
        <v>1429</v>
      </c>
      <c r="H367" s="180"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7" t="s">
        <v>1464</v>
      </c>
      <c r="AR367" s="5"/>
      <c r="AS367" s="5"/>
      <c r="AT367" s="5"/>
      <c r="AU367" s="5"/>
      <c r="AV367" s="5"/>
      <c r="AW367" s="5"/>
      <c r="AX367" s="284"/>
      <c r="AY367" s="5"/>
      <c r="AZ367" s="5"/>
      <c r="BA367" s="230"/>
      <c r="BB367" s="5"/>
      <c r="BC367" s="232" t="s">
        <v>3420</v>
      </c>
      <c r="BD367" s="238" t="s">
        <v>275</v>
      </c>
      <c r="BE367" s="249"/>
      <c r="BF367" s="249"/>
      <c r="BG367" s="249"/>
      <c r="BH367" s="249"/>
      <c r="BI367" s="249"/>
      <c r="BJ367" s="249"/>
      <c r="BK367" s="249"/>
      <c r="BL367" s="249"/>
      <c r="BM367" s="249"/>
      <c r="BN367" s="249"/>
      <c r="BO367" s="249"/>
      <c r="BP367" s="249"/>
      <c r="BQ367" s="249"/>
      <c r="BR367" s="249"/>
      <c r="BS367" s="249"/>
      <c r="BT367" s="249"/>
      <c r="BU367" s="249"/>
      <c r="BV367" s="249"/>
      <c r="BW367" s="249"/>
      <c r="BX367" s="249"/>
      <c r="BY367" s="249"/>
      <c r="BZ367" s="249"/>
      <c r="CA367" s="249"/>
      <c r="CB367" s="249"/>
      <c r="CC367" s="249"/>
      <c r="CD367" s="249"/>
      <c r="CE367" s="249"/>
    </row>
    <row r="368" spans="1:83" s="84" customFormat="1" ht="12.95" customHeight="1">
      <c r="A368" s="84" t="s">
        <v>3421</v>
      </c>
      <c r="B368" s="84" t="s">
        <v>3617</v>
      </c>
      <c r="C368" s="79" t="s">
        <v>342</v>
      </c>
      <c r="D368" s="52" t="s">
        <v>2584</v>
      </c>
      <c r="E368" s="52" t="s">
        <v>2585</v>
      </c>
      <c r="F368" s="53" t="s">
        <v>594</v>
      </c>
      <c r="G368" s="179" t="s">
        <v>1429</v>
      </c>
      <c r="H368" s="180"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5" t="s">
        <v>1465</v>
      </c>
      <c r="AR368" s="5"/>
      <c r="AS368" s="5"/>
      <c r="AT368" s="5"/>
      <c r="AU368" s="5"/>
      <c r="AV368" s="5"/>
      <c r="AW368" s="5"/>
      <c r="AX368" s="284"/>
      <c r="AY368" s="5"/>
      <c r="AZ368" s="5"/>
      <c r="BA368" s="230"/>
      <c r="BB368" s="5"/>
      <c r="BC368" s="232" t="s">
        <v>3421</v>
      </c>
      <c r="BD368" s="238" t="s">
        <v>275</v>
      </c>
      <c r="BE368" s="249"/>
      <c r="BF368" s="249"/>
      <c r="BG368" s="249"/>
      <c r="BH368" s="249"/>
      <c r="BI368" s="249"/>
      <c r="BJ368" s="249"/>
      <c r="BK368" s="249"/>
      <c r="BL368" s="249"/>
      <c r="BM368" s="249"/>
      <c r="BN368" s="249"/>
      <c r="BO368" s="249"/>
      <c r="BP368" s="249"/>
      <c r="BQ368" s="249"/>
      <c r="BR368" s="249"/>
      <c r="BS368" s="249"/>
      <c r="BT368" s="249"/>
      <c r="BU368" s="249"/>
      <c r="BV368" s="249"/>
      <c r="BW368" s="249"/>
      <c r="BX368" s="249"/>
      <c r="BY368" s="249"/>
      <c r="BZ368" s="249"/>
      <c r="CA368" s="249"/>
      <c r="CB368" s="249"/>
      <c r="CC368" s="249"/>
      <c r="CD368" s="249"/>
      <c r="CE368" s="249"/>
    </row>
    <row r="369" spans="1:83" s="84" customFormat="1" ht="12.95" customHeight="1">
      <c r="A369" s="84" t="s">
        <v>3422</v>
      </c>
      <c r="B369" s="84" t="s">
        <v>3587</v>
      </c>
      <c r="C369" s="79" t="s">
        <v>343</v>
      </c>
      <c r="D369" s="52" t="s">
        <v>2581</v>
      </c>
      <c r="E369" s="52" t="s">
        <v>2588</v>
      </c>
      <c r="F369" s="53" t="s">
        <v>595</v>
      </c>
      <c r="G369" s="179" t="s">
        <v>1429</v>
      </c>
      <c r="H369" s="180"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7" t="s">
        <v>1466</v>
      </c>
      <c r="AR369" s="5"/>
      <c r="AS369" s="5"/>
      <c r="AT369" s="5"/>
      <c r="AU369" s="5"/>
      <c r="AV369" s="5"/>
      <c r="AW369" s="5"/>
      <c r="AX369" s="284"/>
      <c r="AY369" s="5"/>
      <c r="AZ369" s="5"/>
      <c r="BA369" s="230"/>
      <c r="BB369" s="5"/>
      <c r="BC369" s="232" t="s">
        <v>3422</v>
      </c>
      <c r="BD369" s="238" t="s">
        <v>275</v>
      </c>
      <c r="BE369" s="249"/>
      <c r="BF369" s="249"/>
      <c r="BG369" s="249"/>
      <c r="BH369" s="249"/>
      <c r="BI369" s="249"/>
      <c r="BJ369" s="249"/>
      <c r="BK369" s="249"/>
      <c r="BL369" s="249"/>
      <c r="BM369" s="249"/>
      <c r="BN369" s="249"/>
      <c r="BO369" s="249"/>
      <c r="BP369" s="249"/>
      <c r="BQ369" s="249"/>
      <c r="BR369" s="249"/>
      <c r="BS369" s="249"/>
      <c r="BT369" s="249"/>
      <c r="BU369" s="249"/>
      <c r="BV369" s="249"/>
      <c r="BW369" s="249"/>
      <c r="BX369" s="249"/>
      <c r="BY369" s="249"/>
      <c r="BZ369" s="249"/>
      <c r="CA369" s="249"/>
      <c r="CB369" s="249"/>
      <c r="CC369" s="249"/>
      <c r="CD369" s="249"/>
      <c r="CE369" s="249"/>
    </row>
    <row r="370" spans="1:83" s="84" customFormat="1" ht="12.95" customHeight="1">
      <c r="A370" s="84" t="s">
        <v>3423</v>
      </c>
      <c r="B370" s="84" t="s">
        <v>3588</v>
      </c>
      <c r="C370" s="79" t="s">
        <v>344</v>
      </c>
      <c r="D370" s="52" t="s">
        <v>2585</v>
      </c>
      <c r="E370" s="52" t="s">
        <v>2591</v>
      </c>
      <c r="F370" s="53" t="s">
        <v>596</v>
      </c>
      <c r="G370" s="179" t="s">
        <v>1429</v>
      </c>
      <c r="H370" s="180"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5" t="s">
        <v>1467</v>
      </c>
      <c r="AR370" s="5"/>
      <c r="AS370" s="5"/>
      <c r="AT370" s="5"/>
      <c r="AU370" s="5"/>
      <c r="AV370" s="5"/>
      <c r="AW370" s="5"/>
      <c r="AX370" s="284"/>
      <c r="AY370" s="5"/>
      <c r="AZ370" s="5"/>
      <c r="BA370" s="230"/>
      <c r="BB370" s="5"/>
      <c r="BC370" s="232" t="s">
        <v>3423</v>
      </c>
      <c r="BD370" s="238" t="s">
        <v>275</v>
      </c>
      <c r="BE370" s="249"/>
      <c r="BF370" s="249"/>
      <c r="BG370" s="249"/>
      <c r="BH370" s="249"/>
      <c r="BI370" s="249"/>
      <c r="BJ370" s="249"/>
      <c r="BK370" s="249"/>
      <c r="BL370" s="249"/>
      <c r="BM370" s="249"/>
      <c r="BN370" s="249"/>
      <c r="BO370" s="249"/>
      <c r="BP370" s="249"/>
      <c r="BQ370" s="249"/>
      <c r="BR370" s="249"/>
      <c r="BS370" s="249"/>
      <c r="BT370" s="249"/>
      <c r="BU370" s="249"/>
      <c r="BV370" s="249"/>
      <c r="BW370" s="249"/>
      <c r="BX370" s="249"/>
      <c r="BY370" s="249"/>
      <c r="BZ370" s="249"/>
      <c r="CA370" s="249"/>
      <c r="CB370" s="249"/>
      <c r="CC370" s="249"/>
      <c r="CD370" s="249"/>
      <c r="CE370" s="249"/>
    </row>
    <row r="371" spans="1:83" s="84" customFormat="1" ht="12.95" customHeight="1">
      <c r="A371" s="1"/>
      <c r="B371" s="1"/>
      <c r="C371" s="79" t="s">
        <v>1055</v>
      </c>
      <c r="D371" s="52" t="s">
        <v>2594</v>
      </c>
      <c r="E371" s="52" t="s">
        <v>2520</v>
      </c>
      <c r="F371" s="53" t="s">
        <v>1343</v>
      </c>
      <c r="G371" s="179" t="s">
        <v>1429</v>
      </c>
      <c r="H371" s="180"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7" t="s">
        <v>1055</v>
      </c>
      <c r="AR371" s="5"/>
      <c r="AS371" s="5"/>
      <c r="AT371" s="5"/>
      <c r="AU371" s="5"/>
      <c r="AV371" s="5"/>
      <c r="AW371" s="5"/>
      <c r="AX371" s="284"/>
      <c r="AY371" s="5"/>
      <c r="AZ371" s="5"/>
      <c r="BA371" s="230"/>
      <c r="BB371" s="5"/>
      <c r="BC371" s="232" t="s">
        <v>1055</v>
      </c>
      <c r="BD371" s="268"/>
      <c r="BE371" s="249"/>
      <c r="BF371" s="249"/>
      <c r="BG371" s="249"/>
      <c r="BH371" s="249"/>
      <c r="BI371" s="249"/>
      <c r="BJ371" s="249"/>
      <c r="BK371" s="249"/>
      <c r="BL371" s="249"/>
      <c r="BM371" s="249"/>
      <c r="BN371" s="249"/>
      <c r="BO371" s="249"/>
      <c r="BP371" s="249"/>
      <c r="BQ371" s="249"/>
      <c r="BR371" s="249"/>
      <c r="BS371" s="249"/>
      <c r="BT371" s="249"/>
      <c r="BU371" s="249"/>
      <c r="BV371" s="249"/>
      <c r="BW371" s="249"/>
      <c r="BX371" s="249"/>
      <c r="BY371" s="249"/>
      <c r="BZ371" s="249"/>
      <c r="CA371" s="249"/>
      <c r="CB371" s="249"/>
      <c r="CC371" s="249"/>
      <c r="CD371" s="249"/>
      <c r="CE371" s="249"/>
    </row>
    <row r="372" spans="1:83" s="84" customFormat="1" ht="12.95" customHeight="1">
      <c r="A372" s="1"/>
      <c r="B372" s="1"/>
      <c r="C372" s="79" t="s">
        <v>1054</v>
      </c>
      <c r="D372" s="52" t="s">
        <v>2596</v>
      </c>
      <c r="E372" s="52" t="s">
        <v>2516</v>
      </c>
      <c r="F372" s="53" t="s">
        <v>1344</v>
      </c>
      <c r="G372" s="179" t="s">
        <v>1429</v>
      </c>
      <c r="H372" s="180"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5" t="s">
        <v>1054</v>
      </c>
      <c r="AR372" s="5"/>
      <c r="AS372" s="5"/>
      <c r="AT372" s="5"/>
      <c r="AU372" s="5"/>
      <c r="AV372" s="5"/>
      <c r="AW372" s="5"/>
      <c r="AX372" s="284"/>
      <c r="AY372" s="5"/>
      <c r="AZ372" s="5"/>
      <c r="BA372" s="230"/>
      <c r="BB372" s="5"/>
      <c r="BC372" s="232" t="s">
        <v>1054</v>
      </c>
      <c r="BD372" s="268"/>
      <c r="BE372" s="249"/>
      <c r="BF372" s="249"/>
      <c r="BG372" s="249"/>
      <c r="BH372" s="249"/>
      <c r="BI372" s="249"/>
      <c r="BJ372" s="249"/>
      <c r="BK372" s="249"/>
      <c r="BL372" s="249"/>
      <c r="BM372" s="249"/>
      <c r="BN372" s="249"/>
      <c r="BO372" s="249"/>
      <c r="BP372" s="249"/>
      <c r="BQ372" s="249"/>
      <c r="BR372" s="249"/>
      <c r="BS372" s="249"/>
      <c r="BT372" s="249"/>
      <c r="BU372" s="249"/>
      <c r="BV372" s="249"/>
      <c r="BW372" s="249"/>
      <c r="BX372" s="249"/>
      <c r="BY372" s="249"/>
      <c r="BZ372" s="249"/>
      <c r="CA372" s="249"/>
      <c r="CB372" s="249"/>
      <c r="CC372" s="249"/>
      <c r="CD372" s="249"/>
      <c r="CE372" s="249"/>
    </row>
    <row r="373" spans="1:83" s="84" customFormat="1" ht="12.95" customHeight="1">
      <c r="A373" s="1"/>
      <c r="B373" s="1"/>
      <c r="C373" s="79" t="s">
        <v>1057</v>
      </c>
      <c r="D373" s="52" t="s">
        <v>2567</v>
      </c>
      <c r="E373" s="52" t="s">
        <v>2598</v>
      </c>
      <c r="F373" s="53" t="s">
        <v>1345</v>
      </c>
      <c r="G373" s="179" t="s">
        <v>1429</v>
      </c>
      <c r="H373" s="180"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7" t="s">
        <v>1057</v>
      </c>
      <c r="AR373" s="5"/>
      <c r="AS373" s="5"/>
      <c r="AT373" s="5"/>
      <c r="AU373" s="5"/>
      <c r="AV373" s="5"/>
      <c r="AW373" s="5"/>
      <c r="AX373" s="284"/>
      <c r="AY373" s="5"/>
      <c r="AZ373" s="5"/>
      <c r="BA373" s="230"/>
      <c r="BB373" s="5"/>
      <c r="BC373" s="232" t="s">
        <v>1057</v>
      </c>
      <c r="BD373" s="268"/>
      <c r="BE373" s="249"/>
      <c r="BF373" s="249"/>
      <c r="BG373" s="249"/>
      <c r="BH373" s="249"/>
      <c r="BI373" s="249"/>
      <c r="BJ373" s="249"/>
      <c r="BK373" s="249"/>
      <c r="BL373" s="249"/>
      <c r="BM373" s="249"/>
      <c r="BN373" s="249"/>
      <c r="BO373" s="249"/>
      <c r="BP373" s="249"/>
      <c r="BQ373" s="249"/>
      <c r="BR373" s="249"/>
      <c r="BS373" s="249"/>
      <c r="BT373" s="249"/>
      <c r="BU373" s="249"/>
      <c r="BV373" s="249"/>
      <c r="BW373" s="249"/>
      <c r="BX373" s="249"/>
      <c r="BY373" s="249"/>
      <c r="BZ373" s="249"/>
      <c r="CA373" s="249"/>
      <c r="CB373" s="249"/>
      <c r="CC373" s="249"/>
      <c r="CD373" s="249"/>
      <c r="CE373" s="249"/>
    </row>
    <row r="374" spans="1:83" s="84" customFormat="1" ht="12.95" customHeight="1">
      <c r="A374" s="1"/>
      <c r="B374" s="1"/>
      <c r="C374" s="79" t="s">
        <v>1056</v>
      </c>
      <c r="D374" s="52" t="s">
        <v>2571</v>
      </c>
      <c r="E374" s="52" t="s">
        <v>2600</v>
      </c>
      <c r="F374" s="53" t="s">
        <v>1346</v>
      </c>
      <c r="G374" s="179" t="s">
        <v>1429</v>
      </c>
      <c r="H374" s="180"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5" t="s">
        <v>1056</v>
      </c>
      <c r="AR374" s="5"/>
      <c r="AS374" s="5"/>
      <c r="AT374" s="5"/>
      <c r="AU374" s="5"/>
      <c r="AV374" s="5"/>
      <c r="AW374" s="5"/>
      <c r="AX374" s="284"/>
      <c r="AY374" s="5"/>
      <c r="AZ374" s="5"/>
      <c r="BA374" s="230"/>
      <c r="BB374" s="5"/>
      <c r="BC374" s="232" t="s">
        <v>1056</v>
      </c>
      <c r="BD374" s="268"/>
      <c r="BE374" s="249"/>
      <c r="BF374" s="249"/>
      <c r="BG374" s="249"/>
      <c r="BH374" s="249"/>
      <c r="BI374" s="249"/>
      <c r="BJ374" s="249"/>
      <c r="BK374" s="249"/>
      <c r="BL374" s="249"/>
      <c r="BM374" s="249"/>
      <c r="BN374" s="249"/>
      <c r="BO374" s="249"/>
      <c r="BP374" s="249"/>
      <c r="BQ374" s="249"/>
      <c r="BR374" s="249"/>
      <c r="BS374" s="249"/>
      <c r="BT374" s="249"/>
      <c r="BU374" s="249"/>
      <c r="BV374" s="249"/>
      <c r="BW374" s="249"/>
      <c r="BX374" s="249"/>
      <c r="BY374" s="249"/>
      <c r="BZ374" s="249"/>
      <c r="CA374" s="249"/>
      <c r="CB374" s="249"/>
      <c r="CC374" s="249"/>
      <c r="CD374" s="249"/>
      <c r="CE374" s="249"/>
    </row>
    <row r="375" spans="1:83" s="84" customFormat="1" ht="12.95" customHeight="1">
      <c r="A375" s="1"/>
      <c r="B375" s="1"/>
      <c r="C375" s="79" t="s">
        <v>1058</v>
      </c>
      <c r="D375" s="52" t="s">
        <v>2602</v>
      </c>
      <c r="E375" s="52" t="s">
        <v>2603</v>
      </c>
      <c r="F375" s="53" t="s">
        <v>1347</v>
      </c>
      <c r="G375" s="179" t="s">
        <v>1429</v>
      </c>
      <c r="H375" s="180"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5" t="s">
        <v>1058</v>
      </c>
      <c r="AR375" s="5"/>
      <c r="AS375" s="5"/>
      <c r="AT375" s="5"/>
      <c r="AU375" s="5"/>
      <c r="AV375" s="5"/>
      <c r="AW375" s="5"/>
      <c r="AX375" s="284"/>
      <c r="AY375" s="5"/>
      <c r="AZ375" s="5" t="s">
        <v>291</v>
      </c>
      <c r="BA375" s="230"/>
      <c r="BB375" s="5"/>
      <c r="BC375" s="232"/>
      <c r="BD375" s="269"/>
      <c r="BE375" s="249"/>
      <c r="BF375" s="249"/>
      <c r="BG375" s="249"/>
      <c r="BH375" s="249"/>
      <c r="BI375" s="249"/>
      <c r="BJ375" s="249"/>
      <c r="BK375" s="249"/>
      <c r="BL375" s="249"/>
      <c r="BM375" s="249"/>
      <c r="BN375" s="249"/>
      <c r="BO375" s="249"/>
      <c r="BP375" s="249"/>
      <c r="BQ375" s="249"/>
      <c r="BR375" s="249"/>
      <c r="BS375" s="249"/>
      <c r="BT375" s="249"/>
      <c r="BU375" s="249"/>
      <c r="BV375" s="249"/>
      <c r="BW375" s="249"/>
      <c r="BX375" s="249"/>
      <c r="BY375" s="249"/>
      <c r="BZ375" s="249"/>
      <c r="CA375" s="249"/>
      <c r="CB375" s="249"/>
      <c r="CC375" s="249"/>
      <c r="CD375" s="249"/>
      <c r="CE375" s="249"/>
    </row>
    <row r="376" spans="1:83" s="84" customFormat="1" ht="12.95" customHeight="1">
      <c r="A376" s="1"/>
      <c r="B376" s="1"/>
      <c r="C376" s="79" t="s">
        <v>1059</v>
      </c>
      <c r="D376" s="52" t="s">
        <v>2605</v>
      </c>
      <c r="E376" s="52" t="s">
        <v>2606</v>
      </c>
      <c r="F376" s="53" t="s">
        <v>1348</v>
      </c>
      <c r="G376" s="179" t="s">
        <v>1429</v>
      </c>
      <c r="H376" s="180"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5" t="s">
        <v>1059</v>
      </c>
      <c r="AR376" s="5"/>
      <c r="AS376" s="5"/>
      <c r="AT376" s="5"/>
      <c r="AU376" s="5"/>
      <c r="AV376" s="5"/>
      <c r="AW376" s="5"/>
      <c r="AX376" s="284"/>
      <c r="AY376" s="5"/>
      <c r="AZ376" s="5" t="s">
        <v>291</v>
      </c>
      <c r="BA376" s="230"/>
      <c r="BB376" s="5"/>
      <c r="BC376" s="232"/>
      <c r="BD376" s="269"/>
      <c r="BE376" s="249"/>
      <c r="BF376" s="249"/>
      <c r="BG376" s="249"/>
      <c r="BH376" s="249"/>
      <c r="BI376" s="249"/>
      <c r="BJ376" s="249"/>
      <c r="BK376" s="249"/>
      <c r="BL376" s="249"/>
      <c r="BM376" s="249"/>
      <c r="BN376" s="249"/>
      <c r="BO376" s="249"/>
      <c r="BP376" s="249"/>
      <c r="BQ376" s="249"/>
      <c r="BR376" s="249"/>
      <c r="BS376" s="249"/>
      <c r="BT376" s="249"/>
      <c r="BU376" s="249"/>
      <c r="BV376" s="249"/>
      <c r="BW376" s="249"/>
      <c r="BX376" s="249"/>
      <c r="BY376" s="249"/>
      <c r="BZ376" s="249"/>
      <c r="CA376" s="249"/>
      <c r="CB376" s="249"/>
      <c r="CC376" s="249"/>
      <c r="CD376" s="249"/>
      <c r="CE376" s="249"/>
    </row>
    <row r="377" spans="1:83" s="94" customFormat="1" ht="18"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1"/>
      <c r="AR377" s="251"/>
      <c r="AS377" s="252"/>
      <c r="AT377" s="252"/>
      <c r="AU377" s="252"/>
      <c r="AV377" s="252"/>
      <c r="AW377" s="252"/>
      <c r="AX377" s="291"/>
      <c r="AY377" s="252"/>
      <c r="AZ377" s="252"/>
      <c r="BA377" s="252"/>
      <c r="BB377" s="168" t="s">
        <v>512</v>
      </c>
      <c r="BC377" s="252"/>
      <c r="BD377" s="253"/>
      <c r="BE377" s="309"/>
      <c r="BF377" s="254"/>
      <c r="BG377" s="254"/>
      <c r="BH377" s="254"/>
      <c r="BI377" s="254"/>
      <c r="BJ377" s="254"/>
      <c r="BK377" s="254"/>
      <c r="BL377" s="254"/>
      <c r="BM377" s="254"/>
      <c r="BN377" s="254"/>
      <c r="BO377" s="254"/>
      <c r="BP377" s="254"/>
      <c r="BQ377" s="254"/>
      <c r="BR377" s="254"/>
      <c r="BS377" s="254"/>
      <c r="BT377" s="254"/>
      <c r="BU377" s="254"/>
      <c r="BV377" s="254"/>
      <c r="BW377" s="254"/>
      <c r="BX377" s="254"/>
      <c r="BY377" s="254"/>
      <c r="BZ377" s="254"/>
      <c r="CA377" s="254"/>
      <c r="CB377" s="254"/>
      <c r="CC377" s="254"/>
      <c r="CD377" s="254"/>
      <c r="CE377" s="254"/>
    </row>
    <row r="378" spans="1:83" s="84" customFormat="1" ht="12.95" customHeight="1">
      <c r="A378" s="1"/>
      <c r="B378" s="1"/>
      <c r="C378" s="18" t="s">
        <v>368</v>
      </c>
      <c r="D378" s="52" t="s">
        <v>2608</v>
      </c>
      <c r="E378" s="52" t="s">
        <v>2609</v>
      </c>
      <c r="F378" s="53" t="s">
        <v>597</v>
      </c>
      <c r="G378" s="179" t="s">
        <v>1429</v>
      </c>
      <c r="H378" s="180" t="s">
        <v>368</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29" t="s">
        <v>368</v>
      </c>
      <c r="AR378" s="5"/>
      <c r="AS378" s="5"/>
      <c r="AT378" s="5"/>
      <c r="AU378" s="5"/>
      <c r="AV378" s="5"/>
      <c r="AW378" s="5"/>
      <c r="AX378" s="284"/>
      <c r="AY378" s="5"/>
      <c r="AZ378" s="5"/>
      <c r="BA378" s="230"/>
      <c r="BB378" s="215"/>
      <c r="BC378" s="231" t="s">
        <v>3535</v>
      </c>
      <c r="BD378" s="256"/>
      <c r="BE378" s="249"/>
      <c r="BF378" s="249"/>
      <c r="BG378" s="249"/>
      <c r="BH378" s="249"/>
      <c r="BI378" s="249"/>
      <c r="BJ378" s="249"/>
      <c r="BK378" s="249"/>
      <c r="BL378" s="249"/>
      <c r="BM378" s="249"/>
      <c r="BN378" s="249"/>
      <c r="BO378" s="249"/>
      <c r="BP378" s="249"/>
      <c r="BQ378" s="249"/>
      <c r="BR378" s="249"/>
      <c r="BS378" s="249"/>
      <c r="BT378" s="249"/>
      <c r="BU378" s="249"/>
      <c r="BV378" s="249"/>
      <c r="BW378" s="249"/>
      <c r="BX378" s="249"/>
      <c r="BY378" s="249"/>
      <c r="BZ378" s="249"/>
      <c r="CA378" s="249"/>
      <c r="CB378" s="249"/>
      <c r="CC378" s="249"/>
      <c r="CD378" s="249"/>
      <c r="CE378" s="249"/>
    </row>
    <row r="379" spans="1:83" s="84" customFormat="1" ht="12.95" customHeight="1">
      <c r="A379" s="1"/>
      <c r="B379" s="1"/>
      <c r="C379" s="18" t="s">
        <v>369</v>
      </c>
      <c r="D379" s="52" t="s">
        <v>2613</v>
      </c>
      <c r="E379" s="52" t="s">
        <v>2614</v>
      </c>
      <c r="F379" s="53" t="s">
        <v>598</v>
      </c>
      <c r="G379" s="179" t="s">
        <v>1429</v>
      </c>
      <c r="H379" s="180" t="s">
        <v>369</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29" t="s">
        <v>369</v>
      </c>
      <c r="AR379" s="5"/>
      <c r="AS379" s="5"/>
      <c r="AT379" s="5"/>
      <c r="AU379" s="5"/>
      <c r="AV379" s="5"/>
      <c r="AW379" s="5"/>
      <c r="AX379" s="284"/>
      <c r="AY379" s="5"/>
      <c r="AZ379" s="5"/>
      <c r="BA379" s="230"/>
      <c r="BB379" s="5"/>
      <c r="BC379" s="232" t="s">
        <v>3535</v>
      </c>
      <c r="BD379" s="257"/>
      <c r="BE379" s="249"/>
      <c r="BF379" s="249"/>
      <c r="BG379" s="249"/>
      <c r="BH379" s="249"/>
      <c r="BI379" s="249"/>
      <c r="BJ379" s="249"/>
      <c r="BK379" s="249"/>
      <c r="BL379" s="249"/>
      <c r="BM379" s="249"/>
      <c r="BN379" s="249"/>
      <c r="BO379" s="249"/>
      <c r="BP379" s="249"/>
      <c r="BQ379" s="249"/>
      <c r="BR379" s="249"/>
      <c r="BS379" s="249"/>
      <c r="BT379" s="249"/>
      <c r="BU379" s="249"/>
      <c r="BV379" s="249"/>
      <c r="BW379" s="249"/>
      <c r="BX379" s="249"/>
      <c r="BY379" s="249"/>
      <c r="BZ379" s="249"/>
      <c r="CA379" s="249"/>
      <c r="CB379" s="249"/>
      <c r="CC379" s="249"/>
      <c r="CD379" s="249"/>
      <c r="CE379" s="249"/>
    </row>
    <row r="380" spans="1:83" s="84" customFormat="1" ht="12.95" customHeight="1">
      <c r="A380" s="1"/>
      <c r="B380" s="1"/>
      <c r="C380" s="18" t="s">
        <v>370</v>
      </c>
      <c r="D380" s="52" t="s">
        <v>2616</v>
      </c>
      <c r="E380" s="52" t="s">
        <v>2617</v>
      </c>
      <c r="F380" s="53" t="s">
        <v>599</v>
      </c>
      <c r="G380" s="179" t="s">
        <v>1429</v>
      </c>
      <c r="H380" s="180" t="s">
        <v>370</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29" t="s">
        <v>370</v>
      </c>
      <c r="AR380" s="5"/>
      <c r="AS380" s="5"/>
      <c r="AT380" s="5"/>
      <c r="AU380" s="5"/>
      <c r="AV380" s="5"/>
      <c r="AW380" s="5"/>
      <c r="AX380" s="284"/>
      <c r="AY380" s="5"/>
      <c r="AZ380" s="5"/>
      <c r="BA380" s="230"/>
      <c r="BB380" s="5"/>
      <c r="BC380" s="232" t="s">
        <v>3535</v>
      </c>
      <c r="BD380" s="257"/>
      <c r="BE380" s="249"/>
      <c r="BF380" s="249"/>
      <c r="BG380" s="249"/>
      <c r="BH380" s="249"/>
      <c r="BI380" s="249"/>
      <c r="BJ380" s="249"/>
      <c r="BK380" s="249"/>
      <c r="BL380" s="249"/>
      <c r="BM380" s="249"/>
      <c r="BN380" s="249"/>
      <c r="BO380" s="249"/>
      <c r="BP380" s="249"/>
      <c r="BQ380" s="249"/>
      <c r="BR380" s="249"/>
      <c r="BS380" s="249"/>
      <c r="BT380" s="249"/>
      <c r="BU380" s="249"/>
      <c r="BV380" s="249"/>
      <c r="BW380" s="249"/>
      <c r="BX380" s="249"/>
      <c r="BY380" s="249"/>
      <c r="BZ380" s="249"/>
      <c r="CA380" s="249"/>
      <c r="CB380" s="249"/>
      <c r="CC380" s="249"/>
      <c r="CD380" s="249"/>
      <c r="CE380" s="249"/>
    </row>
    <row r="381" spans="1:83" s="84" customFormat="1" ht="12.95" customHeight="1">
      <c r="A381" s="1"/>
      <c r="B381" s="1"/>
      <c r="C381" s="18" t="s">
        <v>371</v>
      </c>
      <c r="D381" s="52" t="s">
        <v>1859</v>
      </c>
      <c r="E381" s="52" t="s">
        <v>2619</v>
      </c>
      <c r="F381" s="53" t="s">
        <v>600</v>
      </c>
      <c r="G381" s="179" t="s">
        <v>1429</v>
      </c>
      <c r="H381" s="180" t="s">
        <v>371</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29" t="s">
        <v>371</v>
      </c>
      <c r="AR381" s="5"/>
      <c r="AS381" s="5"/>
      <c r="AT381" s="5"/>
      <c r="AU381" s="5"/>
      <c r="AV381" s="5"/>
      <c r="AW381" s="5"/>
      <c r="AX381" s="284"/>
      <c r="AY381" s="5"/>
      <c r="AZ381" s="5"/>
      <c r="BA381" s="230"/>
      <c r="BB381" s="5"/>
      <c r="BC381" s="232" t="s">
        <v>3535</v>
      </c>
      <c r="BD381" s="257"/>
      <c r="BE381" s="249"/>
      <c r="BF381" s="249"/>
      <c r="BG381" s="249"/>
      <c r="BH381" s="249"/>
      <c r="BI381" s="249"/>
      <c r="BJ381" s="249"/>
      <c r="BK381" s="249"/>
      <c r="BL381" s="249"/>
      <c r="BM381" s="249"/>
      <c r="BN381" s="249"/>
      <c r="BO381" s="249"/>
      <c r="BP381" s="249"/>
      <c r="BQ381" s="249"/>
      <c r="BR381" s="249"/>
      <c r="BS381" s="249"/>
      <c r="BT381" s="249"/>
      <c r="BU381" s="249"/>
      <c r="BV381" s="249"/>
      <c r="BW381" s="249"/>
      <c r="BX381" s="249"/>
      <c r="BY381" s="249"/>
      <c r="BZ381" s="249"/>
      <c r="CA381" s="249"/>
      <c r="CB381" s="249"/>
      <c r="CC381" s="249"/>
      <c r="CD381" s="249"/>
      <c r="CE381" s="249"/>
    </row>
    <row r="382" spans="1:83" s="84" customFormat="1" ht="12.95" customHeight="1">
      <c r="A382" s="1"/>
      <c r="B382" s="1"/>
      <c r="C382" s="18" t="s">
        <v>372</v>
      </c>
      <c r="D382" s="52" t="s">
        <v>2621</v>
      </c>
      <c r="E382" s="52" t="s">
        <v>2622</v>
      </c>
      <c r="F382" s="53" t="s">
        <v>601</v>
      </c>
      <c r="G382" s="179" t="s">
        <v>1429</v>
      </c>
      <c r="H382" s="180" t="s">
        <v>372</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29" t="s">
        <v>372</v>
      </c>
      <c r="AR382" s="5"/>
      <c r="AS382" s="5"/>
      <c r="AT382" s="5"/>
      <c r="AU382" s="5"/>
      <c r="AV382" s="5"/>
      <c r="AW382" s="5"/>
      <c r="AX382" s="284"/>
      <c r="AY382" s="5"/>
      <c r="AZ382" s="5"/>
      <c r="BA382" s="230"/>
      <c r="BB382" s="5"/>
      <c r="BC382" s="232" t="s">
        <v>3535</v>
      </c>
      <c r="BD382" s="257"/>
      <c r="BE382" s="249"/>
      <c r="BF382" s="249"/>
      <c r="BG382" s="249"/>
      <c r="BH382" s="249"/>
      <c r="BI382" s="249"/>
      <c r="BJ382" s="249"/>
      <c r="BK382" s="249"/>
      <c r="BL382" s="249"/>
      <c r="BM382" s="249"/>
      <c r="BN382" s="249"/>
      <c r="BO382" s="249"/>
      <c r="BP382" s="249"/>
      <c r="BQ382" s="249"/>
      <c r="BR382" s="249"/>
      <c r="BS382" s="249"/>
      <c r="BT382" s="249"/>
      <c r="BU382" s="249"/>
      <c r="BV382" s="249"/>
      <c r="BW382" s="249"/>
      <c r="BX382" s="249"/>
      <c r="BY382" s="249"/>
      <c r="BZ382" s="249"/>
      <c r="CA382" s="249"/>
      <c r="CB382" s="249"/>
      <c r="CC382" s="249"/>
      <c r="CD382" s="249"/>
      <c r="CE382" s="249"/>
    </row>
    <row r="383" spans="1:83" s="84" customFormat="1" ht="12.95" customHeight="1">
      <c r="A383" s="1"/>
      <c r="B383" s="1"/>
      <c r="C383" s="18" t="s">
        <v>373</v>
      </c>
      <c r="D383" s="52" t="s">
        <v>1861</v>
      </c>
      <c r="E383" s="52" t="s">
        <v>2624</v>
      </c>
      <c r="F383" s="53" t="s">
        <v>602</v>
      </c>
      <c r="G383" s="179" t="s">
        <v>1429</v>
      </c>
      <c r="H383" s="180" t="s">
        <v>373</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29" t="s">
        <v>373</v>
      </c>
      <c r="AR383" s="5"/>
      <c r="AS383" s="5"/>
      <c r="AT383" s="5"/>
      <c r="AU383" s="5"/>
      <c r="AV383" s="5"/>
      <c r="AW383" s="5"/>
      <c r="AX383" s="284"/>
      <c r="AY383" s="5"/>
      <c r="AZ383" s="5"/>
      <c r="BA383" s="230"/>
      <c r="BB383" s="5"/>
      <c r="BC383" s="232" t="s">
        <v>3535</v>
      </c>
      <c r="BD383" s="257"/>
      <c r="BE383" s="249"/>
      <c r="BF383" s="249"/>
      <c r="BG383" s="249"/>
      <c r="BH383" s="249"/>
      <c r="BI383" s="249"/>
      <c r="BJ383" s="249"/>
      <c r="BK383" s="249"/>
      <c r="BL383" s="249"/>
      <c r="BM383" s="249"/>
      <c r="BN383" s="249"/>
      <c r="BO383" s="249"/>
      <c r="BP383" s="249"/>
      <c r="BQ383" s="249"/>
      <c r="BR383" s="249"/>
      <c r="BS383" s="249"/>
      <c r="BT383" s="249"/>
      <c r="BU383" s="249"/>
      <c r="BV383" s="249"/>
      <c r="BW383" s="249"/>
      <c r="BX383" s="249"/>
      <c r="BY383" s="249"/>
      <c r="BZ383" s="249"/>
      <c r="CA383" s="249"/>
      <c r="CB383" s="249"/>
      <c r="CC383" s="249"/>
      <c r="CD383" s="249"/>
      <c r="CE383" s="249"/>
    </row>
    <row r="384" spans="1:83" s="84" customFormat="1" ht="12.95" customHeight="1">
      <c r="A384" s="1"/>
      <c r="B384" s="1"/>
      <c r="C384" s="18" t="s">
        <v>374</v>
      </c>
      <c r="D384" s="52" t="s">
        <v>2626</v>
      </c>
      <c r="E384" s="52" t="s">
        <v>2627</v>
      </c>
      <c r="F384" s="53" t="s">
        <v>603</v>
      </c>
      <c r="G384" s="179" t="s">
        <v>1429</v>
      </c>
      <c r="H384" s="180" t="s">
        <v>374</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29" t="s">
        <v>374</v>
      </c>
      <c r="AR384" s="5"/>
      <c r="AS384" s="5"/>
      <c r="AT384" s="5"/>
      <c r="AU384" s="5"/>
      <c r="AV384" s="5"/>
      <c r="AW384" s="5"/>
      <c r="AX384" s="284"/>
      <c r="AY384" s="5"/>
      <c r="AZ384" s="5"/>
      <c r="BA384" s="230"/>
      <c r="BB384" s="5"/>
      <c r="BC384" s="232" t="s">
        <v>3535</v>
      </c>
      <c r="BD384" s="257"/>
      <c r="BE384" s="249"/>
      <c r="BF384" s="249"/>
      <c r="BG384" s="249"/>
      <c r="BH384" s="249"/>
      <c r="BI384" s="249"/>
      <c r="BJ384" s="249"/>
      <c r="BK384" s="249"/>
      <c r="BL384" s="249"/>
      <c r="BM384" s="249"/>
      <c r="BN384" s="249"/>
      <c r="BO384" s="249"/>
      <c r="BP384" s="249"/>
      <c r="BQ384" s="249"/>
      <c r="BR384" s="249"/>
      <c r="BS384" s="249"/>
      <c r="BT384" s="249"/>
      <c r="BU384" s="249"/>
      <c r="BV384" s="249"/>
      <c r="BW384" s="249"/>
      <c r="BX384" s="249"/>
      <c r="BY384" s="249"/>
      <c r="BZ384" s="249"/>
      <c r="CA384" s="249"/>
      <c r="CB384" s="249"/>
      <c r="CC384" s="249"/>
      <c r="CD384" s="249"/>
      <c r="CE384" s="249"/>
    </row>
    <row r="385" spans="1:83" s="84" customFormat="1" ht="12.95" customHeight="1">
      <c r="A385" s="1"/>
      <c r="B385" s="1"/>
      <c r="C385" s="18" t="s">
        <v>375</v>
      </c>
      <c r="D385" s="52" t="s">
        <v>1862</v>
      </c>
      <c r="E385" s="52" t="s">
        <v>2629</v>
      </c>
      <c r="F385" s="53" t="s">
        <v>604</v>
      </c>
      <c r="G385" s="179" t="s">
        <v>1429</v>
      </c>
      <c r="H385" s="180" t="s">
        <v>375</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29" t="s">
        <v>375</v>
      </c>
      <c r="AR385" s="5"/>
      <c r="AS385" s="5"/>
      <c r="AT385" s="5"/>
      <c r="AU385" s="5"/>
      <c r="AV385" s="5"/>
      <c r="AW385" s="5"/>
      <c r="AX385" s="284"/>
      <c r="AY385" s="5"/>
      <c r="AZ385" s="5"/>
      <c r="BA385" s="230"/>
      <c r="BB385" s="5"/>
      <c r="BC385" s="232" t="s">
        <v>3535</v>
      </c>
      <c r="BD385" s="257"/>
      <c r="BE385" s="249"/>
      <c r="BF385" s="249"/>
      <c r="BG385" s="249"/>
      <c r="BH385" s="249"/>
      <c r="BI385" s="249"/>
      <c r="BJ385" s="249"/>
      <c r="BK385" s="249"/>
      <c r="BL385" s="249"/>
      <c r="BM385" s="249"/>
      <c r="BN385" s="249"/>
      <c r="BO385" s="249"/>
      <c r="BP385" s="249"/>
      <c r="BQ385" s="249"/>
      <c r="BR385" s="249"/>
      <c r="BS385" s="249"/>
      <c r="BT385" s="249"/>
      <c r="BU385" s="249"/>
      <c r="BV385" s="249"/>
      <c r="BW385" s="249"/>
      <c r="BX385" s="249"/>
      <c r="BY385" s="249"/>
      <c r="BZ385" s="249"/>
      <c r="CA385" s="249"/>
      <c r="CB385" s="249"/>
      <c r="CC385" s="249"/>
      <c r="CD385" s="249"/>
      <c r="CE385" s="249"/>
    </row>
    <row r="386" spans="1:83" s="84" customFormat="1" ht="12.95" customHeight="1">
      <c r="A386" s="1"/>
      <c r="B386" s="1"/>
      <c r="C386" s="18" t="s">
        <v>376</v>
      </c>
      <c r="D386" s="52" t="s">
        <v>2631</v>
      </c>
      <c r="E386" s="52" t="s">
        <v>2632</v>
      </c>
      <c r="F386" s="53" t="s">
        <v>605</v>
      </c>
      <c r="G386" s="179" t="s">
        <v>1429</v>
      </c>
      <c r="H386" s="180" t="s">
        <v>376</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29" t="s">
        <v>376</v>
      </c>
      <c r="AR386" s="5"/>
      <c r="AS386" s="5"/>
      <c r="AT386" s="5"/>
      <c r="AU386" s="5"/>
      <c r="AV386" s="5"/>
      <c r="AW386" s="5"/>
      <c r="AX386" s="284"/>
      <c r="AY386" s="5"/>
      <c r="AZ386" s="5"/>
      <c r="BA386" s="230"/>
      <c r="BB386" s="5"/>
      <c r="BC386" s="232" t="s">
        <v>3535</v>
      </c>
      <c r="BD386" s="257"/>
      <c r="BE386" s="249"/>
      <c r="BF386" s="249"/>
      <c r="BG386" s="249"/>
      <c r="BH386" s="249"/>
      <c r="BI386" s="249"/>
      <c r="BJ386" s="249"/>
      <c r="BK386" s="249"/>
      <c r="BL386" s="249"/>
      <c r="BM386" s="249"/>
      <c r="BN386" s="249"/>
      <c r="BO386" s="249"/>
      <c r="BP386" s="249"/>
      <c r="BQ386" s="249"/>
      <c r="BR386" s="249"/>
      <c r="BS386" s="249"/>
      <c r="BT386" s="249"/>
      <c r="BU386" s="249"/>
      <c r="BV386" s="249"/>
      <c r="BW386" s="249"/>
      <c r="BX386" s="249"/>
      <c r="BY386" s="249"/>
      <c r="BZ386" s="249"/>
      <c r="CA386" s="249"/>
      <c r="CB386" s="249"/>
      <c r="CC386" s="249"/>
      <c r="CD386" s="249"/>
      <c r="CE386" s="249"/>
    </row>
    <row r="387" spans="1:83" s="84" customFormat="1" ht="12.95" customHeight="1">
      <c r="A387" s="1"/>
      <c r="B387" s="1"/>
      <c r="C387" s="21" t="s">
        <v>377</v>
      </c>
      <c r="D387" s="52" t="s">
        <v>2634</v>
      </c>
      <c r="E387" s="52" t="s">
        <v>2635</v>
      </c>
      <c r="F387" s="53" t="s">
        <v>606</v>
      </c>
      <c r="G387" s="179" t="s">
        <v>1429</v>
      </c>
      <c r="H387" s="180" t="s">
        <v>377</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29" t="s">
        <v>377</v>
      </c>
      <c r="AR387" s="5"/>
      <c r="AS387" s="5"/>
      <c r="AT387" s="5"/>
      <c r="AU387" s="5"/>
      <c r="AV387" s="5"/>
      <c r="AW387" s="5"/>
      <c r="AX387" s="284"/>
      <c r="AY387" s="5"/>
      <c r="AZ387" s="5"/>
      <c r="BA387" s="230"/>
      <c r="BB387" s="5"/>
      <c r="BC387" s="232" t="s">
        <v>3535</v>
      </c>
      <c r="BD387" s="257"/>
      <c r="BE387" s="249"/>
      <c r="BF387" s="249"/>
      <c r="BG387" s="249"/>
      <c r="BH387" s="249"/>
      <c r="BI387" s="249"/>
      <c r="BJ387" s="249"/>
      <c r="BK387" s="249"/>
      <c r="BL387" s="249"/>
      <c r="BM387" s="249"/>
      <c r="BN387" s="249"/>
      <c r="BO387" s="249"/>
      <c r="BP387" s="249"/>
      <c r="BQ387" s="249"/>
      <c r="BR387" s="249"/>
      <c r="BS387" s="249"/>
      <c r="BT387" s="249"/>
      <c r="BU387" s="249"/>
      <c r="BV387" s="249"/>
      <c r="BW387" s="249"/>
      <c r="BX387" s="249"/>
      <c r="BY387" s="249"/>
      <c r="BZ387" s="249"/>
      <c r="CA387" s="249"/>
      <c r="CB387" s="249"/>
      <c r="CC387" s="249"/>
      <c r="CD387" s="249"/>
      <c r="CE387" s="249"/>
    </row>
    <row r="388" spans="1:83" s="84" customFormat="1" ht="12.95" customHeight="1">
      <c r="A388" s="1"/>
      <c r="B388" s="1"/>
      <c r="C388" s="21" t="s">
        <v>378</v>
      </c>
      <c r="D388" s="52" t="s">
        <v>2637</v>
      </c>
      <c r="E388" s="52" t="s">
        <v>2638</v>
      </c>
      <c r="F388" s="53" t="s">
        <v>607</v>
      </c>
      <c r="G388" s="179" t="s">
        <v>1429</v>
      </c>
      <c r="H388" s="180" t="s">
        <v>378</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29" t="s">
        <v>378</v>
      </c>
      <c r="AR388" s="5"/>
      <c r="AS388" s="5"/>
      <c r="AT388" s="5"/>
      <c r="AU388" s="5"/>
      <c r="AV388" s="5"/>
      <c r="AW388" s="5"/>
      <c r="AX388" s="284"/>
      <c r="AY388" s="5"/>
      <c r="AZ388" s="5"/>
      <c r="BA388" s="230"/>
      <c r="BB388" s="5"/>
      <c r="BC388" s="232" t="s">
        <v>3535</v>
      </c>
      <c r="BD388" s="257"/>
      <c r="BE388" s="249"/>
      <c r="BF388" s="249"/>
      <c r="BG388" s="249"/>
      <c r="BH388" s="249"/>
      <c r="BI388" s="249"/>
      <c r="BJ388" s="249"/>
      <c r="BK388" s="249"/>
      <c r="BL388" s="249"/>
      <c r="BM388" s="249"/>
      <c r="BN388" s="249"/>
      <c r="BO388" s="249"/>
      <c r="BP388" s="249"/>
      <c r="BQ388" s="249"/>
      <c r="BR388" s="249"/>
      <c r="BS388" s="249"/>
      <c r="BT388" s="249"/>
      <c r="BU388" s="249"/>
      <c r="BV388" s="249"/>
      <c r="BW388" s="249"/>
      <c r="BX388" s="249"/>
      <c r="BY388" s="249"/>
      <c r="BZ388" s="249"/>
      <c r="CA388" s="249"/>
      <c r="CB388" s="249"/>
      <c r="CC388" s="249"/>
      <c r="CD388" s="249"/>
      <c r="CE388" s="249"/>
    </row>
    <row r="389" spans="1:83" s="84" customFormat="1" ht="12.95" customHeight="1">
      <c r="A389" s="1"/>
      <c r="B389" s="1"/>
      <c r="C389" s="18" t="s">
        <v>379</v>
      </c>
      <c r="D389" s="52" t="s">
        <v>1860</v>
      </c>
      <c r="E389" s="52" t="s">
        <v>2640</v>
      </c>
      <c r="F389" s="53" t="s">
        <v>608</v>
      </c>
      <c r="G389" s="179" t="s">
        <v>1429</v>
      </c>
      <c r="H389" s="180" t="s">
        <v>379</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29" t="s">
        <v>379</v>
      </c>
      <c r="AR389" s="5"/>
      <c r="AS389" s="5"/>
      <c r="AT389" s="5"/>
      <c r="AU389" s="5"/>
      <c r="AV389" s="5"/>
      <c r="AW389" s="5"/>
      <c r="AX389" s="284"/>
      <c r="AY389" s="5"/>
      <c r="AZ389" s="5"/>
      <c r="BA389" s="230"/>
      <c r="BB389" s="5"/>
      <c r="BC389" s="232" t="s">
        <v>3535</v>
      </c>
      <c r="BD389" s="257"/>
      <c r="BE389" s="249"/>
      <c r="BF389" s="249"/>
      <c r="BG389" s="249"/>
      <c r="BH389" s="249"/>
      <c r="BI389" s="249"/>
      <c r="BJ389" s="249"/>
      <c r="BK389" s="249"/>
      <c r="BL389" s="249"/>
      <c r="BM389" s="249"/>
      <c r="BN389" s="249"/>
      <c r="BO389" s="249"/>
      <c r="BP389" s="249"/>
      <c r="BQ389" s="249"/>
      <c r="BR389" s="249"/>
      <c r="BS389" s="249"/>
      <c r="BT389" s="249"/>
      <c r="BU389" s="249"/>
      <c r="BV389" s="249"/>
      <c r="BW389" s="249"/>
      <c r="BX389" s="249"/>
      <c r="BY389" s="249"/>
      <c r="BZ389" s="249"/>
      <c r="CA389" s="249"/>
      <c r="CB389" s="249"/>
      <c r="CC389" s="249"/>
      <c r="CD389" s="249"/>
      <c r="CE389" s="249"/>
    </row>
    <row r="390" spans="1:83" s="84" customFormat="1" ht="12.95" customHeight="1">
      <c r="A390" s="1"/>
      <c r="B390" s="1"/>
      <c r="C390" s="18" t="s">
        <v>380</v>
      </c>
      <c r="D390" s="52" t="s">
        <v>1855</v>
      </c>
      <c r="E390" s="52" t="s">
        <v>2642</v>
      </c>
      <c r="F390" s="53" t="s">
        <v>609</v>
      </c>
      <c r="G390" s="179" t="s">
        <v>1429</v>
      </c>
      <c r="H390" s="180" t="s">
        <v>380</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29" t="s">
        <v>380</v>
      </c>
      <c r="AR390" s="5"/>
      <c r="AS390" s="5"/>
      <c r="AT390" s="5"/>
      <c r="AU390" s="5"/>
      <c r="AV390" s="5"/>
      <c r="AW390" s="5"/>
      <c r="AX390" s="284"/>
      <c r="AY390" s="5"/>
      <c r="AZ390" s="5"/>
      <c r="BA390" s="230"/>
      <c r="BB390" s="5"/>
      <c r="BC390" s="232" t="s">
        <v>3535</v>
      </c>
      <c r="BD390" s="257"/>
      <c r="BE390" s="249"/>
      <c r="BF390" s="249"/>
      <c r="BG390" s="249"/>
      <c r="BH390" s="249"/>
      <c r="BI390" s="249"/>
      <c r="BJ390" s="249"/>
      <c r="BK390" s="249"/>
      <c r="BL390" s="249"/>
      <c r="BM390" s="249"/>
      <c r="BN390" s="249"/>
      <c r="BO390" s="249"/>
      <c r="BP390" s="249"/>
      <c r="BQ390" s="249"/>
      <c r="BR390" s="249"/>
      <c r="BS390" s="249"/>
      <c r="BT390" s="249"/>
      <c r="BU390" s="249"/>
      <c r="BV390" s="249"/>
      <c r="BW390" s="249"/>
      <c r="BX390" s="249"/>
      <c r="BY390" s="249"/>
      <c r="BZ390" s="249"/>
      <c r="CA390" s="249"/>
      <c r="CB390" s="249"/>
      <c r="CC390" s="249"/>
      <c r="CD390" s="249"/>
      <c r="CE390" s="249"/>
    </row>
    <row r="391" spans="1:83" s="84" customFormat="1" ht="12.95" customHeight="1">
      <c r="A391" s="1"/>
      <c r="B391" s="1"/>
      <c r="C391" s="18" t="s">
        <v>381</v>
      </c>
      <c r="D391" s="52" t="s">
        <v>1854</v>
      </c>
      <c r="E391" s="52" t="s">
        <v>2644</v>
      </c>
      <c r="F391" s="53" t="s">
        <v>610</v>
      </c>
      <c r="G391" s="179" t="s">
        <v>1429</v>
      </c>
      <c r="H391" s="180" t="s">
        <v>381</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29" t="s">
        <v>381</v>
      </c>
      <c r="AR391" s="5"/>
      <c r="AS391" s="5"/>
      <c r="AT391" s="5"/>
      <c r="AU391" s="5"/>
      <c r="AV391" s="5"/>
      <c r="AW391" s="5"/>
      <c r="AX391" s="284"/>
      <c r="AY391" s="5"/>
      <c r="AZ391" s="5"/>
      <c r="BA391" s="230"/>
      <c r="BB391" s="5"/>
      <c r="BC391" s="232" t="s">
        <v>3535</v>
      </c>
      <c r="BD391" s="257"/>
      <c r="BE391" s="249"/>
      <c r="BF391" s="249"/>
      <c r="BG391" s="249"/>
      <c r="BH391" s="249"/>
      <c r="BI391" s="249"/>
      <c r="BJ391" s="249"/>
      <c r="BK391" s="249"/>
      <c r="BL391" s="249"/>
      <c r="BM391" s="249"/>
      <c r="BN391" s="249"/>
      <c r="BO391" s="249"/>
      <c r="BP391" s="249"/>
      <c r="BQ391" s="249"/>
      <c r="BR391" s="249"/>
      <c r="BS391" s="249"/>
      <c r="BT391" s="249"/>
      <c r="BU391" s="249"/>
      <c r="BV391" s="249"/>
      <c r="BW391" s="249"/>
      <c r="BX391" s="249"/>
      <c r="BY391" s="249"/>
      <c r="BZ391" s="249"/>
      <c r="CA391" s="249"/>
      <c r="CB391" s="249"/>
      <c r="CC391" s="249"/>
      <c r="CD391" s="249"/>
      <c r="CE391" s="249"/>
    </row>
    <row r="392" spans="1:83" s="84" customFormat="1" ht="12.95" customHeight="1">
      <c r="A392" s="1"/>
      <c r="B392" s="1"/>
      <c r="C392" s="18" t="s">
        <v>382</v>
      </c>
      <c r="D392" s="52" t="s">
        <v>1856</v>
      </c>
      <c r="E392" s="52" t="s">
        <v>2646</v>
      </c>
      <c r="F392" s="53" t="s">
        <v>611</v>
      </c>
      <c r="G392" s="179" t="s">
        <v>1429</v>
      </c>
      <c r="H392" s="180" t="s">
        <v>382</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29" t="s">
        <v>382</v>
      </c>
      <c r="AR392" s="5"/>
      <c r="AS392" s="5"/>
      <c r="AT392" s="5"/>
      <c r="AU392" s="5"/>
      <c r="AV392" s="5"/>
      <c r="AW392" s="5"/>
      <c r="AX392" s="284"/>
      <c r="AY392" s="5"/>
      <c r="AZ392" s="5"/>
      <c r="BA392" s="230"/>
      <c r="BB392" s="5"/>
      <c r="BC392" s="232" t="s">
        <v>3535</v>
      </c>
      <c r="BD392" s="257"/>
      <c r="BE392" s="249"/>
      <c r="BF392" s="249"/>
      <c r="BG392" s="249"/>
      <c r="BH392" s="249"/>
      <c r="BI392" s="249"/>
      <c r="BJ392" s="249"/>
      <c r="BK392" s="249"/>
      <c r="BL392" s="249"/>
      <c r="BM392" s="249"/>
      <c r="BN392" s="249"/>
      <c r="BO392" s="249"/>
      <c r="BP392" s="249"/>
      <c r="BQ392" s="249"/>
      <c r="BR392" s="249"/>
      <c r="BS392" s="249"/>
      <c r="BT392" s="249"/>
      <c r="BU392" s="249"/>
      <c r="BV392" s="249"/>
      <c r="BW392" s="249"/>
      <c r="BX392" s="249"/>
      <c r="BY392" s="249"/>
      <c r="BZ392" s="249"/>
      <c r="CA392" s="249"/>
      <c r="CB392" s="249"/>
      <c r="CC392" s="249"/>
      <c r="CD392" s="249"/>
      <c r="CE392" s="249"/>
    </row>
    <row r="393" spans="1:83" s="84" customFormat="1" ht="12.95" customHeight="1">
      <c r="A393" s="1"/>
      <c r="B393" s="1"/>
      <c r="C393" s="18" t="s">
        <v>383</v>
      </c>
      <c r="D393" s="52" t="s">
        <v>1857</v>
      </c>
      <c r="E393" s="52" t="s">
        <v>2648</v>
      </c>
      <c r="F393" s="53" t="s">
        <v>612</v>
      </c>
      <c r="G393" s="179" t="s">
        <v>1429</v>
      </c>
      <c r="H393" s="180" t="s">
        <v>383</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29" t="s">
        <v>383</v>
      </c>
      <c r="AR393" s="5"/>
      <c r="AS393" s="5"/>
      <c r="AT393" s="5"/>
      <c r="AU393" s="5"/>
      <c r="AV393" s="5"/>
      <c r="AW393" s="5"/>
      <c r="AX393" s="284"/>
      <c r="AY393" s="5"/>
      <c r="AZ393" s="5"/>
      <c r="BA393" s="230"/>
      <c r="BB393" s="5"/>
      <c r="BC393" s="232" t="s">
        <v>3535</v>
      </c>
      <c r="BD393" s="257"/>
      <c r="BE393" s="249"/>
      <c r="BF393" s="249"/>
      <c r="BG393" s="249"/>
      <c r="BH393" s="249"/>
      <c r="BI393" s="249"/>
      <c r="BJ393" s="249"/>
      <c r="BK393" s="249"/>
      <c r="BL393" s="249"/>
      <c r="BM393" s="249"/>
      <c r="BN393" s="249"/>
      <c r="BO393" s="249"/>
      <c r="BP393" s="249"/>
      <c r="BQ393" s="249"/>
      <c r="BR393" s="249"/>
      <c r="BS393" s="249"/>
      <c r="BT393" s="249"/>
      <c r="BU393" s="249"/>
      <c r="BV393" s="249"/>
      <c r="BW393" s="249"/>
      <c r="BX393" s="249"/>
      <c r="BY393" s="249"/>
      <c r="BZ393" s="249"/>
      <c r="CA393" s="249"/>
      <c r="CB393" s="249"/>
      <c r="CC393" s="249"/>
      <c r="CD393" s="249"/>
      <c r="CE393" s="249"/>
    </row>
    <row r="394" spans="1:83" s="84" customFormat="1" ht="12.95" customHeight="1">
      <c r="A394" s="1"/>
      <c r="B394" s="1"/>
      <c r="C394" s="18" t="s">
        <v>384</v>
      </c>
      <c r="D394" s="52" t="s">
        <v>1852</v>
      </c>
      <c r="E394" s="52" t="s">
        <v>2650</v>
      </c>
      <c r="F394" s="53" t="s">
        <v>613</v>
      </c>
      <c r="G394" s="179" t="s">
        <v>1429</v>
      </c>
      <c r="H394" s="180" t="s">
        <v>384</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29" t="s">
        <v>384</v>
      </c>
      <c r="AR394" s="5"/>
      <c r="AS394" s="5"/>
      <c r="AT394" s="5"/>
      <c r="AU394" s="5"/>
      <c r="AV394" s="5"/>
      <c r="AW394" s="5"/>
      <c r="AX394" s="284"/>
      <c r="AY394" s="5"/>
      <c r="AZ394" s="5"/>
      <c r="BA394" s="230"/>
      <c r="BB394" s="5"/>
      <c r="BC394" s="232" t="s">
        <v>3535</v>
      </c>
      <c r="BD394" s="257"/>
      <c r="BE394" s="249"/>
      <c r="BF394" s="249"/>
      <c r="BG394" s="249"/>
      <c r="BH394" s="249"/>
      <c r="BI394" s="249"/>
      <c r="BJ394" s="249"/>
      <c r="BK394" s="249"/>
      <c r="BL394" s="249"/>
      <c r="BM394" s="249"/>
      <c r="BN394" s="249"/>
      <c r="BO394" s="249"/>
      <c r="BP394" s="249"/>
      <c r="BQ394" s="249"/>
      <c r="BR394" s="249"/>
      <c r="BS394" s="249"/>
      <c r="BT394" s="249"/>
      <c r="BU394" s="249"/>
      <c r="BV394" s="249"/>
      <c r="BW394" s="249"/>
      <c r="BX394" s="249"/>
      <c r="BY394" s="249"/>
      <c r="BZ394" s="249"/>
      <c r="CA394" s="249"/>
      <c r="CB394" s="249"/>
      <c r="CC394" s="249"/>
      <c r="CD394" s="249"/>
      <c r="CE394" s="249"/>
    </row>
    <row r="395" spans="1:83" s="84" customFormat="1" ht="12.95" customHeight="1">
      <c r="A395" s="1"/>
      <c r="B395" s="1"/>
      <c r="C395" s="18" t="s">
        <v>385</v>
      </c>
      <c r="D395" s="52" t="s">
        <v>2652</v>
      </c>
      <c r="E395" s="52" t="s">
        <v>2653</v>
      </c>
      <c r="F395" s="53" t="s">
        <v>614</v>
      </c>
      <c r="G395" s="179" t="s">
        <v>1429</v>
      </c>
      <c r="H395" s="180" t="s">
        <v>385</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29" t="s">
        <v>385</v>
      </c>
      <c r="AR395" s="5"/>
      <c r="AS395" s="5"/>
      <c r="AT395" s="5"/>
      <c r="AU395" s="5"/>
      <c r="AV395" s="5"/>
      <c r="AW395" s="5"/>
      <c r="AX395" s="284"/>
      <c r="AY395" s="5"/>
      <c r="AZ395" s="5"/>
      <c r="BA395" s="230"/>
      <c r="BB395" s="5"/>
      <c r="BC395" s="232" t="s">
        <v>3535</v>
      </c>
      <c r="BD395" s="257"/>
      <c r="BE395" s="249"/>
      <c r="BF395" s="249"/>
      <c r="BG395" s="249"/>
      <c r="BH395" s="249"/>
      <c r="BI395" s="249"/>
      <c r="BJ395" s="249"/>
      <c r="BK395" s="249"/>
      <c r="BL395" s="249"/>
      <c r="BM395" s="249"/>
      <c r="BN395" s="249"/>
      <c r="BO395" s="249"/>
      <c r="BP395" s="249"/>
      <c r="BQ395" s="249"/>
      <c r="BR395" s="249"/>
      <c r="BS395" s="249"/>
      <c r="BT395" s="249"/>
      <c r="BU395" s="249"/>
      <c r="BV395" s="249"/>
      <c r="BW395" s="249"/>
      <c r="BX395" s="249"/>
      <c r="BY395" s="249"/>
      <c r="BZ395" s="249"/>
      <c r="CA395" s="249"/>
      <c r="CB395" s="249"/>
      <c r="CC395" s="249"/>
      <c r="CD395" s="249"/>
      <c r="CE395" s="249"/>
    </row>
    <row r="396" spans="1:83" s="84" customFormat="1" ht="12.95" customHeight="1">
      <c r="A396" s="1"/>
      <c r="B396" s="1"/>
      <c r="C396" s="18" t="s">
        <v>386</v>
      </c>
      <c r="D396" s="52" t="s">
        <v>2655</v>
      </c>
      <c r="E396" s="52" t="s">
        <v>2656</v>
      </c>
      <c r="F396" s="53" t="s">
        <v>615</v>
      </c>
      <c r="G396" s="179" t="s">
        <v>1429</v>
      </c>
      <c r="H396" s="180" t="s">
        <v>386</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29" t="s">
        <v>386</v>
      </c>
      <c r="AR396" s="5"/>
      <c r="AS396" s="5"/>
      <c r="AT396" s="5"/>
      <c r="AU396" s="5"/>
      <c r="AV396" s="5"/>
      <c r="AW396" s="5"/>
      <c r="AX396" s="284"/>
      <c r="AY396" s="5"/>
      <c r="AZ396" s="5"/>
      <c r="BA396" s="230"/>
      <c r="BB396" s="5"/>
      <c r="BC396" s="232" t="s">
        <v>3535</v>
      </c>
      <c r="BD396" s="257"/>
      <c r="BE396" s="249"/>
      <c r="BF396" s="249"/>
      <c r="BG396" s="249"/>
      <c r="BH396" s="249"/>
      <c r="BI396" s="249"/>
      <c r="BJ396" s="249"/>
      <c r="BK396" s="249"/>
      <c r="BL396" s="249"/>
      <c r="BM396" s="249"/>
      <c r="BN396" s="249"/>
      <c r="BO396" s="249"/>
      <c r="BP396" s="249"/>
      <c r="BQ396" s="249"/>
      <c r="BR396" s="249"/>
      <c r="BS396" s="249"/>
      <c r="BT396" s="249"/>
      <c r="BU396" s="249"/>
      <c r="BV396" s="249"/>
      <c r="BW396" s="249"/>
      <c r="BX396" s="249"/>
      <c r="BY396" s="249"/>
      <c r="BZ396" s="249"/>
      <c r="CA396" s="249"/>
      <c r="CB396" s="249"/>
      <c r="CC396" s="249"/>
      <c r="CD396" s="249"/>
      <c r="CE396" s="249"/>
    </row>
    <row r="397" spans="1:83" s="84" customFormat="1" ht="12.95" customHeight="1">
      <c r="A397" s="1"/>
      <c r="B397" s="1"/>
      <c r="C397" s="18" t="s">
        <v>387</v>
      </c>
      <c r="D397" s="52" t="s">
        <v>2658</v>
      </c>
      <c r="E397" s="52" t="s">
        <v>2659</v>
      </c>
      <c r="F397" s="53" t="s">
        <v>616</v>
      </c>
      <c r="G397" s="179" t="s">
        <v>1429</v>
      </c>
      <c r="H397" s="180" t="s">
        <v>387</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29" t="s">
        <v>387</v>
      </c>
      <c r="AR397" s="5"/>
      <c r="AS397" s="5"/>
      <c r="AT397" s="5"/>
      <c r="AU397" s="5"/>
      <c r="AV397" s="5"/>
      <c r="AW397" s="5"/>
      <c r="AX397" s="284"/>
      <c r="AY397" s="5"/>
      <c r="AZ397" s="5"/>
      <c r="BA397" s="230"/>
      <c r="BB397" s="5"/>
      <c r="BC397" s="232" t="s">
        <v>3535</v>
      </c>
      <c r="BD397" s="257"/>
      <c r="BE397" s="249"/>
      <c r="BF397" s="249"/>
      <c r="BG397" s="249"/>
      <c r="BH397" s="249"/>
      <c r="BI397" s="249"/>
      <c r="BJ397" s="249"/>
      <c r="BK397" s="249"/>
      <c r="BL397" s="249"/>
      <c r="BM397" s="249"/>
      <c r="BN397" s="249"/>
      <c r="BO397" s="249"/>
      <c r="BP397" s="249"/>
      <c r="BQ397" s="249"/>
      <c r="BR397" s="249"/>
      <c r="BS397" s="249"/>
      <c r="BT397" s="249"/>
      <c r="BU397" s="249"/>
      <c r="BV397" s="249"/>
      <c r="BW397" s="249"/>
      <c r="BX397" s="249"/>
      <c r="BY397" s="249"/>
      <c r="BZ397" s="249"/>
      <c r="CA397" s="249"/>
      <c r="CB397" s="249"/>
      <c r="CC397" s="249"/>
      <c r="CD397" s="249"/>
      <c r="CE397" s="249"/>
    </row>
    <row r="398" spans="1:83" s="84" customFormat="1" ht="12.95" customHeight="1">
      <c r="A398" s="1"/>
      <c r="B398" s="1"/>
      <c r="C398" s="18" t="s">
        <v>388</v>
      </c>
      <c r="D398" s="52" t="s">
        <v>2661</v>
      </c>
      <c r="E398" s="52" t="s">
        <v>2662</v>
      </c>
      <c r="F398" s="53" t="s">
        <v>617</v>
      </c>
      <c r="G398" s="179" t="s">
        <v>1429</v>
      </c>
      <c r="H398" s="180" t="s">
        <v>388</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29" t="s">
        <v>388</v>
      </c>
      <c r="AR398" s="5"/>
      <c r="AS398" s="5"/>
      <c r="AT398" s="5"/>
      <c r="AU398" s="5"/>
      <c r="AV398" s="5"/>
      <c r="AW398" s="5"/>
      <c r="AX398" s="284"/>
      <c r="AY398" s="5"/>
      <c r="AZ398" s="5"/>
      <c r="BA398" s="230"/>
      <c r="BB398" s="5"/>
      <c r="BC398" s="232" t="s">
        <v>3535</v>
      </c>
      <c r="BD398" s="257"/>
      <c r="BE398" s="249"/>
      <c r="BF398" s="249"/>
      <c r="BG398" s="249"/>
      <c r="BH398" s="249"/>
      <c r="BI398" s="249"/>
      <c r="BJ398" s="249"/>
      <c r="BK398" s="249"/>
      <c r="BL398" s="249"/>
      <c r="BM398" s="249"/>
      <c r="BN398" s="249"/>
      <c r="BO398" s="249"/>
      <c r="BP398" s="249"/>
      <c r="BQ398" s="249"/>
      <c r="BR398" s="249"/>
      <c r="BS398" s="249"/>
      <c r="BT398" s="249"/>
      <c r="BU398" s="249"/>
      <c r="BV398" s="249"/>
      <c r="BW398" s="249"/>
      <c r="BX398" s="249"/>
      <c r="BY398" s="249"/>
      <c r="BZ398" s="249"/>
      <c r="CA398" s="249"/>
      <c r="CB398" s="249"/>
      <c r="CC398" s="249"/>
      <c r="CD398" s="249"/>
      <c r="CE398" s="249"/>
    </row>
    <row r="399" spans="1:83" s="84" customFormat="1" ht="12.95" customHeight="1">
      <c r="A399" s="1"/>
      <c r="B399" s="1"/>
      <c r="C399" s="21" t="s">
        <v>389</v>
      </c>
      <c r="D399" s="52" t="s">
        <v>2664</v>
      </c>
      <c r="E399" s="52" t="s">
        <v>2665</v>
      </c>
      <c r="F399" s="53" t="s">
        <v>618</v>
      </c>
      <c r="G399" s="179" t="s">
        <v>1429</v>
      </c>
      <c r="H399" s="180" t="s">
        <v>389</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29" t="s">
        <v>389</v>
      </c>
      <c r="AR399" s="5"/>
      <c r="AS399" s="5"/>
      <c r="AT399" s="5"/>
      <c r="AU399" s="5"/>
      <c r="AV399" s="5"/>
      <c r="AW399" s="5"/>
      <c r="AX399" s="284"/>
      <c r="AY399" s="5"/>
      <c r="AZ399" s="5"/>
      <c r="BA399" s="230"/>
      <c r="BB399" s="5"/>
      <c r="BC399" s="232" t="s">
        <v>3535</v>
      </c>
      <c r="BD399" s="257"/>
      <c r="BE399" s="249"/>
      <c r="BF399" s="249"/>
      <c r="BG399" s="249"/>
      <c r="BH399" s="249"/>
      <c r="BI399" s="249"/>
      <c r="BJ399" s="249"/>
      <c r="BK399" s="249"/>
      <c r="BL399" s="249"/>
      <c r="BM399" s="249"/>
      <c r="BN399" s="249"/>
      <c r="BO399" s="249"/>
      <c r="BP399" s="249"/>
      <c r="BQ399" s="249"/>
      <c r="BR399" s="249"/>
      <c r="BS399" s="249"/>
      <c r="BT399" s="249"/>
      <c r="BU399" s="249"/>
      <c r="BV399" s="249"/>
      <c r="BW399" s="249"/>
      <c r="BX399" s="249"/>
      <c r="BY399" s="249"/>
      <c r="BZ399" s="249"/>
      <c r="CA399" s="249"/>
      <c r="CB399" s="249"/>
      <c r="CC399" s="249"/>
      <c r="CD399" s="249"/>
      <c r="CE399" s="249"/>
    </row>
    <row r="400" spans="1:83" s="84" customFormat="1" ht="12.95" customHeight="1">
      <c r="A400" s="1"/>
      <c r="B400" s="1"/>
      <c r="C400" s="21" t="s">
        <v>390</v>
      </c>
      <c r="D400" s="52" t="s">
        <v>1858</v>
      </c>
      <c r="E400" s="52" t="s">
        <v>2667</v>
      </c>
      <c r="F400" s="53" t="s">
        <v>619</v>
      </c>
      <c r="G400" s="179" t="s">
        <v>1429</v>
      </c>
      <c r="H400" s="180" t="s">
        <v>390</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29" t="s">
        <v>390</v>
      </c>
      <c r="AR400" s="5"/>
      <c r="AS400" s="5"/>
      <c r="AT400" s="5"/>
      <c r="AU400" s="5"/>
      <c r="AV400" s="5"/>
      <c r="AW400" s="5"/>
      <c r="AX400" s="284"/>
      <c r="AY400" s="5"/>
      <c r="AZ400" s="5"/>
      <c r="BA400" s="230"/>
      <c r="BB400" s="5"/>
      <c r="BC400" s="232" t="s">
        <v>3535</v>
      </c>
      <c r="BD400" s="257"/>
      <c r="BE400" s="249"/>
      <c r="BF400" s="249"/>
      <c r="BG400" s="249"/>
      <c r="BH400" s="249"/>
      <c r="BI400" s="249"/>
      <c r="BJ400" s="249"/>
      <c r="BK400" s="249"/>
      <c r="BL400" s="249"/>
      <c r="BM400" s="249"/>
      <c r="BN400" s="249"/>
      <c r="BO400" s="249"/>
      <c r="BP400" s="249"/>
      <c r="BQ400" s="249"/>
      <c r="BR400" s="249"/>
      <c r="BS400" s="249"/>
      <c r="BT400" s="249"/>
      <c r="BU400" s="249"/>
      <c r="BV400" s="249"/>
      <c r="BW400" s="249"/>
      <c r="BX400" s="249"/>
      <c r="BY400" s="249"/>
      <c r="BZ400" s="249"/>
      <c r="CA400" s="249"/>
      <c r="CB400" s="249"/>
      <c r="CC400" s="249"/>
      <c r="CD400" s="249"/>
      <c r="CE400" s="249"/>
    </row>
    <row r="401" spans="1:83" s="84" customFormat="1" ht="12.95" customHeight="1">
      <c r="A401" s="1"/>
      <c r="B401" s="1"/>
      <c r="C401" s="18" t="s">
        <v>391</v>
      </c>
      <c r="D401" s="52" t="s">
        <v>1853</v>
      </c>
      <c r="E401" s="52" t="s">
        <v>2669</v>
      </c>
      <c r="F401" s="53" t="s">
        <v>620</v>
      </c>
      <c r="G401" s="179" t="s">
        <v>1429</v>
      </c>
      <c r="H401" s="180" t="s">
        <v>391</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29" t="s">
        <v>391</v>
      </c>
      <c r="AR401" s="5"/>
      <c r="AS401" s="5"/>
      <c r="AT401" s="5"/>
      <c r="AU401" s="5"/>
      <c r="AV401" s="5"/>
      <c r="AW401" s="5"/>
      <c r="AX401" s="284"/>
      <c r="AY401" s="5"/>
      <c r="AZ401" s="5"/>
      <c r="BA401" s="230"/>
      <c r="BB401" s="5"/>
      <c r="BC401" s="232" t="s">
        <v>3535</v>
      </c>
      <c r="BD401" s="257"/>
      <c r="BE401" s="249"/>
      <c r="BF401" s="249"/>
      <c r="BG401" s="249"/>
      <c r="BH401" s="249"/>
      <c r="BI401" s="249"/>
      <c r="BJ401" s="249"/>
      <c r="BK401" s="249"/>
      <c r="BL401" s="249"/>
      <c r="BM401" s="249"/>
      <c r="BN401" s="249"/>
      <c r="BO401" s="249"/>
      <c r="BP401" s="249"/>
      <c r="BQ401" s="249"/>
      <c r="BR401" s="249"/>
      <c r="BS401" s="249"/>
      <c r="BT401" s="249"/>
      <c r="BU401" s="249"/>
      <c r="BV401" s="249"/>
      <c r="BW401" s="249"/>
      <c r="BX401" s="249"/>
      <c r="BY401" s="249"/>
      <c r="BZ401" s="249"/>
      <c r="CA401" s="249"/>
      <c r="CB401" s="249"/>
      <c r="CC401" s="249"/>
      <c r="CD401" s="249"/>
      <c r="CE401" s="249"/>
    </row>
    <row r="402" spans="1:83" s="84" customFormat="1" ht="12.95" customHeight="1">
      <c r="A402" s="1"/>
      <c r="B402" s="1"/>
      <c r="C402" s="18" t="s">
        <v>392</v>
      </c>
      <c r="D402" s="52" t="s">
        <v>2627</v>
      </c>
      <c r="E402" s="52" t="s">
        <v>2671</v>
      </c>
      <c r="F402" s="53" t="s">
        <v>621</v>
      </c>
      <c r="G402" s="179" t="s">
        <v>1429</v>
      </c>
      <c r="H402" s="180" t="s">
        <v>392</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29" t="s">
        <v>392</v>
      </c>
      <c r="AR402" s="5"/>
      <c r="AS402" s="5"/>
      <c r="AT402" s="5"/>
      <c r="AU402" s="5"/>
      <c r="AV402" s="5"/>
      <c r="AW402" s="5"/>
      <c r="AX402" s="284"/>
      <c r="AY402" s="5"/>
      <c r="AZ402" s="5"/>
      <c r="BA402" s="230"/>
      <c r="BB402" s="5"/>
      <c r="BC402" s="232" t="s">
        <v>3535</v>
      </c>
      <c r="BD402" s="257"/>
      <c r="BE402" s="249"/>
      <c r="BF402" s="249"/>
      <c r="BG402" s="249"/>
      <c r="BH402" s="249"/>
      <c r="BI402" s="249"/>
      <c r="BJ402" s="249"/>
      <c r="BK402" s="249"/>
      <c r="BL402" s="249"/>
      <c r="BM402" s="249"/>
      <c r="BN402" s="249"/>
      <c r="BO402" s="249"/>
      <c r="BP402" s="249"/>
      <c r="BQ402" s="249"/>
      <c r="BR402" s="249"/>
      <c r="BS402" s="249"/>
      <c r="BT402" s="249"/>
      <c r="BU402" s="249"/>
      <c r="BV402" s="249"/>
      <c r="BW402" s="249"/>
      <c r="BX402" s="249"/>
      <c r="BY402" s="249"/>
      <c r="BZ402" s="249"/>
      <c r="CA402" s="249"/>
      <c r="CB402" s="249"/>
      <c r="CC402" s="249"/>
      <c r="CD402" s="249"/>
      <c r="CE402" s="249"/>
    </row>
    <row r="403" spans="1:83" s="84" customFormat="1" ht="12.95" customHeight="1">
      <c r="A403" s="1"/>
      <c r="B403" s="1"/>
      <c r="C403" s="18" t="s">
        <v>393</v>
      </c>
      <c r="D403" s="52" t="s">
        <v>2617</v>
      </c>
      <c r="E403" s="52" t="s">
        <v>2673</v>
      </c>
      <c r="F403" s="53" t="s">
        <v>622</v>
      </c>
      <c r="G403" s="179" t="s">
        <v>1429</v>
      </c>
      <c r="H403" s="180" t="s">
        <v>393</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29" t="s">
        <v>393</v>
      </c>
      <c r="AR403" s="5"/>
      <c r="AS403" s="5"/>
      <c r="AT403" s="5"/>
      <c r="AU403" s="5"/>
      <c r="AV403" s="5"/>
      <c r="AW403" s="5"/>
      <c r="AX403" s="284"/>
      <c r="AY403" s="5"/>
      <c r="AZ403" s="5"/>
      <c r="BA403" s="230"/>
      <c r="BB403" s="5"/>
      <c r="BC403" s="232" t="s">
        <v>3535</v>
      </c>
      <c r="BD403" s="257"/>
      <c r="BE403" s="249"/>
      <c r="BF403" s="249"/>
      <c r="BG403" s="249"/>
      <c r="BH403" s="249"/>
      <c r="BI403" s="249"/>
      <c r="BJ403" s="249"/>
      <c r="BK403" s="249"/>
      <c r="BL403" s="249"/>
      <c r="BM403" s="249"/>
      <c r="BN403" s="249"/>
      <c r="BO403" s="249"/>
      <c r="BP403" s="249"/>
      <c r="BQ403" s="249"/>
      <c r="BR403" s="249"/>
      <c r="BS403" s="249"/>
      <c r="BT403" s="249"/>
      <c r="BU403" s="249"/>
      <c r="BV403" s="249"/>
      <c r="BW403" s="249"/>
      <c r="BX403" s="249"/>
      <c r="BY403" s="249"/>
      <c r="BZ403" s="249"/>
      <c r="CA403" s="249"/>
      <c r="CB403" s="249"/>
      <c r="CC403" s="249"/>
      <c r="CD403" s="249"/>
      <c r="CE403" s="249"/>
    </row>
    <row r="404" spans="1:83" s="84" customFormat="1" ht="12.95" customHeight="1">
      <c r="A404" s="1"/>
      <c r="B404" s="1"/>
      <c r="C404" s="18" t="s">
        <v>394</v>
      </c>
      <c r="D404" s="52" t="s">
        <v>2624</v>
      </c>
      <c r="E404" s="52" t="s">
        <v>2675</v>
      </c>
      <c r="F404" s="53" t="s">
        <v>623</v>
      </c>
      <c r="G404" s="179" t="s">
        <v>1429</v>
      </c>
      <c r="H404" s="180" t="s">
        <v>394</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29" t="s">
        <v>394</v>
      </c>
      <c r="AR404" s="5"/>
      <c r="AS404" s="5"/>
      <c r="AT404" s="5"/>
      <c r="AU404" s="5"/>
      <c r="AV404" s="5"/>
      <c r="AW404" s="5"/>
      <c r="AX404" s="284"/>
      <c r="AY404" s="5"/>
      <c r="AZ404" s="5"/>
      <c r="BA404" s="230"/>
      <c r="BB404" s="5"/>
      <c r="BC404" s="232" t="s">
        <v>3535</v>
      </c>
      <c r="BD404" s="257"/>
      <c r="BE404" s="249"/>
      <c r="BF404" s="249"/>
      <c r="BG404" s="249"/>
      <c r="BH404" s="249"/>
      <c r="BI404" s="249"/>
      <c r="BJ404" s="249"/>
      <c r="BK404" s="249"/>
      <c r="BL404" s="249"/>
      <c r="BM404" s="249"/>
      <c r="BN404" s="249"/>
      <c r="BO404" s="249"/>
      <c r="BP404" s="249"/>
      <c r="BQ404" s="249"/>
      <c r="BR404" s="249"/>
      <c r="BS404" s="249"/>
      <c r="BT404" s="249"/>
      <c r="BU404" s="249"/>
      <c r="BV404" s="249"/>
      <c r="BW404" s="249"/>
      <c r="BX404" s="249"/>
      <c r="BY404" s="249"/>
      <c r="BZ404" s="249"/>
      <c r="CA404" s="249"/>
      <c r="CB404" s="249"/>
      <c r="CC404" s="249"/>
      <c r="CD404" s="249"/>
      <c r="CE404" s="249"/>
    </row>
    <row r="405" spans="1:83" s="84" customFormat="1" ht="12.95" customHeight="1">
      <c r="A405" s="1"/>
      <c r="B405" s="1"/>
      <c r="C405" s="18" t="s">
        <v>395</v>
      </c>
      <c r="D405" s="52" t="s">
        <v>2619</v>
      </c>
      <c r="E405" s="52" t="s">
        <v>2677</v>
      </c>
      <c r="F405" s="53" t="s">
        <v>624</v>
      </c>
      <c r="G405" s="179" t="s">
        <v>1429</v>
      </c>
      <c r="H405" s="180" t="s">
        <v>395</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29" t="s">
        <v>395</v>
      </c>
      <c r="AR405" s="5"/>
      <c r="AS405" s="5"/>
      <c r="AT405" s="5"/>
      <c r="AU405" s="5"/>
      <c r="AV405" s="5"/>
      <c r="AW405" s="5"/>
      <c r="AX405" s="284"/>
      <c r="AY405" s="5"/>
      <c r="AZ405" s="5"/>
      <c r="BA405" s="230"/>
      <c r="BB405" s="5"/>
      <c r="BC405" s="232" t="s">
        <v>3535</v>
      </c>
      <c r="BD405" s="257"/>
      <c r="BE405" s="249"/>
      <c r="BF405" s="249"/>
      <c r="BG405" s="249"/>
      <c r="BH405" s="249"/>
      <c r="BI405" s="249"/>
      <c r="BJ405" s="249"/>
      <c r="BK405" s="249"/>
      <c r="BL405" s="249"/>
      <c r="BM405" s="249"/>
      <c r="BN405" s="249"/>
      <c r="BO405" s="249"/>
      <c r="BP405" s="249"/>
      <c r="BQ405" s="249"/>
      <c r="BR405" s="249"/>
      <c r="BS405" s="249"/>
      <c r="BT405" s="249"/>
      <c r="BU405" s="249"/>
      <c r="BV405" s="249"/>
      <c r="BW405" s="249"/>
      <c r="BX405" s="249"/>
      <c r="BY405" s="249"/>
      <c r="BZ405" s="249"/>
      <c r="CA405" s="249"/>
      <c r="CB405" s="249"/>
      <c r="CC405" s="249"/>
      <c r="CD405" s="249"/>
      <c r="CE405" s="249"/>
    </row>
    <row r="406" spans="1:83" s="84" customFormat="1" ht="12.95" customHeight="1">
      <c r="A406" s="1"/>
      <c r="B406" s="1"/>
      <c r="C406" s="18" t="s">
        <v>396</v>
      </c>
      <c r="D406" s="52" t="s">
        <v>2622</v>
      </c>
      <c r="E406" s="52" t="s">
        <v>2679</v>
      </c>
      <c r="F406" s="53" t="s">
        <v>625</v>
      </c>
      <c r="G406" s="179" t="s">
        <v>1429</v>
      </c>
      <c r="H406" s="180" t="s">
        <v>396</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29" t="s">
        <v>396</v>
      </c>
      <c r="AR406" s="5"/>
      <c r="AS406" s="5"/>
      <c r="AT406" s="5"/>
      <c r="AU406" s="5"/>
      <c r="AV406" s="5"/>
      <c r="AW406" s="5"/>
      <c r="AX406" s="284"/>
      <c r="AY406" s="5"/>
      <c r="AZ406" s="5"/>
      <c r="BA406" s="230"/>
      <c r="BB406" s="5"/>
      <c r="BC406" s="232" t="s">
        <v>3535</v>
      </c>
      <c r="BD406" s="257"/>
      <c r="BE406" s="249"/>
      <c r="BF406" s="249"/>
      <c r="BG406" s="249"/>
      <c r="BH406" s="249"/>
      <c r="BI406" s="249"/>
      <c r="BJ406" s="249"/>
      <c r="BK406" s="249"/>
      <c r="BL406" s="249"/>
      <c r="BM406" s="249"/>
      <c r="BN406" s="249"/>
      <c r="BO406" s="249"/>
      <c r="BP406" s="249"/>
      <c r="BQ406" s="249"/>
      <c r="BR406" s="249"/>
      <c r="BS406" s="249"/>
      <c r="BT406" s="249"/>
      <c r="BU406" s="249"/>
      <c r="BV406" s="249"/>
      <c r="BW406" s="249"/>
      <c r="BX406" s="249"/>
      <c r="BY406" s="249"/>
      <c r="BZ406" s="249"/>
      <c r="CA406" s="249"/>
      <c r="CB406" s="249"/>
      <c r="CC406" s="249"/>
      <c r="CD406" s="249"/>
      <c r="CE406" s="249"/>
    </row>
    <row r="407" spans="1:83" s="84" customFormat="1" ht="12.95" customHeight="1">
      <c r="A407" s="1"/>
      <c r="B407" s="1"/>
      <c r="C407" s="18" t="s">
        <v>397</v>
      </c>
      <c r="D407" s="52" t="s">
        <v>2614</v>
      </c>
      <c r="E407" s="52" t="s">
        <v>2681</v>
      </c>
      <c r="F407" s="53" t="s">
        <v>626</v>
      </c>
      <c r="G407" s="179" t="s">
        <v>1429</v>
      </c>
      <c r="H407" s="180" t="s">
        <v>397</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29" t="s">
        <v>397</v>
      </c>
      <c r="AR407" s="5"/>
      <c r="AS407" s="5"/>
      <c r="AT407" s="5"/>
      <c r="AU407" s="5"/>
      <c r="AV407" s="5"/>
      <c r="AW407" s="5"/>
      <c r="AX407" s="284"/>
      <c r="AY407" s="5"/>
      <c r="AZ407" s="5"/>
      <c r="BA407" s="230"/>
      <c r="BB407" s="5"/>
      <c r="BC407" s="232" t="s">
        <v>3535</v>
      </c>
      <c r="BD407" s="257"/>
      <c r="BE407" s="249"/>
      <c r="BF407" s="249"/>
      <c r="BG407" s="249"/>
      <c r="BH407" s="249"/>
      <c r="BI407" s="249"/>
      <c r="BJ407" s="249"/>
      <c r="BK407" s="249"/>
      <c r="BL407" s="249"/>
      <c r="BM407" s="249"/>
      <c r="BN407" s="249"/>
      <c r="BO407" s="249"/>
      <c r="BP407" s="249"/>
      <c r="BQ407" s="249"/>
      <c r="BR407" s="249"/>
      <c r="BS407" s="249"/>
      <c r="BT407" s="249"/>
      <c r="BU407" s="249"/>
      <c r="BV407" s="249"/>
      <c r="BW407" s="249"/>
      <c r="BX407" s="249"/>
      <c r="BY407" s="249"/>
      <c r="BZ407" s="249"/>
      <c r="CA407" s="249"/>
      <c r="CB407" s="249"/>
      <c r="CC407" s="249"/>
      <c r="CD407" s="249"/>
      <c r="CE407" s="249"/>
    </row>
    <row r="408" spans="1:83" s="84" customFormat="1" ht="12.95" customHeight="1">
      <c r="A408" s="1"/>
      <c r="B408" s="1"/>
      <c r="C408" s="18" t="s">
        <v>398</v>
      </c>
      <c r="D408" s="52" t="s">
        <v>2683</v>
      </c>
      <c r="E408" s="52" t="s">
        <v>2684</v>
      </c>
      <c r="F408" s="53" t="s">
        <v>627</v>
      </c>
      <c r="G408" s="179" t="s">
        <v>1429</v>
      </c>
      <c r="H408" s="180" t="s">
        <v>398</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29" t="s">
        <v>398</v>
      </c>
      <c r="AR408" s="5"/>
      <c r="AS408" s="5"/>
      <c r="AT408" s="5"/>
      <c r="AU408" s="5"/>
      <c r="AV408" s="5"/>
      <c r="AW408" s="5"/>
      <c r="AX408" s="284"/>
      <c r="AY408" s="5"/>
      <c r="AZ408" s="5"/>
      <c r="BA408" s="230"/>
      <c r="BB408" s="5"/>
      <c r="BC408" s="232" t="s">
        <v>3535</v>
      </c>
      <c r="BD408" s="257"/>
      <c r="BE408" s="249"/>
      <c r="BF408" s="249"/>
      <c r="BG408" s="249"/>
      <c r="BH408" s="249"/>
      <c r="BI408" s="249"/>
      <c r="BJ408" s="249"/>
      <c r="BK408" s="249"/>
      <c r="BL408" s="249"/>
      <c r="BM408" s="249"/>
      <c r="BN408" s="249"/>
      <c r="BO408" s="249"/>
      <c r="BP408" s="249"/>
      <c r="BQ408" s="249"/>
      <c r="BR408" s="249"/>
      <c r="BS408" s="249"/>
      <c r="BT408" s="249"/>
      <c r="BU408" s="249"/>
      <c r="BV408" s="249"/>
      <c r="BW408" s="249"/>
      <c r="BX408" s="249"/>
      <c r="BY408" s="249"/>
      <c r="BZ408" s="249"/>
      <c r="CA408" s="249"/>
      <c r="CB408" s="249"/>
      <c r="CC408" s="249"/>
      <c r="CD408" s="249"/>
      <c r="CE408" s="249"/>
    </row>
    <row r="409" spans="1:83" s="84" customFormat="1" ht="12.95" customHeight="1">
      <c r="A409" s="1"/>
      <c r="B409" s="1"/>
      <c r="C409" s="18" t="s">
        <v>399</v>
      </c>
      <c r="D409" s="52" t="s">
        <v>2686</v>
      </c>
      <c r="E409" s="52" t="s">
        <v>2687</v>
      </c>
      <c r="F409" s="53" t="s">
        <v>628</v>
      </c>
      <c r="G409" s="179" t="s">
        <v>1429</v>
      </c>
      <c r="H409" s="180" t="s">
        <v>399</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29" t="s">
        <v>399</v>
      </c>
      <c r="AR409" s="5"/>
      <c r="AS409" s="5"/>
      <c r="AT409" s="5"/>
      <c r="AU409" s="5"/>
      <c r="AV409" s="5"/>
      <c r="AW409" s="5"/>
      <c r="AX409" s="284"/>
      <c r="AY409" s="5"/>
      <c r="AZ409" s="5"/>
      <c r="BA409" s="230"/>
      <c r="BB409" s="5"/>
      <c r="BC409" s="232" t="s">
        <v>3535</v>
      </c>
      <c r="BD409" s="257"/>
      <c r="BE409" s="249"/>
      <c r="BF409" s="249"/>
      <c r="BG409" s="249"/>
      <c r="BH409" s="249"/>
      <c r="BI409" s="249"/>
      <c r="BJ409" s="249"/>
      <c r="BK409" s="249"/>
      <c r="BL409" s="249"/>
      <c r="BM409" s="249"/>
      <c r="BN409" s="249"/>
      <c r="BO409" s="249"/>
      <c r="BP409" s="249"/>
      <c r="BQ409" s="249"/>
      <c r="BR409" s="249"/>
      <c r="BS409" s="249"/>
      <c r="BT409" s="249"/>
      <c r="BU409" s="249"/>
      <c r="BV409" s="249"/>
      <c r="BW409" s="249"/>
      <c r="BX409" s="249"/>
      <c r="BY409" s="249"/>
      <c r="BZ409" s="249"/>
      <c r="CA409" s="249"/>
      <c r="CB409" s="249"/>
      <c r="CC409" s="249"/>
      <c r="CD409" s="249"/>
      <c r="CE409" s="249"/>
    </row>
    <row r="410" spans="1:83" s="84" customFormat="1" ht="12.95" customHeight="1">
      <c r="A410" s="1"/>
      <c r="B410" s="1"/>
      <c r="C410" s="18" t="s">
        <v>400</v>
      </c>
      <c r="D410" s="52" t="s">
        <v>2640</v>
      </c>
      <c r="E410" s="52" t="s">
        <v>2689</v>
      </c>
      <c r="F410" s="53" t="s">
        <v>629</v>
      </c>
      <c r="G410" s="179" t="s">
        <v>1429</v>
      </c>
      <c r="H410" s="180" t="s">
        <v>400</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29" t="s">
        <v>400</v>
      </c>
      <c r="AR410" s="5"/>
      <c r="AS410" s="5"/>
      <c r="AT410" s="5"/>
      <c r="AU410" s="5"/>
      <c r="AV410" s="5"/>
      <c r="AW410" s="5"/>
      <c r="AX410" s="284"/>
      <c r="AY410" s="5"/>
      <c r="AZ410" s="5"/>
      <c r="BA410" s="230"/>
      <c r="BB410" s="5"/>
      <c r="BC410" s="232" t="s">
        <v>3535</v>
      </c>
      <c r="BD410" s="257"/>
      <c r="BE410" s="249"/>
      <c r="BF410" s="249"/>
      <c r="BG410" s="249"/>
      <c r="BH410" s="249"/>
      <c r="BI410" s="249"/>
      <c r="BJ410" s="249"/>
      <c r="BK410" s="249"/>
      <c r="BL410" s="249"/>
      <c r="BM410" s="249"/>
      <c r="BN410" s="249"/>
      <c r="BO410" s="249"/>
      <c r="BP410" s="249"/>
      <c r="BQ410" s="249"/>
      <c r="BR410" s="249"/>
      <c r="BS410" s="249"/>
      <c r="BT410" s="249"/>
      <c r="BU410" s="249"/>
      <c r="BV410" s="249"/>
      <c r="BW410" s="249"/>
      <c r="BX410" s="249"/>
      <c r="BY410" s="249"/>
      <c r="BZ410" s="249"/>
      <c r="CA410" s="249"/>
      <c r="CB410" s="249"/>
      <c r="CC410" s="249"/>
      <c r="CD410" s="249"/>
      <c r="CE410" s="249"/>
    </row>
    <row r="411" spans="1:83" s="84" customFormat="1" ht="12.95" customHeight="1">
      <c r="A411" s="1"/>
      <c r="B411" s="1"/>
      <c r="C411" s="21" t="s">
        <v>401</v>
      </c>
      <c r="D411" s="52" t="s">
        <v>2638</v>
      </c>
      <c r="E411" s="52" t="s">
        <v>2691</v>
      </c>
      <c r="F411" s="53" t="s">
        <v>630</v>
      </c>
      <c r="G411" s="179" t="s">
        <v>1429</v>
      </c>
      <c r="H411" s="180" t="s">
        <v>401</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29" t="s">
        <v>401</v>
      </c>
      <c r="AR411" s="5"/>
      <c r="AS411" s="5"/>
      <c r="AT411" s="5"/>
      <c r="AU411" s="5"/>
      <c r="AV411" s="5"/>
      <c r="AW411" s="5"/>
      <c r="AX411" s="284"/>
      <c r="AY411" s="5"/>
      <c r="AZ411" s="5"/>
      <c r="BA411" s="230"/>
      <c r="BB411" s="5"/>
      <c r="BC411" s="232" t="s">
        <v>3535</v>
      </c>
      <c r="BD411" s="257"/>
      <c r="BE411" s="249"/>
      <c r="BF411" s="249"/>
      <c r="BG411" s="249"/>
      <c r="BH411" s="249"/>
      <c r="BI411" s="249"/>
      <c r="BJ411" s="249"/>
      <c r="BK411" s="249"/>
      <c r="BL411" s="249"/>
      <c r="BM411" s="249"/>
      <c r="BN411" s="249"/>
      <c r="BO411" s="249"/>
      <c r="BP411" s="249"/>
      <c r="BQ411" s="249"/>
      <c r="BR411" s="249"/>
      <c r="BS411" s="249"/>
      <c r="BT411" s="249"/>
      <c r="BU411" s="249"/>
      <c r="BV411" s="249"/>
      <c r="BW411" s="249"/>
      <c r="BX411" s="249"/>
      <c r="BY411" s="249"/>
      <c r="BZ411" s="249"/>
      <c r="CA411" s="249"/>
      <c r="CB411" s="249"/>
      <c r="CC411" s="249"/>
      <c r="CD411" s="249"/>
      <c r="CE411" s="249"/>
    </row>
    <row r="412" spans="1:83" s="84" customFormat="1" ht="12.95" customHeight="1">
      <c r="A412" s="1"/>
      <c r="B412" s="1"/>
      <c r="C412" s="21" t="s">
        <v>402</v>
      </c>
      <c r="D412" s="52" t="s">
        <v>2635</v>
      </c>
      <c r="E412" s="52" t="s">
        <v>2693</v>
      </c>
      <c r="F412" s="53" t="s">
        <v>631</v>
      </c>
      <c r="G412" s="179" t="s">
        <v>1429</v>
      </c>
      <c r="H412" s="180" t="s">
        <v>402</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29" t="s">
        <v>402</v>
      </c>
      <c r="AR412" s="5"/>
      <c r="AS412" s="5"/>
      <c r="AT412" s="5"/>
      <c r="AU412" s="5"/>
      <c r="AV412" s="5"/>
      <c r="AW412" s="5"/>
      <c r="AX412" s="284"/>
      <c r="AY412" s="5"/>
      <c r="AZ412" s="5"/>
      <c r="BA412" s="230"/>
      <c r="BB412" s="5"/>
      <c r="BC412" s="232" t="s">
        <v>3535</v>
      </c>
      <c r="BD412" s="257"/>
      <c r="BE412" s="249"/>
      <c r="BF412" s="249"/>
      <c r="BG412" s="249"/>
      <c r="BH412" s="249"/>
      <c r="BI412" s="249"/>
      <c r="BJ412" s="249"/>
      <c r="BK412" s="249"/>
      <c r="BL412" s="249"/>
      <c r="BM412" s="249"/>
      <c r="BN412" s="249"/>
      <c r="BO412" s="249"/>
      <c r="BP412" s="249"/>
      <c r="BQ412" s="249"/>
      <c r="BR412" s="249"/>
      <c r="BS412" s="249"/>
      <c r="BT412" s="249"/>
      <c r="BU412" s="249"/>
      <c r="BV412" s="249"/>
      <c r="BW412" s="249"/>
      <c r="BX412" s="249"/>
      <c r="BY412" s="249"/>
      <c r="BZ412" s="249"/>
      <c r="CA412" s="249"/>
      <c r="CB412" s="249"/>
      <c r="CC412" s="249"/>
      <c r="CD412" s="249"/>
      <c r="CE412" s="249"/>
    </row>
    <row r="413" spans="1:83" s="84" customFormat="1" ht="12.95" customHeight="1">
      <c r="A413" s="1"/>
      <c r="B413" s="1"/>
      <c r="C413" s="18" t="s">
        <v>403</v>
      </c>
      <c r="D413" s="52" t="s">
        <v>2609</v>
      </c>
      <c r="E413" s="52" t="s">
        <v>2695</v>
      </c>
      <c r="F413" s="53" t="s">
        <v>632</v>
      </c>
      <c r="G413" s="179" t="s">
        <v>1429</v>
      </c>
      <c r="H413" s="180" t="s">
        <v>403</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29" t="s">
        <v>403</v>
      </c>
      <c r="AR413" s="5"/>
      <c r="AS413" s="5"/>
      <c r="AT413" s="5"/>
      <c r="AU413" s="5"/>
      <c r="AV413" s="5"/>
      <c r="AW413" s="5"/>
      <c r="AX413" s="284"/>
      <c r="AY413" s="5"/>
      <c r="AZ413" s="5"/>
      <c r="BA413" s="230"/>
      <c r="BB413" s="5"/>
      <c r="BC413" s="232" t="s">
        <v>3535</v>
      </c>
      <c r="BD413" s="257"/>
      <c r="BE413" s="249"/>
      <c r="BF413" s="249"/>
      <c r="BG413" s="249"/>
      <c r="BH413" s="249"/>
      <c r="BI413" s="249"/>
      <c r="BJ413" s="249"/>
      <c r="BK413" s="249"/>
      <c r="BL413" s="249"/>
      <c r="BM413" s="249"/>
      <c r="BN413" s="249"/>
      <c r="BO413" s="249"/>
      <c r="BP413" s="249"/>
      <c r="BQ413" s="249"/>
      <c r="BR413" s="249"/>
      <c r="BS413" s="249"/>
      <c r="BT413" s="249"/>
      <c r="BU413" s="249"/>
      <c r="BV413" s="249"/>
      <c r="BW413" s="249"/>
      <c r="BX413" s="249"/>
      <c r="BY413" s="249"/>
      <c r="BZ413" s="249"/>
      <c r="CA413" s="249"/>
      <c r="CB413" s="249"/>
      <c r="CC413" s="249"/>
      <c r="CD413" s="249"/>
      <c r="CE413" s="249"/>
    </row>
    <row r="414" spans="1:83" s="84" customFormat="1" ht="12.95" customHeight="1">
      <c r="A414" s="1"/>
      <c r="B414" s="1"/>
      <c r="C414" s="18" t="s">
        <v>404</v>
      </c>
      <c r="D414" s="52" t="s">
        <v>2642</v>
      </c>
      <c r="E414" s="52" t="s">
        <v>2697</v>
      </c>
      <c r="F414" s="53" t="s">
        <v>633</v>
      </c>
      <c r="G414" s="179" t="s">
        <v>1429</v>
      </c>
      <c r="H414" s="180" t="s">
        <v>404</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29" t="s">
        <v>404</v>
      </c>
      <c r="AR414" s="5"/>
      <c r="AS414" s="5"/>
      <c r="AT414" s="5"/>
      <c r="AU414" s="5"/>
      <c r="AV414" s="5"/>
      <c r="AW414" s="5"/>
      <c r="AX414" s="284"/>
      <c r="AY414" s="5"/>
      <c r="AZ414" s="5"/>
      <c r="BA414" s="230"/>
      <c r="BB414" s="5"/>
      <c r="BC414" s="232" t="s">
        <v>3535</v>
      </c>
      <c r="BD414" s="257"/>
      <c r="BE414" s="249"/>
      <c r="BF414" s="249"/>
      <c r="BG414" s="249"/>
      <c r="BH414" s="249"/>
      <c r="BI414" s="249"/>
      <c r="BJ414" s="249"/>
      <c r="BK414" s="249"/>
      <c r="BL414" s="249"/>
      <c r="BM414" s="249"/>
      <c r="BN414" s="249"/>
      <c r="BO414" s="249"/>
      <c r="BP414" s="249"/>
      <c r="BQ414" s="249"/>
      <c r="BR414" s="249"/>
      <c r="BS414" s="249"/>
      <c r="BT414" s="249"/>
      <c r="BU414" s="249"/>
      <c r="BV414" s="249"/>
      <c r="BW414" s="249"/>
      <c r="BX414" s="249"/>
      <c r="BY414" s="249"/>
      <c r="BZ414" s="249"/>
      <c r="CA414" s="249"/>
      <c r="CB414" s="249"/>
      <c r="CC414" s="249"/>
      <c r="CD414" s="249"/>
      <c r="CE414" s="249"/>
    </row>
    <row r="415" spans="1:83" s="84" customFormat="1" ht="12.95" customHeight="1">
      <c r="A415" s="1"/>
      <c r="B415" s="1"/>
      <c r="C415" s="18" t="s">
        <v>405</v>
      </c>
      <c r="D415" s="52" t="s">
        <v>2699</v>
      </c>
      <c r="E415" s="52" t="s">
        <v>2700</v>
      </c>
      <c r="F415" s="53" t="s">
        <v>634</v>
      </c>
      <c r="G415" s="179" t="s">
        <v>1429</v>
      </c>
      <c r="H415" s="180" t="s">
        <v>405</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29" t="s">
        <v>405</v>
      </c>
      <c r="AR415" s="5"/>
      <c r="AS415" s="5"/>
      <c r="AT415" s="5"/>
      <c r="AU415" s="5"/>
      <c r="AV415" s="5"/>
      <c r="AW415" s="5"/>
      <c r="AX415" s="284"/>
      <c r="AY415" s="5"/>
      <c r="AZ415" s="5"/>
      <c r="BA415" s="230"/>
      <c r="BB415" s="5"/>
      <c r="BC415" s="232" t="s">
        <v>3535</v>
      </c>
      <c r="BD415" s="257"/>
      <c r="BE415" s="249"/>
      <c r="BF415" s="249"/>
      <c r="BG415" s="249"/>
      <c r="BH415" s="249"/>
      <c r="BI415" s="249"/>
      <c r="BJ415" s="249"/>
      <c r="BK415" s="249"/>
      <c r="BL415" s="249"/>
      <c r="BM415" s="249"/>
      <c r="BN415" s="249"/>
      <c r="BO415" s="249"/>
      <c r="BP415" s="249"/>
      <c r="BQ415" s="249"/>
      <c r="BR415" s="249"/>
      <c r="BS415" s="249"/>
      <c r="BT415" s="249"/>
      <c r="BU415" s="249"/>
      <c r="BV415" s="249"/>
      <c r="BW415" s="249"/>
      <c r="BX415" s="249"/>
      <c r="BY415" s="249"/>
      <c r="BZ415" s="249"/>
      <c r="CA415" s="249"/>
      <c r="CB415" s="249"/>
      <c r="CC415" s="249"/>
      <c r="CD415" s="249"/>
      <c r="CE415" s="249"/>
    </row>
    <row r="416" spans="1:83" s="84" customFormat="1" ht="12.95" customHeight="1">
      <c r="A416" s="1"/>
      <c r="B416" s="1"/>
      <c r="C416" s="18" t="s">
        <v>406</v>
      </c>
      <c r="D416" s="52" t="s">
        <v>2693</v>
      </c>
      <c r="E416" s="52" t="s">
        <v>2702</v>
      </c>
      <c r="F416" s="53" t="s">
        <v>635</v>
      </c>
      <c r="G416" s="179" t="s">
        <v>1429</v>
      </c>
      <c r="H416" s="180" t="s">
        <v>406</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29" t="s">
        <v>406</v>
      </c>
      <c r="AR416" s="5"/>
      <c r="AS416" s="5"/>
      <c r="AT416" s="5"/>
      <c r="AU416" s="5"/>
      <c r="AV416" s="5"/>
      <c r="AW416" s="5"/>
      <c r="AX416" s="284"/>
      <c r="AY416" s="5"/>
      <c r="AZ416" s="5"/>
      <c r="BA416" s="230"/>
      <c r="BB416" s="5"/>
      <c r="BC416" s="232" t="s">
        <v>3535</v>
      </c>
      <c r="BD416" s="257"/>
      <c r="BE416" s="249"/>
      <c r="BF416" s="249"/>
      <c r="BG416" s="249"/>
      <c r="BH416" s="249"/>
      <c r="BI416" s="249"/>
      <c r="BJ416" s="249"/>
      <c r="BK416" s="249"/>
      <c r="BL416" s="249"/>
      <c r="BM416" s="249"/>
      <c r="BN416" s="249"/>
      <c r="BO416" s="249"/>
      <c r="BP416" s="249"/>
      <c r="BQ416" s="249"/>
      <c r="BR416" s="249"/>
      <c r="BS416" s="249"/>
      <c r="BT416" s="249"/>
      <c r="BU416" s="249"/>
      <c r="BV416" s="249"/>
      <c r="BW416" s="249"/>
      <c r="BX416" s="249"/>
      <c r="BY416" s="249"/>
      <c r="BZ416" s="249"/>
      <c r="CA416" s="249"/>
      <c r="CB416" s="249"/>
      <c r="CC416" s="249"/>
      <c r="CD416" s="249"/>
      <c r="CE416" s="249"/>
    </row>
    <row r="417" spans="1:83" s="84" customFormat="1" ht="12.95" customHeight="1">
      <c r="A417" s="1"/>
      <c r="B417" s="1"/>
      <c r="C417" s="18" t="s">
        <v>407</v>
      </c>
      <c r="D417" s="52" t="s">
        <v>2662</v>
      </c>
      <c r="E417" s="52" t="s">
        <v>2704</v>
      </c>
      <c r="F417" s="53" t="s">
        <v>636</v>
      </c>
      <c r="G417" s="179" t="s">
        <v>1429</v>
      </c>
      <c r="H417" s="180" t="s">
        <v>407</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29" t="s">
        <v>407</v>
      </c>
      <c r="AR417" s="5"/>
      <c r="AS417" s="5"/>
      <c r="AT417" s="5"/>
      <c r="AU417" s="5"/>
      <c r="AV417" s="5"/>
      <c r="AW417" s="5"/>
      <c r="AX417" s="284"/>
      <c r="AY417" s="5"/>
      <c r="AZ417" s="5"/>
      <c r="BA417" s="230"/>
      <c r="BB417" s="5"/>
      <c r="BC417" s="232" t="s">
        <v>3535</v>
      </c>
      <c r="BD417" s="257"/>
      <c r="BE417" s="249"/>
      <c r="BF417" s="249"/>
      <c r="BG417" s="249"/>
      <c r="BH417" s="249"/>
      <c r="BI417" s="249"/>
      <c r="BJ417" s="249"/>
      <c r="BK417" s="249"/>
      <c r="BL417" s="249"/>
      <c r="BM417" s="249"/>
      <c r="BN417" s="249"/>
      <c r="BO417" s="249"/>
      <c r="BP417" s="249"/>
      <c r="BQ417" s="249"/>
      <c r="BR417" s="249"/>
      <c r="BS417" s="249"/>
      <c r="BT417" s="249"/>
      <c r="BU417" s="249"/>
      <c r="BV417" s="249"/>
      <c r="BW417" s="249"/>
      <c r="BX417" s="249"/>
      <c r="BY417" s="249"/>
      <c r="BZ417" s="249"/>
      <c r="CA417" s="249"/>
      <c r="CB417" s="249"/>
      <c r="CC417" s="249"/>
      <c r="CD417" s="249"/>
      <c r="CE417" s="249"/>
    </row>
    <row r="418" spans="1:83" s="84" customFormat="1" ht="12.95" customHeight="1">
      <c r="A418" s="1"/>
      <c r="B418" s="1"/>
      <c r="C418" s="18" t="s">
        <v>408</v>
      </c>
      <c r="D418" s="52" t="s">
        <v>2648</v>
      </c>
      <c r="E418" s="52" t="s">
        <v>2706</v>
      </c>
      <c r="F418" s="53" t="s">
        <v>637</v>
      </c>
      <c r="G418" s="179" t="s">
        <v>1429</v>
      </c>
      <c r="H418" s="180" t="s">
        <v>408</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29" t="s">
        <v>408</v>
      </c>
      <c r="AR418" s="5"/>
      <c r="AS418" s="5"/>
      <c r="AT418" s="5"/>
      <c r="AU418" s="5"/>
      <c r="AV418" s="5"/>
      <c r="AW418" s="5"/>
      <c r="AX418" s="284"/>
      <c r="AY418" s="5"/>
      <c r="AZ418" s="5"/>
      <c r="BA418" s="230"/>
      <c r="BB418" s="5"/>
      <c r="BC418" s="232" t="s">
        <v>3535</v>
      </c>
      <c r="BD418" s="257"/>
      <c r="BE418" s="249"/>
      <c r="BF418" s="249"/>
      <c r="BG418" s="249"/>
      <c r="BH418" s="249"/>
      <c r="BI418" s="249"/>
      <c r="BJ418" s="249"/>
      <c r="BK418" s="249"/>
      <c r="BL418" s="249"/>
      <c r="BM418" s="249"/>
      <c r="BN418" s="249"/>
      <c r="BO418" s="249"/>
      <c r="BP418" s="249"/>
      <c r="BQ418" s="249"/>
      <c r="BR418" s="249"/>
      <c r="BS418" s="249"/>
      <c r="BT418" s="249"/>
      <c r="BU418" s="249"/>
      <c r="BV418" s="249"/>
      <c r="BW418" s="249"/>
      <c r="BX418" s="249"/>
      <c r="BY418" s="249"/>
      <c r="BZ418" s="249"/>
      <c r="CA418" s="249"/>
      <c r="CB418" s="249"/>
      <c r="CC418" s="249"/>
      <c r="CD418" s="249"/>
      <c r="CE418" s="249"/>
    </row>
    <row r="419" spans="1:83" s="84" customFormat="1" ht="12.95" customHeight="1">
      <c r="A419" s="1"/>
      <c r="B419" s="1"/>
      <c r="C419" s="18" t="s">
        <v>409</v>
      </c>
      <c r="D419" s="52" t="s">
        <v>2667</v>
      </c>
      <c r="E419" s="52" t="s">
        <v>2708</v>
      </c>
      <c r="F419" s="53" t="s">
        <v>638</v>
      </c>
      <c r="G419" s="179" t="s">
        <v>1429</v>
      </c>
      <c r="H419" s="180" t="s">
        <v>409</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29" t="s">
        <v>409</v>
      </c>
      <c r="AR419" s="5"/>
      <c r="AS419" s="5"/>
      <c r="AT419" s="5"/>
      <c r="AU419" s="5"/>
      <c r="AV419" s="5"/>
      <c r="AW419" s="5"/>
      <c r="AX419" s="284"/>
      <c r="AY419" s="5"/>
      <c r="AZ419" s="5"/>
      <c r="BA419" s="230"/>
      <c r="BB419" s="5"/>
      <c r="BC419" s="232" t="s">
        <v>3535</v>
      </c>
      <c r="BD419" s="257"/>
      <c r="BE419" s="249"/>
      <c r="BF419" s="249"/>
      <c r="BG419" s="249"/>
      <c r="BH419" s="249"/>
      <c r="BI419" s="249"/>
      <c r="BJ419" s="249"/>
      <c r="BK419" s="249"/>
      <c r="BL419" s="249"/>
      <c r="BM419" s="249"/>
      <c r="BN419" s="249"/>
      <c r="BO419" s="249"/>
      <c r="BP419" s="249"/>
      <c r="BQ419" s="249"/>
      <c r="BR419" s="249"/>
      <c r="BS419" s="249"/>
      <c r="BT419" s="249"/>
      <c r="BU419" s="249"/>
      <c r="BV419" s="249"/>
      <c r="BW419" s="249"/>
      <c r="BX419" s="249"/>
      <c r="BY419" s="249"/>
      <c r="BZ419" s="249"/>
      <c r="CA419" s="249"/>
      <c r="CB419" s="249"/>
      <c r="CC419" s="249"/>
      <c r="CD419" s="249"/>
      <c r="CE419" s="249"/>
    </row>
    <row r="420" spans="1:83" s="84" customFormat="1" ht="12.95" customHeight="1">
      <c r="A420" s="1"/>
      <c r="B420" s="1"/>
      <c r="C420" s="18" t="s">
        <v>410</v>
      </c>
      <c r="D420" s="52" t="s">
        <v>2710</v>
      </c>
      <c r="E420" s="52" t="s">
        <v>2711</v>
      </c>
      <c r="F420" s="53" t="s">
        <v>639</v>
      </c>
      <c r="G420" s="179" t="s">
        <v>1429</v>
      </c>
      <c r="H420" s="180" t="s">
        <v>410</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29" t="s">
        <v>410</v>
      </c>
      <c r="AR420" s="5"/>
      <c r="AS420" s="5"/>
      <c r="AT420" s="5"/>
      <c r="AU420" s="5"/>
      <c r="AV420" s="5"/>
      <c r="AW420" s="5"/>
      <c r="AX420" s="284"/>
      <c r="AY420" s="5"/>
      <c r="AZ420" s="5"/>
      <c r="BA420" s="230"/>
      <c r="BB420" s="5"/>
      <c r="BC420" s="232" t="s">
        <v>3535</v>
      </c>
      <c r="BD420" s="257"/>
      <c r="BE420" s="249"/>
      <c r="BF420" s="249"/>
      <c r="BG420" s="249"/>
      <c r="BH420" s="249"/>
      <c r="BI420" s="249"/>
      <c r="BJ420" s="249"/>
      <c r="BK420" s="249"/>
      <c r="BL420" s="249"/>
      <c r="BM420" s="249"/>
      <c r="BN420" s="249"/>
      <c r="BO420" s="249"/>
      <c r="BP420" s="249"/>
      <c r="BQ420" s="249"/>
      <c r="BR420" s="249"/>
      <c r="BS420" s="249"/>
      <c r="BT420" s="249"/>
      <c r="BU420" s="249"/>
      <c r="BV420" s="249"/>
      <c r="BW420" s="249"/>
      <c r="BX420" s="249"/>
      <c r="BY420" s="249"/>
      <c r="BZ420" s="249"/>
      <c r="CA420" s="249"/>
      <c r="CB420" s="249"/>
      <c r="CC420" s="249"/>
      <c r="CD420" s="249"/>
      <c r="CE420" s="249"/>
    </row>
    <row r="421" spans="1:83" s="84" customFormat="1" ht="12.95" customHeight="1">
      <c r="A421" s="1"/>
      <c r="B421" s="1"/>
      <c r="C421" s="18" t="s">
        <v>411</v>
      </c>
      <c r="D421" s="52" t="s">
        <v>2659</v>
      </c>
      <c r="E421" s="52" t="s">
        <v>2713</v>
      </c>
      <c r="F421" s="53" t="s">
        <v>640</v>
      </c>
      <c r="G421" s="179" t="s">
        <v>1429</v>
      </c>
      <c r="H421" s="180" t="s">
        <v>411</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29" t="s">
        <v>411</v>
      </c>
      <c r="AR421" s="5"/>
      <c r="AS421" s="5"/>
      <c r="AT421" s="5"/>
      <c r="AU421" s="5"/>
      <c r="AV421" s="5"/>
      <c r="AW421" s="5"/>
      <c r="AX421" s="284"/>
      <c r="AY421" s="5"/>
      <c r="AZ421" s="5"/>
      <c r="BA421" s="230"/>
      <c r="BB421" s="5"/>
      <c r="BC421" s="232" t="s">
        <v>3535</v>
      </c>
      <c r="BD421" s="257"/>
      <c r="BE421" s="249"/>
      <c r="BF421" s="249"/>
      <c r="BG421" s="249"/>
      <c r="BH421" s="249"/>
      <c r="BI421" s="249"/>
      <c r="BJ421" s="249"/>
      <c r="BK421" s="249"/>
      <c r="BL421" s="249"/>
      <c r="BM421" s="249"/>
      <c r="BN421" s="249"/>
      <c r="BO421" s="249"/>
      <c r="BP421" s="249"/>
      <c r="BQ421" s="249"/>
      <c r="BR421" s="249"/>
      <c r="BS421" s="249"/>
      <c r="BT421" s="249"/>
      <c r="BU421" s="249"/>
      <c r="BV421" s="249"/>
      <c r="BW421" s="249"/>
      <c r="BX421" s="249"/>
      <c r="BY421" s="249"/>
      <c r="BZ421" s="249"/>
      <c r="CA421" s="249"/>
      <c r="CB421" s="249"/>
      <c r="CC421" s="249"/>
      <c r="CD421" s="249"/>
      <c r="CE421" s="249"/>
    </row>
    <row r="422" spans="1:83" s="84" customFormat="1" ht="12.95" customHeight="1">
      <c r="A422" s="1"/>
      <c r="B422" s="1"/>
      <c r="C422" s="18" t="s">
        <v>412</v>
      </c>
      <c r="D422" s="52" t="s">
        <v>2650</v>
      </c>
      <c r="E422" s="52" t="s">
        <v>2715</v>
      </c>
      <c r="F422" s="53" t="s">
        <v>641</v>
      </c>
      <c r="G422" s="179" t="s">
        <v>1429</v>
      </c>
      <c r="H422" s="180" t="s">
        <v>412</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29" t="s">
        <v>412</v>
      </c>
      <c r="AR422" s="5"/>
      <c r="AS422" s="5"/>
      <c r="AT422" s="5"/>
      <c r="AU422" s="5"/>
      <c r="AV422" s="5"/>
      <c r="AW422" s="5"/>
      <c r="AX422" s="284"/>
      <c r="AY422" s="5"/>
      <c r="AZ422" s="5"/>
      <c r="BA422" s="230"/>
      <c r="BB422" s="5"/>
      <c r="BC422" s="232" t="s">
        <v>3535</v>
      </c>
      <c r="BD422" s="257"/>
      <c r="BE422" s="249"/>
      <c r="BF422" s="249"/>
      <c r="BG422" s="249"/>
      <c r="BH422" s="249"/>
      <c r="BI422" s="249"/>
      <c r="BJ422" s="249"/>
      <c r="BK422" s="249"/>
      <c r="BL422" s="249"/>
      <c r="BM422" s="249"/>
      <c r="BN422" s="249"/>
      <c r="BO422" s="249"/>
      <c r="BP422" s="249"/>
      <c r="BQ422" s="249"/>
      <c r="BR422" s="249"/>
      <c r="BS422" s="249"/>
      <c r="BT422" s="249"/>
      <c r="BU422" s="249"/>
      <c r="BV422" s="249"/>
      <c r="BW422" s="249"/>
      <c r="BX422" s="249"/>
      <c r="BY422" s="249"/>
      <c r="BZ422" s="249"/>
      <c r="CA422" s="249"/>
      <c r="CB422" s="249"/>
      <c r="CC422" s="249"/>
      <c r="CD422" s="249"/>
      <c r="CE422" s="249"/>
    </row>
    <row r="423" spans="1:83" s="84" customFormat="1" ht="12.95" customHeight="1">
      <c r="A423" s="1"/>
      <c r="B423" s="1"/>
      <c r="C423" s="21" t="s">
        <v>413</v>
      </c>
      <c r="D423" s="52" t="s">
        <v>2646</v>
      </c>
      <c r="E423" s="52" t="s">
        <v>2717</v>
      </c>
      <c r="F423" s="53" t="s">
        <v>642</v>
      </c>
      <c r="G423" s="179" t="s">
        <v>1429</v>
      </c>
      <c r="H423" s="180" t="s">
        <v>413</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29" t="s">
        <v>413</v>
      </c>
      <c r="AR423" s="5"/>
      <c r="AS423" s="5"/>
      <c r="AT423" s="5"/>
      <c r="AU423" s="5"/>
      <c r="AV423" s="5"/>
      <c r="AW423" s="5"/>
      <c r="AX423" s="284"/>
      <c r="AY423" s="5"/>
      <c r="AZ423" s="5"/>
      <c r="BA423" s="230"/>
      <c r="BB423" s="5"/>
      <c r="BC423" s="232" t="s">
        <v>3535</v>
      </c>
      <c r="BD423" s="257"/>
      <c r="BE423" s="249"/>
      <c r="BF423" s="249"/>
      <c r="BG423" s="249"/>
      <c r="BH423" s="249"/>
      <c r="BI423" s="249"/>
      <c r="BJ423" s="249"/>
      <c r="BK423" s="249"/>
      <c r="BL423" s="249"/>
      <c r="BM423" s="249"/>
      <c r="BN423" s="249"/>
      <c r="BO423" s="249"/>
      <c r="BP423" s="249"/>
      <c r="BQ423" s="249"/>
      <c r="BR423" s="249"/>
      <c r="BS423" s="249"/>
      <c r="BT423" s="249"/>
      <c r="BU423" s="249"/>
      <c r="BV423" s="249"/>
      <c r="BW423" s="249"/>
      <c r="BX423" s="249"/>
      <c r="BY423" s="249"/>
      <c r="BZ423" s="249"/>
      <c r="CA423" s="249"/>
      <c r="CB423" s="249"/>
      <c r="CC423" s="249"/>
      <c r="CD423" s="249"/>
      <c r="CE423" s="249"/>
    </row>
    <row r="424" spans="1:83" s="84" customFormat="1" ht="12.95" customHeight="1">
      <c r="A424" s="1"/>
      <c r="B424" s="1"/>
      <c r="C424" s="21" t="s">
        <v>414</v>
      </c>
      <c r="D424" s="52" t="s">
        <v>2644</v>
      </c>
      <c r="E424" s="52" t="s">
        <v>2719</v>
      </c>
      <c r="F424" s="53" t="s">
        <v>643</v>
      </c>
      <c r="G424" s="179" t="s">
        <v>1429</v>
      </c>
      <c r="H424" s="180" t="s">
        <v>414</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29" t="s">
        <v>414</v>
      </c>
      <c r="AR424" s="5"/>
      <c r="AS424" s="5"/>
      <c r="AT424" s="5"/>
      <c r="AU424" s="5"/>
      <c r="AV424" s="5"/>
      <c r="AW424" s="5"/>
      <c r="AX424" s="284"/>
      <c r="AY424" s="5"/>
      <c r="AZ424" s="5"/>
      <c r="BA424" s="230"/>
      <c r="BB424" s="5"/>
      <c r="BC424" s="232" t="s">
        <v>3535</v>
      </c>
      <c r="BD424" s="257"/>
      <c r="BE424" s="249"/>
      <c r="BF424" s="249"/>
      <c r="BG424" s="249"/>
      <c r="BH424" s="249"/>
      <c r="BI424" s="249"/>
      <c r="BJ424" s="249"/>
      <c r="BK424" s="249"/>
      <c r="BL424" s="249"/>
      <c r="BM424" s="249"/>
      <c r="BN424" s="249"/>
      <c r="BO424" s="249"/>
      <c r="BP424" s="249"/>
      <c r="BQ424" s="249"/>
      <c r="BR424" s="249"/>
      <c r="BS424" s="249"/>
      <c r="BT424" s="249"/>
      <c r="BU424" s="249"/>
      <c r="BV424" s="249"/>
      <c r="BW424" s="249"/>
      <c r="BX424" s="249"/>
      <c r="BY424" s="249"/>
      <c r="BZ424" s="249"/>
      <c r="CA424" s="249"/>
      <c r="CB424" s="249"/>
      <c r="CC424" s="249"/>
      <c r="CD424" s="249"/>
      <c r="CE424" s="249"/>
    </row>
    <row r="425" spans="1:83" s="84" customFormat="1" ht="12.95" customHeight="1">
      <c r="A425" s="1"/>
      <c r="B425" s="1"/>
      <c r="C425" s="18" t="s">
        <v>415</v>
      </c>
      <c r="D425" s="52" t="s">
        <v>2665</v>
      </c>
      <c r="E425" s="52" t="s">
        <v>2721</v>
      </c>
      <c r="F425" s="53" t="s">
        <v>644</v>
      </c>
      <c r="G425" s="179" t="s">
        <v>1429</v>
      </c>
      <c r="H425" s="180" t="s">
        <v>415</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29" t="s">
        <v>415</v>
      </c>
      <c r="AR425" s="5"/>
      <c r="AS425" s="5"/>
      <c r="AT425" s="5"/>
      <c r="AU425" s="5"/>
      <c r="AV425" s="5"/>
      <c r="AW425" s="5"/>
      <c r="AX425" s="284"/>
      <c r="AY425" s="5"/>
      <c r="AZ425" s="5"/>
      <c r="BA425" s="230"/>
      <c r="BB425" s="5"/>
      <c r="BC425" s="232" t="s">
        <v>3535</v>
      </c>
      <c r="BD425" s="257"/>
      <c r="BE425" s="249"/>
      <c r="BF425" s="249"/>
      <c r="BG425" s="249"/>
      <c r="BH425" s="249"/>
      <c r="BI425" s="249"/>
      <c r="BJ425" s="249"/>
      <c r="BK425" s="249"/>
      <c r="BL425" s="249"/>
      <c r="BM425" s="249"/>
      <c r="BN425" s="249"/>
      <c r="BO425" s="249"/>
      <c r="BP425" s="249"/>
      <c r="BQ425" s="249"/>
      <c r="BR425" s="249"/>
      <c r="BS425" s="249"/>
      <c r="BT425" s="249"/>
      <c r="BU425" s="249"/>
      <c r="BV425" s="249"/>
      <c r="BW425" s="249"/>
      <c r="BX425" s="249"/>
      <c r="BY425" s="249"/>
      <c r="BZ425" s="249"/>
      <c r="CA425" s="249"/>
      <c r="CB425" s="249"/>
      <c r="CC425" s="249"/>
      <c r="CD425" s="249"/>
      <c r="CE425" s="249"/>
    </row>
    <row r="426" spans="1:83" s="84" customFormat="1" ht="12.95" customHeight="1">
      <c r="A426" s="1"/>
      <c r="B426" s="1"/>
      <c r="C426" s="18" t="s">
        <v>416</v>
      </c>
      <c r="D426" s="52" t="s">
        <v>2684</v>
      </c>
      <c r="E426" s="52" t="s">
        <v>2723</v>
      </c>
      <c r="F426" s="53" t="s">
        <v>645</v>
      </c>
      <c r="G426" s="179" t="s">
        <v>1429</v>
      </c>
      <c r="H426" s="180" t="s">
        <v>416</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29" t="s">
        <v>416</v>
      </c>
      <c r="AR426" s="5"/>
      <c r="AS426" s="5"/>
      <c r="AT426" s="5"/>
      <c r="AU426" s="5"/>
      <c r="AV426" s="5"/>
      <c r="AW426" s="5"/>
      <c r="AX426" s="284"/>
      <c r="AY426" s="5"/>
      <c r="AZ426" s="5"/>
      <c r="BA426" s="230"/>
      <c r="BB426" s="5"/>
      <c r="BC426" s="232" t="s">
        <v>3535</v>
      </c>
      <c r="BD426" s="257"/>
      <c r="BE426" s="249"/>
      <c r="BF426" s="249"/>
      <c r="BG426" s="249"/>
      <c r="BH426" s="249"/>
      <c r="BI426" s="249"/>
      <c r="BJ426" s="249"/>
      <c r="BK426" s="249"/>
      <c r="BL426" s="249"/>
      <c r="BM426" s="249"/>
      <c r="BN426" s="249"/>
      <c r="BO426" s="249"/>
      <c r="BP426" s="249"/>
      <c r="BQ426" s="249"/>
      <c r="BR426" s="249"/>
      <c r="BS426" s="249"/>
      <c r="BT426" s="249"/>
      <c r="BU426" s="249"/>
      <c r="BV426" s="249"/>
      <c r="BW426" s="249"/>
      <c r="BX426" s="249"/>
      <c r="BY426" s="249"/>
      <c r="BZ426" s="249"/>
      <c r="CA426" s="249"/>
      <c r="CB426" s="249"/>
      <c r="CC426" s="249"/>
      <c r="CD426" s="249"/>
      <c r="CE426" s="249"/>
    </row>
    <row r="427" spans="1:83" s="84" customFormat="1" ht="12.95" customHeight="1">
      <c r="A427" s="1"/>
      <c r="B427" s="1"/>
      <c r="C427" s="18" t="s">
        <v>417</v>
      </c>
      <c r="D427" s="52" t="s">
        <v>2697</v>
      </c>
      <c r="E427" s="52" t="s">
        <v>2725</v>
      </c>
      <c r="F427" s="53" t="s">
        <v>646</v>
      </c>
      <c r="G427" s="179" t="s">
        <v>1429</v>
      </c>
      <c r="H427" s="180" t="s">
        <v>417</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29" t="s">
        <v>417</v>
      </c>
      <c r="AR427" s="5"/>
      <c r="AS427" s="5"/>
      <c r="AT427" s="5"/>
      <c r="AU427" s="5"/>
      <c r="AV427" s="5"/>
      <c r="AW427" s="5"/>
      <c r="AX427" s="284"/>
      <c r="AY427" s="5"/>
      <c r="AZ427" s="5"/>
      <c r="BA427" s="230"/>
      <c r="BB427" s="5"/>
      <c r="BC427" s="232" t="s">
        <v>3535</v>
      </c>
      <c r="BD427" s="257"/>
      <c r="BE427" s="249"/>
      <c r="BF427" s="249"/>
      <c r="BG427" s="249"/>
      <c r="BH427" s="249"/>
      <c r="BI427" s="249"/>
      <c r="BJ427" s="249"/>
      <c r="BK427" s="249"/>
      <c r="BL427" s="249"/>
      <c r="BM427" s="249"/>
      <c r="BN427" s="249"/>
      <c r="BO427" s="249"/>
      <c r="BP427" s="249"/>
      <c r="BQ427" s="249"/>
      <c r="BR427" s="249"/>
      <c r="BS427" s="249"/>
      <c r="BT427" s="249"/>
      <c r="BU427" s="249"/>
      <c r="BV427" s="249"/>
      <c r="BW427" s="249"/>
      <c r="BX427" s="249"/>
      <c r="BY427" s="249"/>
      <c r="BZ427" s="249"/>
      <c r="CA427" s="249"/>
      <c r="CB427" s="249"/>
      <c r="CC427" s="249"/>
      <c r="CD427" s="249"/>
      <c r="CE427" s="249"/>
    </row>
    <row r="428" spans="1:83" s="84" customFormat="1" ht="12.95" customHeight="1">
      <c r="A428" s="1"/>
      <c r="B428" s="1"/>
      <c r="C428" s="18" t="s">
        <v>418</v>
      </c>
      <c r="D428" s="52" t="s">
        <v>2721</v>
      </c>
      <c r="E428" s="52" t="s">
        <v>2727</v>
      </c>
      <c r="F428" s="53" t="s">
        <v>647</v>
      </c>
      <c r="G428" s="179" t="s">
        <v>1429</v>
      </c>
      <c r="H428" s="180" t="s">
        <v>418</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29" t="s">
        <v>418</v>
      </c>
      <c r="AR428" s="5"/>
      <c r="AS428" s="5"/>
      <c r="AT428" s="5"/>
      <c r="AU428" s="5"/>
      <c r="AV428" s="5"/>
      <c r="AW428" s="5"/>
      <c r="AX428" s="284"/>
      <c r="AY428" s="5"/>
      <c r="AZ428" s="5"/>
      <c r="BA428" s="230"/>
      <c r="BB428" s="5"/>
      <c r="BC428" s="232" t="s">
        <v>3535</v>
      </c>
      <c r="BD428" s="257"/>
      <c r="BE428" s="249"/>
      <c r="BF428" s="249"/>
      <c r="BG428" s="249"/>
      <c r="BH428" s="249"/>
      <c r="BI428" s="249"/>
      <c r="BJ428" s="249"/>
      <c r="BK428" s="249"/>
      <c r="BL428" s="249"/>
      <c r="BM428" s="249"/>
      <c r="BN428" s="249"/>
      <c r="BO428" s="249"/>
      <c r="BP428" s="249"/>
      <c r="BQ428" s="249"/>
      <c r="BR428" s="249"/>
      <c r="BS428" s="249"/>
      <c r="BT428" s="249"/>
      <c r="BU428" s="249"/>
      <c r="BV428" s="249"/>
      <c r="BW428" s="249"/>
      <c r="BX428" s="249"/>
      <c r="BY428" s="249"/>
      <c r="BZ428" s="249"/>
      <c r="CA428" s="249"/>
      <c r="CB428" s="249"/>
      <c r="CC428" s="249"/>
      <c r="CD428" s="249"/>
      <c r="CE428" s="249"/>
    </row>
    <row r="429" spans="1:83" s="84" customFormat="1" ht="12.95" customHeight="1">
      <c r="A429" s="1"/>
      <c r="B429" s="1"/>
      <c r="C429" s="18" t="s">
        <v>419</v>
      </c>
      <c r="D429" s="52" t="s">
        <v>2691</v>
      </c>
      <c r="E429" s="52" t="s">
        <v>2729</v>
      </c>
      <c r="F429" s="53" t="s">
        <v>648</v>
      </c>
      <c r="G429" s="179" t="s">
        <v>1429</v>
      </c>
      <c r="H429" s="180" t="s">
        <v>419</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29" t="s">
        <v>419</v>
      </c>
      <c r="AR429" s="5"/>
      <c r="AS429" s="5"/>
      <c r="AT429" s="5"/>
      <c r="AU429" s="5"/>
      <c r="AV429" s="5"/>
      <c r="AW429" s="5"/>
      <c r="AX429" s="284"/>
      <c r="AY429" s="5"/>
      <c r="AZ429" s="5"/>
      <c r="BA429" s="230"/>
      <c r="BB429" s="5"/>
      <c r="BC429" s="232" t="s">
        <v>3535</v>
      </c>
      <c r="BD429" s="257"/>
      <c r="BE429" s="249"/>
      <c r="BF429" s="249"/>
      <c r="BG429" s="249"/>
      <c r="BH429" s="249"/>
      <c r="BI429" s="249"/>
      <c r="BJ429" s="249"/>
      <c r="BK429" s="249"/>
      <c r="BL429" s="249"/>
      <c r="BM429" s="249"/>
      <c r="BN429" s="249"/>
      <c r="BO429" s="249"/>
      <c r="BP429" s="249"/>
      <c r="BQ429" s="249"/>
      <c r="BR429" s="249"/>
      <c r="BS429" s="249"/>
      <c r="BT429" s="249"/>
      <c r="BU429" s="249"/>
      <c r="BV429" s="249"/>
      <c r="BW429" s="249"/>
      <c r="BX429" s="249"/>
      <c r="BY429" s="249"/>
      <c r="BZ429" s="249"/>
      <c r="CA429" s="249"/>
      <c r="CB429" s="249"/>
      <c r="CC429" s="249"/>
      <c r="CD429" s="249"/>
      <c r="CE429" s="249"/>
    </row>
    <row r="430" spans="1:83" s="84" customFormat="1" ht="12.95" customHeight="1">
      <c r="A430" s="1"/>
      <c r="B430" s="1"/>
      <c r="C430" s="18" t="s">
        <v>420</v>
      </c>
      <c r="D430" s="52" t="s">
        <v>2731</v>
      </c>
      <c r="E430" s="52" t="s">
        <v>2732</v>
      </c>
      <c r="F430" s="53" t="s">
        <v>649</v>
      </c>
      <c r="G430" s="179" t="s">
        <v>1429</v>
      </c>
      <c r="H430" s="180" t="s">
        <v>420</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29" t="s">
        <v>420</v>
      </c>
      <c r="AR430" s="5"/>
      <c r="AS430" s="5"/>
      <c r="AT430" s="5"/>
      <c r="AU430" s="5"/>
      <c r="AV430" s="5"/>
      <c r="AW430" s="5"/>
      <c r="AX430" s="284"/>
      <c r="AY430" s="5"/>
      <c r="AZ430" s="5"/>
      <c r="BA430" s="230"/>
      <c r="BB430" s="5"/>
      <c r="BC430" s="232" t="s">
        <v>3535</v>
      </c>
      <c r="BD430" s="257"/>
      <c r="BE430" s="249"/>
      <c r="BF430" s="249"/>
      <c r="BG430" s="249"/>
      <c r="BH430" s="249"/>
      <c r="BI430" s="249"/>
      <c r="BJ430" s="249"/>
      <c r="BK430" s="249"/>
      <c r="BL430" s="249"/>
      <c r="BM430" s="249"/>
      <c r="BN430" s="249"/>
      <c r="BO430" s="249"/>
      <c r="BP430" s="249"/>
      <c r="BQ430" s="249"/>
      <c r="BR430" s="249"/>
      <c r="BS430" s="249"/>
      <c r="BT430" s="249"/>
      <c r="BU430" s="249"/>
      <c r="BV430" s="249"/>
      <c r="BW430" s="249"/>
      <c r="BX430" s="249"/>
      <c r="BY430" s="249"/>
      <c r="BZ430" s="249"/>
      <c r="CA430" s="249"/>
      <c r="CB430" s="249"/>
      <c r="CC430" s="249"/>
      <c r="CD430" s="249"/>
      <c r="CE430" s="249"/>
    </row>
    <row r="431" spans="1:83" s="84" customFormat="1" ht="12.95" customHeight="1">
      <c r="A431" s="1"/>
      <c r="B431" s="1"/>
      <c r="C431" s="18" t="s">
        <v>421</v>
      </c>
      <c r="D431" s="52" t="s">
        <v>2734</v>
      </c>
      <c r="E431" s="52" t="s">
        <v>2735</v>
      </c>
      <c r="F431" s="53" t="s">
        <v>650</v>
      </c>
      <c r="G431" s="179" t="s">
        <v>1429</v>
      </c>
      <c r="H431" s="180" t="s">
        <v>421</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29" t="s">
        <v>421</v>
      </c>
      <c r="AR431" s="5"/>
      <c r="AS431" s="5"/>
      <c r="AT431" s="5"/>
      <c r="AU431" s="5"/>
      <c r="AV431" s="5"/>
      <c r="AW431" s="5"/>
      <c r="AX431" s="284"/>
      <c r="AY431" s="5"/>
      <c r="AZ431" s="5"/>
      <c r="BA431" s="230"/>
      <c r="BB431" s="5"/>
      <c r="BC431" s="232" t="s">
        <v>3535</v>
      </c>
      <c r="BD431" s="257"/>
      <c r="BE431" s="249"/>
      <c r="BF431" s="249"/>
      <c r="BG431" s="249"/>
      <c r="BH431" s="249"/>
      <c r="BI431" s="249"/>
      <c r="BJ431" s="249"/>
      <c r="BK431" s="249"/>
      <c r="BL431" s="249"/>
      <c r="BM431" s="249"/>
      <c r="BN431" s="249"/>
      <c r="BO431" s="249"/>
      <c r="BP431" s="249"/>
      <c r="BQ431" s="249"/>
      <c r="BR431" s="249"/>
      <c r="BS431" s="249"/>
      <c r="BT431" s="249"/>
      <c r="BU431" s="249"/>
      <c r="BV431" s="249"/>
      <c r="BW431" s="249"/>
      <c r="BX431" s="249"/>
      <c r="BY431" s="249"/>
      <c r="BZ431" s="249"/>
      <c r="CA431" s="249"/>
      <c r="CB431" s="249"/>
      <c r="CC431" s="249"/>
      <c r="CD431" s="249"/>
      <c r="CE431" s="249"/>
    </row>
    <row r="432" spans="1:83" s="84" customFormat="1" ht="12.95" customHeight="1">
      <c r="A432" s="1"/>
      <c r="B432" s="1"/>
      <c r="C432" s="18" t="s">
        <v>422</v>
      </c>
      <c r="D432" s="52" t="s">
        <v>2681</v>
      </c>
      <c r="E432" s="52" t="s">
        <v>2737</v>
      </c>
      <c r="F432" s="53" t="s">
        <v>651</v>
      </c>
      <c r="G432" s="179" t="s">
        <v>1429</v>
      </c>
      <c r="H432" s="180" t="s">
        <v>422</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29" t="s">
        <v>422</v>
      </c>
      <c r="AR432" s="5"/>
      <c r="AS432" s="5"/>
      <c r="AT432" s="5"/>
      <c r="AU432" s="5"/>
      <c r="AV432" s="5"/>
      <c r="AW432" s="5"/>
      <c r="AX432" s="284"/>
      <c r="AY432" s="5"/>
      <c r="AZ432" s="5"/>
      <c r="BA432" s="230"/>
      <c r="BB432" s="5"/>
      <c r="BC432" s="232" t="s">
        <v>3535</v>
      </c>
      <c r="BD432" s="257"/>
      <c r="BE432" s="249"/>
      <c r="BF432" s="249"/>
      <c r="BG432" s="249"/>
      <c r="BH432" s="249"/>
      <c r="BI432" s="249"/>
      <c r="BJ432" s="249"/>
      <c r="BK432" s="249"/>
      <c r="BL432" s="249"/>
      <c r="BM432" s="249"/>
      <c r="BN432" s="249"/>
      <c r="BO432" s="249"/>
      <c r="BP432" s="249"/>
      <c r="BQ432" s="249"/>
      <c r="BR432" s="249"/>
      <c r="BS432" s="249"/>
      <c r="BT432" s="249"/>
      <c r="BU432" s="249"/>
      <c r="BV432" s="249"/>
      <c r="BW432" s="249"/>
      <c r="BX432" s="249"/>
      <c r="BY432" s="249"/>
      <c r="BZ432" s="249"/>
      <c r="CA432" s="249"/>
      <c r="CB432" s="249"/>
      <c r="CC432" s="249"/>
      <c r="CD432" s="249"/>
      <c r="CE432" s="249"/>
    </row>
    <row r="433" spans="1:83" s="84" customFormat="1" ht="12.95" customHeight="1">
      <c r="A433" s="1"/>
      <c r="B433" s="1"/>
      <c r="C433" s="18" t="s">
        <v>423</v>
      </c>
      <c r="D433" s="52" t="s">
        <v>2711</v>
      </c>
      <c r="E433" s="52" t="s">
        <v>2739</v>
      </c>
      <c r="F433" s="53" t="s">
        <v>652</v>
      </c>
      <c r="G433" s="179" t="s">
        <v>1429</v>
      </c>
      <c r="H433" s="180" t="s">
        <v>423</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29" t="s">
        <v>423</v>
      </c>
      <c r="AR433" s="5"/>
      <c r="AS433" s="5"/>
      <c r="AT433" s="5"/>
      <c r="AU433" s="5"/>
      <c r="AV433" s="5"/>
      <c r="AW433" s="5"/>
      <c r="AX433" s="284"/>
      <c r="AY433" s="5"/>
      <c r="AZ433" s="5"/>
      <c r="BA433" s="230"/>
      <c r="BB433" s="5"/>
      <c r="BC433" s="232" t="s">
        <v>3535</v>
      </c>
      <c r="BD433" s="257"/>
      <c r="BE433" s="249"/>
      <c r="BF433" s="249"/>
      <c r="BG433" s="249"/>
      <c r="BH433" s="249"/>
      <c r="BI433" s="249"/>
      <c r="BJ433" s="249"/>
      <c r="BK433" s="249"/>
      <c r="BL433" s="249"/>
      <c r="BM433" s="249"/>
      <c r="BN433" s="249"/>
      <c r="BO433" s="249"/>
      <c r="BP433" s="249"/>
      <c r="BQ433" s="249"/>
      <c r="BR433" s="249"/>
      <c r="BS433" s="249"/>
      <c r="BT433" s="249"/>
      <c r="BU433" s="249"/>
      <c r="BV433" s="249"/>
      <c r="BW433" s="249"/>
      <c r="BX433" s="249"/>
      <c r="BY433" s="249"/>
      <c r="BZ433" s="249"/>
      <c r="CA433" s="249"/>
      <c r="CB433" s="249"/>
      <c r="CC433" s="249"/>
      <c r="CD433" s="249"/>
      <c r="CE433" s="249"/>
    </row>
    <row r="434" spans="1:83" s="84" customFormat="1" ht="12.95" customHeight="1">
      <c r="A434" s="1"/>
      <c r="B434" s="1"/>
      <c r="C434" s="18" t="s">
        <v>424</v>
      </c>
      <c r="D434" s="52" t="s">
        <v>2713</v>
      </c>
      <c r="E434" s="52" t="s">
        <v>2741</v>
      </c>
      <c r="F434" s="53" t="s">
        <v>653</v>
      </c>
      <c r="G434" s="179" t="s">
        <v>1429</v>
      </c>
      <c r="H434" s="180" t="s">
        <v>424</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29" t="s">
        <v>424</v>
      </c>
      <c r="AR434" s="5"/>
      <c r="AS434" s="5"/>
      <c r="AT434" s="5"/>
      <c r="AU434" s="5"/>
      <c r="AV434" s="5"/>
      <c r="AW434" s="5"/>
      <c r="AX434" s="284"/>
      <c r="AY434" s="5"/>
      <c r="AZ434" s="5"/>
      <c r="BA434" s="230"/>
      <c r="BB434" s="5"/>
      <c r="BC434" s="232" t="s">
        <v>3535</v>
      </c>
      <c r="BD434" s="257"/>
      <c r="BE434" s="249"/>
      <c r="BF434" s="249"/>
      <c r="BG434" s="249"/>
      <c r="BH434" s="249"/>
      <c r="BI434" s="249"/>
      <c r="BJ434" s="249"/>
      <c r="BK434" s="249"/>
      <c r="BL434" s="249"/>
      <c r="BM434" s="249"/>
      <c r="BN434" s="249"/>
      <c r="BO434" s="249"/>
      <c r="BP434" s="249"/>
      <c r="BQ434" s="249"/>
      <c r="BR434" s="249"/>
      <c r="BS434" s="249"/>
      <c r="BT434" s="249"/>
      <c r="BU434" s="249"/>
      <c r="BV434" s="249"/>
      <c r="BW434" s="249"/>
      <c r="BX434" s="249"/>
      <c r="BY434" s="249"/>
      <c r="BZ434" s="249"/>
      <c r="CA434" s="249"/>
      <c r="CB434" s="249"/>
      <c r="CC434" s="249"/>
      <c r="CD434" s="249"/>
      <c r="CE434" s="249"/>
    </row>
    <row r="435" spans="1:83" s="84" customFormat="1" ht="12.95" customHeight="1">
      <c r="A435" s="1"/>
      <c r="B435" s="1"/>
      <c r="C435" s="21" t="s">
        <v>425</v>
      </c>
      <c r="D435" s="52" t="s">
        <v>2708</v>
      </c>
      <c r="E435" s="52" t="s">
        <v>2743</v>
      </c>
      <c r="F435" s="53" t="s">
        <v>654</v>
      </c>
      <c r="G435" s="179" t="s">
        <v>1429</v>
      </c>
      <c r="H435" s="180" t="s">
        <v>425</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29" t="s">
        <v>425</v>
      </c>
      <c r="AR435" s="5"/>
      <c r="AS435" s="5"/>
      <c r="AT435" s="5"/>
      <c r="AU435" s="5"/>
      <c r="AV435" s="5"/>
      <c r="AW435" s="5"/>
      <c r="AX435" s="284"/>
      <c r="AY435" s="5"/>
      <c r="AZ435" s="5"/>
      <c r="BA435" s="230"/>
      <c r="BB435" s="5"/>
      <c r="BC435" s="232" t="s">
        <v>3535</v>
      </c>
      <c r="BD435" s="257"/>
      <c r="BE435" s="249"/>
      <c r="BF435" s="249"/>
      <c r="BG435" s="249"/>
      <c r="BH435" s="249"/>
      <c r="BI435" s="249"/>
      <c r="BJ435" s="249"/>
      <c r="BK435" s="249"/>
      <c r="BL435" s="249"/>
      <c r="BM435" s="249"/>
      <c r="BN435" s="249"/>
      <c r="BO435" s="249"/>
      <c r="BP435" s="249"/>
      <c r="BQ435" s="249"/>
      <c r="BR435" s="249"/>
      <c r="BS435" s="249"/>
      <c r="BT435" s="249"/>
      <c r="BU435" s="249"/>
      <c r="BV435" s="249"/>
      <c r="BW435" s="249"/>
      <c r="BX435" s="249"/>
      <c r="BY435" s="249"/>
      <c r="BZ435" s="249"/>
      <c r="CA435" s="249"/>
      <c r="CB435" s="249"/>
      <c r="CC435" s="249"/>
      <c r="CD435" s="249"/>
      <c r="CE435" s="249"/>
    </row>
    <row r="436" spans="1:83" s="84" customFormat="1" ht="12.95" customHeight="1">
      <c r="A436" s="1"/>
      <c r="B436" s="1"/>
      <c r="C436" s="21" t="s">
        <v>426</v>
      </c>
      <c r="D436" s="52" t="s">
        <v>2700</v>
      </c>
      <c r="E436" s="52" t="s">
        <v>2745</v>
      </c>
      <c r="F436" s="53" t="s">
        <v>655</v>
      </c>
      <c r="G436" s="179" t="s">
        <v>1429</v>
      </c>
      <c r="H436" s="180" t="s">
        <v>426</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29" t="s">
        <v>426</v>
      </c>
      <c r="AR436" s="5"/>
      <c r="AS436" s="5"/>
      <c r="AT436" s="5"/>
      <c r="AU436" s="5"/>
      <c r="AV436" s="5"/>
      <c r="AW436" s="5"/>
      <c r="AX436" s="284"/>
      <c r="AY436" s="5"/>
      <c r="AZ436" s="5"/>
      <c r="BA436" s="230"/>
      <c r="BB436" s="5"/>
      <c r="BC436" s="232" t="s">
        <v>3535</v>
      </c>
      <c r="BD436" s="257"/>
      <c r="BE436" s="249"/>
      <c r="BF436" s="249"/>
      <c r="BG436" s="249"/>
      <c r="BH436" s="249"/>
      <c r="BI436" s="249"/>
      <c r="BJ436" s="249"/>
      <c r="BK436" s="249"/>
      <c r="BL436" s="249"/>
      <c r="BM436" s="249"/>
      <c r="BN436" s="249"/>
      <c r="BO436" s="249"/>
      <c r="BP436" s="249"/>
      <c r="BQ436" s="249"/>
      <c r="BR436" s="249"/>
      <c r="BS436" s="249"/>
      <c r="BT436" s="249"/>
      <c r="BU436" s="249"/>
      <c r="BV436" s="249"/>
      <c r="BW436" s="249"/>
      <c r="BX436" s="249"/>
      <c r="BY436" s="249"/>
      <c r="BZ436" s="249"/>
      <c r="CA436" s="249"/>
      <c r="CB436" s="249"/>
      <c r="CC436" s="249"/>
      <c r="CD436" s="249"/>
      <c r="CE436" s="249"/>
    </row>
    <row r="437" spans="1:83" s="84" customFormat="1" ht="12.95" customHeight="1">
      <c r="A437" s="1"/>
      <c r="B437" s="1"/>
      <c r="C437" s="18" t="s">
        <v>427</v>
      </c>
      <c r="D437" s="52" t="s">
        <v>2679</v>
      </c>
      <c r="E437" s="52" t="s">
        <v>2747</v>
      </c>
      <c r="F437" s="53" t="s">
        <v>656</v>
      </c>
      <c r="G437" s="179" t="s">
        <v>1429</v>
      </c>
      <c r="H437" s="180" t="s">
        <v>427</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29" t="s">
        <v>427</v>
      </c>
      <c r="AR437" s="5"/>
      <c r="AS437" s="5"/>
      <c r="AT437" s="5"/>
      <c r="AU437" s="5"/>
      <c r="AV437" s="5"/>
      <c r="AW437" s="5"/>
      <c r="AX437" s="284"/>
      <c r="AY437" s="5"/>
      <c r="AZ437" s="5"/>
      <c r="BA437" s="230"/>
      <c r="BB437" s="5"/>
      <c r="BC437" s="232" t="s">
        <v>3535</v>
      </c>
      <c r="BD437" s="257"/>
      <c r="BE437" s="249"/>
      <c r="BF437" s="249"/>
      <c r="BG437" s="249"/>
      <c r="BH437" s="249"/>
      <c r="BI437" s="249"/>
      <c r="BJ437" s="249"/>
      <c r="BK437" s="249"/>
      <c r="BL437" s="249"/>
      <c r="BM437" s="249"/>
      <c r="BN437" s="249"/>
      <c r="BO437" s="249"/>
      <c r="BP437" s="249"/>
      <c r="BQ437" s="249"/>
      <c r="BR437" s="249"/>
      <c r="BS437" s="249"/>
      <c r="BT437" s="249"/>
      <c r="BU437" s="249"/>
      <c r="BV437" s="249"/>
      <c r="BW437" s="249"/>
      <c r="BX437" s="249"/>
      <c r="BY437" s="249"/>
      <c r="BZ437" s="249"/>
      <c r="CA437" s="249"/>
      <c r="CB437" s="249"/>
      <c r="CC437" s="249"/>
      <c r="CD437" s="249"/>
      <c r="CE437" s="249"/>
    </row>
    <row r="438" spans="1:83" s="84" customFormat="1" ht="12.95" customHeight="1">
      <c r="A438" s="1"/>
      <c r="B438" s="1"/>
      <c r="C438" s="18" t="s">
        <v>428</v>
      </c>
      <c r="D438" s="52" t="s">
        <v>2725</v>
      </c>
      <c r="E438" s="52" t="s">
        <v>2749</v>
      </c>
      <c r="F438" s="53" t="s">
        <v>657</v>
      </c>
      <c r="G438" s="179" t="s">
        <v>1429</v>
      </c>
      <c r="H438" s="180" t="s">
        <v>428</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29" t="s">
        <v>428</v>
      </c>
      <c r="AR438" s="5"/>
      <c r="AS438" s="5"/>
      <c r="AT438" s="5"/>
      <c r="AU438" s="5"/>
      <c r="AV438" s="5"/>
      <c r="AW438" s="5"/>
      <c r="AX438" s="284"/>
      <c r="AY438" s="5"/>
      <c r="AZ438" s="5"/>
      <c r="BA438" s="230"/>
      <c r="BB438" s="5"/>
      <c r="BC438" s="232" t="s">
        <v>3535</v>
      </c>
      <c r="BD438" s="257"/>
      <c r="BE438" s="249"/>
      <c r="BF438" s="249"/>
      <c r="BG438" s="249"/>
      <c r="BH438" s="249"/>
      <c r="BI438" s="249"/>
      <c r="BJ438" s="249"/>
      <c r="BK438" s="249"/>
      <c r="BL438" s="249"/>
      <c r="BM438" s="249"/>
      <c r="BN438" s="249"/>
      <c r="BO438" s="249"/>
      <c r="BP438" s="249"/>
      <c r="BQ438" s="249"/>
      <c r="BR438" s="249"/>
      <c r="BS438" s="249"/>
      <c r="BT438" s="249"/>
      <c r="BU438" s="249"/>
      <c r="BV438" s="249"/>
      <c r="BW438" s="249"/>
      <c r="BX438" s="249"/>
      <c r="BY438" s="249"/>
      <c r="BZ438" s="249"/>
      <c r="CA438" s="249"/>
      <c r="CB438" s="249"/>
      <c r="CC438" s="249"/>
      <c r="CD438" s="249"/>
      <c r="CE438" s="249"/>
    </row>
    <row r="439" spans="1:83" s="84" customFormat="1" ht="12.95" customHeight="1">
      <c r="A439" s="1"/>
      <c r="B439" s="1"/>
      <c r="C439" s="18" t="s">
        <v>429</v>
      </c>
      <c r="D439" s="52" t="s">
        <v>2737</v>
      </c>
      <c r="E439" s="52" t="s">
        <v>2751</v>
      </c>
      <c r="F439" s="53" t="s">
        <v>658</v>
      </c>
      <c r="G439" s="179" t="s">
        <v>1429</v>
      </c>
      <c r="H439" s="180" t="s">
        <v>429</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29" t="s">
        <v>429</v>
      </c>
      <c r="AR439" s="5"/>
      <c r="AS439" s="5"/>
      <c r="AT439" s="5"/>
      <c r="AU439" s="5"/>
      <c r="AV439" s="5"/>
      <c r="AW439" s="5"/>
      <c r="AX439" s="284"/>
      <c r="AY439" s="5"/>
      <c r="AZ439" s="5"/>
      <c r="BA439" s="230"/>
      <c r="BB439" s="5"/>
      <c r="BC439" s="232" t="s">
        <v>3535</v>
      </c>
      <c r="BD439" s="257"/>
      <c r="BE439" s="249"/>
      <c r="BF439" s="249"/>
      <c r="BG439" s="249"/>
      <c r="BH439" s="249"/>
      <c r="BI439" s="249"/>
      <c r="BJ439" s="249"/>
      <c r="BK439" s="249"/>
      <c r="BL439" s="249"/>
      <c r="BM439" s="249"/>
      <c r="BN439" s="249"/>
      <c r="BO439" s="249"/>
      <c r="BP439" s="249"/>
      <c r="BQ439" s="249"/>
      <c r="BR439" s="249"/>
      <c r="BS439" s="249"/>
      <c r="BT439" s="249"/>
      <c r="BU439" s="249"/>
      <c r="BV439" s="249"/>
      <c r="BW439" s="249"/>
      <c r="BX439" s="249"/>
      <c r="BY439" s="249"/>
      <c r="BZ439" s="249"/>
      <c r="CA439" s="249"/>
      <c r="CB439" s="249"/>
      <c r="CC439" s="249"/>
      <c r="CD439" s="249"/>
      <c r="CE439" s="249"/>
    </row>
    <row r="440" spans="1:83" s="84" customFormat="1" ht="12.95" customHeight="1">
      <c r="A440" s="1"/>
      <c r="B440" s="1"/>
      <c r="C440" s="18" t="s">
        <v>430</v>
      </c>
      <c r="D440" s="52" t="s">
        <v>2735</v>
      </c>
      <c r="E440" s="52" t="s">
        <v>2753</v>
      </c>
      <c r="F440" s="53" t="s">
        <v>659</v>
      </c>
      <c r="G440" s="179" t="s">
        <v>1429</v>
      </c>
      <c r="H440" s="180" t="s">
        <v>430</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29" t="s">
        <v>430</v>
      </c>
      <c r="AR440" s="5"/>
      <c r="AS440" s="5"/>
      <c r="AT440" s="5"/>
      <c r="AU440" s="5"/>
      <c r="AV440" s="5"/>
      <c r="AW440" s="5"/>
      <c r="AX440" s="284"/>
      <c r="AY440" s="5"/>
      <c r="AZ440" s="5"/>
      <c r="BA440" s="230"/>
      <c r="BB440" s="5"/>
      <c r="BC440" s="232" t="s">
        <v>3535</v>
      </c>
      <c r="BD440" s="257"/>
      <c r="BE440" s="249"/>
      <c r="BF440" s="249"/>
      <c r="BG440" s="249"/>
      <c r="BH440" s="249"/>
      <c r="BI440" s="249"/>
      <c r="BJ440" s="249"/>
      <c r="BK440" s="249"/>
      <c r="BL440" s="249"/>
      <c r="BM440" s="249"/>
      <c r="BN440" s="249"/>
      <c r="BO440" s="249"/>
      <c r="BP440" s="249"/>
      <c r="BQ440" s="249"/>
      <c r="BR440" s="249"/>
      <c r="BS440" s="249"/>
      <c r="BT440" s="249"/>
      <c r="BU440" s="249"/>
      <c r="BV440" s="249"/>
      <c r="BW440" s="249"/>
      <c r="BX440" s="249"/>
      <c r="BY440" s="249"/>
      <c r="BZ440" s="249"/>
      <c r="CA440" s="249"/>
      <c r="CB440" s="249"/>
      <c r="CC440" s="249"/>
      <c r="CD440" s="249"/>
      <c r="CE440" s="249"/>
    </row>
    <row r="441" spans="1:83" s="84" customFormat="1" ht="12.95" customHeight="1">
      <c r="A441" s="1"/>
      <c r="B441" s="1"/>
      <c r="C441" s="18" t="s">
        <v>431</v>
      </c>
      <c r="D441" s="52" t="s">
        <v>2729</v>
      </c>
      <c r="E441" s="52" t="s">
        <v>2755</v>
      </c>
      <c r="F441" s="53" t="s">
        <v>660</v>
      </c>
      <c r="G441" s="179" t="s">
        <v>1429</v>
      </c>
      <c r="H441" s="180" t="s">
        <v>431</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29" t="s">
        <v>431</v>
      </c>
      <c r="AR441" s="5"/>
      <c r="AS441" s="5"/>
      <c r="AT441" s="5"/>
      <c r="AU441" s="5"/>
      <c r="AV441" s="5"/>
      <c r="AW441" s="5"/>
      <c r="AX441" s="284"/>
      <c r="AY441" s="5"/>
      <c r="AZ441" s="5"/>
      <c r="BA441" s="230"/>
      <c r="BB441" s="5"/>
      <c r="BC441" s="232" t="s">
        <v>3535</v>
      </c>
      <c r="BD441" s="257"/>
      <c r="BE441" s="249"/>
      <c r="BF441" s="249"/>
      <c r="BG441" s="249"/>
      <c r="BH441" s="249"/>
      <c r="BI441" s="249"/>
      <c r="BJ441" s="249"/>
      <c r="BK441" s="249"/>
      <c r="BL441" s="249"/>
      <c r="BM441" s="249"/>
      <c r="BN441" s="249"/>
      <c r="BO441" s="249"/>
      <c r="BP441" s="249"/>
      <c r="BQ441" s="249"/>
      <c r="BR441" s="249"/>
      <c r="BS441" s="249"/>
      <c r="BT441" s="249"/>
      <c r="BU441" s="249"/>
      <c r="BV441" s="249"/>
      <c r="BW441" s="249"/>
      <c r="BX441" s="249"/>
      <c r="BY441" s="249"/>
      <c r="BZ441" s="249"/>
      <c r="CA441" s="249"/>
      <c r="CB441" s="249"/>
      <c r="CC441" s="249"/>
      <c r="CD441" s="249"/>
      <c r="CE441" s="249"/>
    </row>
    <row r="442" spans="1:83" s="84" customFormat="1" ht="12.95" customHeight="1">
      <c r="A442" s="1"/>
      <c r="B442" s="1"/>
      <c r="C442" s="18" t="s">
        <v>432</v>
      </c>
      <c r="D442" s="52" t="s">
        <v>2757</v>
      </c>
      <c r="E442" s="52" t="s">
        <v>2758</v>
      </c>
      <c r="F442" s="53" t="s">
        <v>661</v>
      </c>
      <c r="G442" s="179" t="s">
        <v>1429</v>
      </c>
      <c r="H442" s="180" t="s">
        <v>432</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29" t="s">
        <v>432</v>
      </c>
      <c r="AR442" s="5"/>
      <c r="AS442" s="5"/>
      <c r="AT442" s="5"/>
      <c r="AU442" s="5"/>
      <c r="AV442" s="5"/>
      <c r="AW442" s="5"/>
      <c r="AX442" s="284"/>
      <c r="AY442" s="5"/>
      <c r="AZ442" s="5"/>
      <c r="BA442" s="230"/>
      <c r="BB442" s="5"/>
      <c r="BC442" s="232" t="s">
        <v>3535</v>
      </c>
      <c r="BD442" s="257"/>
      <c r="BE442" s="249"/>
      <c r="BF442" s="249"/>
      <c r="BG442" s="249"/>
      <c r="BH442" s="249"/>
      <c r="BI442" s="249"/>
      <c r="BJ442" s="249"/>
      <c r="BK442" s="249"/>
      <c r="BL442" s="249"/>
      <c r="BM442" s="249"/>
      <c r="BN442" s="249"/>
      <c r="BO442" s="249"/>
      <c r="BP442" s="249"/>
      <c r="BQ442" s="249"/>
      <c r="BR442" s="249"/>
      <c r="BS442" s="249"/>
      <c r="BT442" s="249"/>
      <c r="BU442" s="249"/>
      <c r="BV442" s="249"/>
      <c r="BW442" s="249"/>
      <c r="BX442" s="249"/>
      <c r="BY442" s="249"/>
      <c r="BZ442" s="249"/>
      <c r="CA442" s="249"/>
      <c r="CB442" s="249"/>
      <c r="CC442" s="249"/>
      <c r="CD442" s="249"/>
      <c r="CE442" s="249"/>
    </row>
    <row r="443" spans="1:83" s="84" customFormat="1" ht="12.95" customHeight="1">
      <c r="A443" s="1"/>
      <c r="B443" s="1"/>
      <c r="C443" s="18" t="s">
        <v>433</v>
      </c>
      <c r="D443" s="52" t="s">
        <v>2760</v>
      </c>
      <c r="E443" s="52" t="s">
        <v>2761</v>
      </c>
      <c r="F443" s="53" t="s">
        <v>662</v>
      </c>
      <c r="G443" s="179" t="s">
        <v>1429</v>
      </c>
      <c r="H443" s="180" t="s">
        <v>433</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29" t="s">
        <v>433</v>
      </c>
      <c r="AR443" s="5"/>
      <c r="AS443" s="5"/>
      <c r="AT443" s="5"/>
      <c r="AU443" s="5"/>
      <c r="AV443" s="5"/>
      <c r="AW443" s="5"/>
      <c r="AX443" s="284"/>
      <c r="AY443" s="5"/>
      <c r="AZ443" s="5"/>
      <c r="BA443" s="230"/>
      <c r="BB443" s="5"/>
      <c r="BC443" s="232" t="s">
        <v>3535</v>
      </c>
      <c r="BD443" s="257"/>
      <c r="BE443" s="249"/>
      <c r="BF443" s="249"/>
      <c r="BG443" s="249"/>
      <c r="BH443" s="249"/>
      <c r="BI443" s="249"/>
      <c r="BJ443" s="249"/>
      <c r="BK443" s="249"/>
      <c r="BL443" s="249"/>
      <c r="BM443" s="249"/>
      <c r="BN443" s="249"/>
      <c r="BO443" s="249"/>
      <c r="BP443" s="249"/>
      <c r="BQ443" s="249"/>
      <c r="BR443" s="249"/>
      <c r="BS443" s="249"/>
      <c r="BT443" s="249"/>
      <c r="BU443" s="249"/>
      <c r="BV443" s="249"/>
      <c r="BW443" s="249"/>
      <c r="BX443" s="249"/>
      <c r="BY443" s="249"/>
      <c r="BZ443" s="249"/>
      <c r="CA443" s="249"/>
      <c r="CB443" s="249"/>
      <c r="CC443" s="249"/>
      <c r="CD443" s="249"/>
      <c r="CE443" s="249"/>
    </row>
    <row r="444" spans="1:83" s="84" customFormat="1" ht="12.95" customHeight="1">
      <c r="A444" s="1"/>
      <c r="B444" s="1"/>
      <c r="C444" s="18" t="s">
        <v>434</v>
      </c>
      <c r="D444" s="52" t="s">
        <v>2727</v>
      </c>
      <c r="E444" s="52" t="s">
        <v>2763</v>
      </c>
      <c r="F444" s="53" t="s">
        <v>663</v>
      </c>
      <c r="G444" s="179" t="s">
        <v>1429</v>
      </c>
      <c r="H444" s="180" t="s">
        <v>434</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29" t="s">
        <v>434</v>
      </c>
      <c r="AR444" s="5"/>
      <c r="AS444" s="5"/>
      <c r="AT444" s="5"/>
      <c r="AU444" s="5"/>
      <c r="AV444" s="5"/>
      <c r="AW444" s="5"/>
      <c r="AX444" s="284"/>
      <c r="AY444" s="5"/>
      <c r="AZ444" s="5"/>
      <c r="BA444" s="230"/>
      <c r="BB444" s="5"/>
      <c r="BC444" s="232" t="s">
        <v>3535</v>
      </c>
      <c r="BD444" s="257"/>
      <c r="BE444" s="249"/>
      <c r="BF444" s="249"/>
      <c r="BG444" s="249"/>
      <c r="BH444" s="249"/>
      <c r="BI444" s="249"/>
      <c r="BJ444" s="249"/>
      <c r="BK444" s="249"/>
      <c r="BL444" s="249"/>
      <c r="BM444" s="249"/>
      <c r="BN444" s="249"/>
      <c r="BO444" s="249"/>
      <c r="BP444" s="249"/>
      <c r="BQ444" s="249"/>
      <c r="BR444" s="249"/>
      <c r="BS444" s="249"/>
      <c r="BT444" s="249"/>
      <c r="BU444" s="249"/>
      <c r="BV444" s="249"/>
      <c r="BW444" s="249"/>
      <c r="BX444" s="249"/>
      <c r="BY444" s="249"/>
      <c r="BZ444" s="249"/>
      <c r="CA444" s="249"/>
      <c r="CB444" s="249"/>
      <c r="CC444" s="249"/>
      <c r="CD444" s="249"/>
      <c r="CE444" s="249"/>
    </row>
    <row r="445" spans="1:83" s="84" customFormat="1" ht="12.95" customHeight="1">
      <c r="A445" s="1"/>
      <c r="B445" s="1"/>
      <c r="C445" s="18" t="s">
        <v>435</v>
      </c>
      <c r="D445" s="52" t="s">
        <v>2739</v>
      </c>
      <c r="E445" s="52" t="s">
        <v>2765</v>
      </c>
      <c r="F445" s="53" t="s">
        <v>664</v>
      </c>
      <c r="G445" s="179" t="s">
        <v>1429</v>
      </c>
      <c r="H445" s="180" t="s">
        <v>435</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29" t="s">
        <v>435</v>
      </c>
      <c r="AR445" s="5"/>
      <c r="AS445" s="5"/>
      <c r="AT445" s="5"/>
      <c r="AU445" s="5"/>
      <c r="AV445" s="5"/>
      <c r="AW445" s="5"/>
      <c r="AX445" s="284"/>
      <c r="AY445" s="5"/>
      <c r="AZ445" s="5"/>
      <c r="BA445" s="230"/>
      <c r="BB445" s="5"/>
      <c r="BC445" s="232" t="s">
        <v>3535</v>
      </c>
      <c r="BD445" s="257"/>
      <c r="BE445" s="249"/>
      <c r="BF445" s="249"/>
      <c r="BG445" s="249"/>
      <c r="BH445" s="249"/>
      <c r="BI445" s="249"/>
      <c r="BJ445" s="249"/>
      <c r="BK445" s="249"/>
      <c r="BL445" s="249"/>
      <c r="BM445" s="249"/>
      <c r="BN445" s="249"/>
      <c r="BO445" s="249"/>
      <c r="BP445" s="249"/>
      <c r="BQ445" s="249"/>
      <c r="BR445" s="249"/>
      <c r="BS445" s="249"/>
      <c r="BT445" s="249"/>
      <c r="BU445" s="249"/>
      <c r="BV445" s="249"/>
      <c r="BW445" s="249"/>
      <c r="BX445" s="249"/>
      <c r="BY445" s="249"/>
      <c r="BZ445" s="249"/>
      <c r="CA445" s="249"/>
      <c r="CB445" s="249"/>
      <c r="CC445" s="249"/>
      <c r="CD445" s="249"/>
      <c r="CE445" s="249"/>
    </row>
    <row r="446" spans="1:83" s="84" customFormat="1" ht="12.95" customHeight="1">
      <c r="A446" s="1"/>
      <c r="B446" s="1"/>
      <c r="C446" s="18" t="s">
        <v>436</v>
      </c>
      <c r="D446" s="52" t="s">
        <v>2719</v>
      </c>
      <c r="E446" s="52" t="s">
        <v>2767</v>
      </c>
      <c r="F446" s="53" t="s">
        <v>665</v>
      </c>
      <c r="G446" s="179" t="s">
        <v>1429</v>
      </c>
      <c r="H446" s="180" t="s">
        <v>436</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29" t="s">
        <v>436</v>
      </c>
      <c r="AR446" s="5"/>
      <c r="AS446" s="5"/>
      <c r="AT446" s="5"/>
      <c r="AU446" s="5"/>
      <c r="AV446" s="5"/>
      <c r="AW446" s="5"/>
      <c r="AX446" s="284"/>
      <c r="AY446" s="5"/>
      <c r="AZ446" s="5"/>
      <c r="BA446" s="230"/>
      <c r="BB446" s="5"/>
      <c r="BC446" s="232" t="s">
        <v>3535</v>
      </c>
      <c r="BD446" s="257"/>
      <c r="BE446" s="249"/>
      <c r="BF446" s="249"/>
      <c r="BG446" s="249"/>
      <c r="BH446" s="249"/>
      <c r="BI446" s="249"/>
      <c r="BJ446" s="249"/>
      <c r="BK446" s="249"/>
      <c r="BL446" s="249"/>
      <c r="BM446" s="249"/>
      <c r="BN446" s="249"/>
      <c r="BO446" s="249"/>
      <c r="BP446" s="249"/>
      <c r="BQ446" s="249"/>
      <c r="BR446" s="249"/>
      <c r="BS446" s="249"/>
      <c r="BT446" s="249"/>
      <c r="BU446" s="249"/>
      <c r="BV446" s="249"/>
      <c r="BW446" s="249"/>
      <c r="BX446" s="249"/>
      <c r="BY446" s="249"/>
      <c r="BZ446" s="249"/>
      <c r="CA446" s="249"/>
      <c r="CB446" s="249"/>
      <c r="CC446" s="249"/>
      <c r="CD446" s="249"/>
      <c r="CE446" s="249"/>
    </row>
    <row r="447" spans="1:83" s="84" customFormat="1" ht="12.95" customHeight="1">
      <c r="A447" s="1"/>
      <c r="B447" s="1"/>
      <c r="C447" s="21" t="s">
        <v>437</v>
      </c>
      <c r="D447" s="52" t="s">
        <v>2717</v>
      </c>
      <c r="E447" s="52" t="s">
        <v>2769</v>
      </c>
      <c r="F447" s="53" t="s">
        <v>666</v>
      </c>
      <c r="G447" s="179" t="s">
        <v>1429</v>
      </c>
      <c r="H447" s="180" t="s">
        <v>437</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29" t="s">
        <v>437</v>
      </c>
      <c r="AR447" s="5"/>
      <c r="AS447" s="5"/>
      <c r="AT447" s="5"/>
      <c r="AU447" s="5"/>
      <c r="AV447" s="5"/>
      <c r="AW447" s="5"/>
      <c r="AX447" s="284"/>
      <c r="AY447" s="5"/>
      <c r="AZ447" s="5"/>
      <c r="BA447" s="230"/>
      <c r="BB447" s="5"/>
      <c r="BC447" s="232" t="s">
        <v>3535</v>
      </c>
      <c r="BD447" s="257"/>
      <c r="BE447" s="249"/>
      <c r="BF447" s="249"/>
      <c r="BG447" s="249"/>
      <c r="BH447" s="249"/>
      <c r="BI447" s="249"/>
      <c r="BJ447" s="249"/>
      <c r="BK447" s="249"/>
      <c r="BL447" s="249"/>
      <c r="BM447" s="249"/>
      <c r="BN447" s="249"/>
      <c r="BO447" s="249"/>
      <c r="BP447" s="249"/>
      <c r="BQ447" s="249"/>
      <c r="BR447" s="249"/>
      <c r="BS447" s="249"/>
      <c r="BT447" s="249"/>
      <c r="BU447" s="249"/>
      <c r="BV447" s="249"/>
      <c r="BW447" s="249"/>
      <c r="BX447" s="249"/>
      <c r="BY447" s="249"/>
      <c r="BZ447" s="249"/>
      <c r="CA447" s="249"/>
      <c r="CB447" s="249"/>
      <c r="CC447" s="249"/>
      <c r="CD447" s="249"/>
      <c r="CE447" s="249"/>
    </row>
    <row r="448" spans="1:83" s="84" customFormat="1" ht="12.95" customHeight="1">
      <c r="A448" s="1"/>
      <c r="B448" s="1"/>
      <c r="C448" s="21" t="s">
        <v>438</v>
      </c>
      <c r="D448" s="52" t="s">
        <v>2706</v>
      </c>
      <c r="E448" s="52" t="s">
        <v>2771</v>
      </c>
      <c r="F448" s="53" t="s">
        <v>667</v>
      </c>
      <c r="G448" s="179" t="s">
        <v>1429</v>
      </c>
      <c r="H448" s="180" t="s">
        <v>438</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29" t="s">
        <v>438</v>
      </c>
      <c r="AR448" s="5"/>
      <c r="AS448" s="5"/>
      <c r="AT448" s="5"/>
      <c r="AU448" s="5"/>
      <c r="AV448" s="5"/>
      <c r="AW448" s="5"/>
      <c r="AX448" s="284"/>
      <c r="AY448" s="5"/>
      <c r="AZ448" s="5"/>
      <c r="BA448" s="230"/>
      <c r="BB448" s="5"/>
      <c r="BC448" s="232" t="s">
        <v>3535</v>
      </c>
      <c r="BD448" s="257"/>
      <c r="BE448" s="249"/>
      <c r="BF448" s="249"/>
      <c r="BG448" s="249"/>
      <c r="BH448" s="249"/>
      <c r="BI448" s="249"/>
      <c r="BJ448" s="249"/>
      <c r="BK448" s="249"/>
      <c r="BL448" s="249"/>
      <c r="BM448" s="249"/>
      <c r="BN448" s="249"/>
      <c r="BO448" s="249"/>
      <c r="BP448" s="249"/>
      <c r="BQ448" s="249"/>
      <c r="BR448" s="249"/>
      <c r="BS448" s="249"/>
      <c r="BT448" s="249"/>
      <c r="BU448" s="249"/>
      <c r="BV448" s="249"/>
      <c r="BW448" s="249"/>
      <c r="BX448" s="249"/>
      <c r="BY448" s="249"/>
      <c r="BZ448" s="249"/>
      <c r="CA448" s="249"/>
      <c r="CB448" s="249"/>
      <c r="CC448" s="249"/>
      <c r="CD448" s="249"/>
      <c r="CE448" s="249"/>
    </row>
    <row r="449" spans="1:83" s="84" customFormat="1" ht="12.95" customHeight="1">
      <c r="A449" s="1"/>
      <c r="B449" s="1"/>
      <c r="C449" s="18" t="s">
        <v>439</v>
      </c>
      <c r="D449" s="52" t="s">
        <v>2723</v>
      </c>
      <c r="E449" s="52" t="s">
        <v>2773</v>
      </c>
      <c r="F449" s="53" t="s">
        <v>668</v>
      </c>
      <c r="G449" s="179" t="s">
        <v>1429</v>
      </c>
      <c r="H449" s="180" t="s">
        <v>439</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29" t="s">
        <v>439</v>
      </c>
      <c r="AR449" s="5"/>
      <c r="AS449" s="5"/>
      <c r="AT449" s="5"/>
      <c r="AU449" s="5"/>
      <c r="AV449" s="5"/>
      <c r="AW449" s="5"/>
      <c r="AX449" s="284"/>
      <c r="AY449" s="5"/>
      <c r="AZ449" s="5"/>
      <c r="BA449" s="230"/>
      <c r="BB449" s="5"/>
      <c r="BC449" s="232" t="s">
        <v>3535</v>
      </c>
      <c r="BD449" s="257"/>
      <c r="BE449" s="249"/>
      <c r="BF449" s="249"/>
      <c r="BG449" s="249"/>
      <c r="BH449" s="249"/>
      <c r="BI449" s="249"/>
      <c r="BJ449" s="249"/>
      <c r="BK449" s="249"/>
      <c r="BL449" s="249"/>
      <c r="BM449" s="249"/>
      <c r="BN449" s="249"/>
      <c r="BO449" s="249"/>
      <c r="BP449" s="249"/>
      <c r="BQ449" s="249"/>
      <c r="BR449" s="249"/>
      <c r="BS449" s="249"/>
      <c r="BT449" s="249"/>
      <c r="BU449" s="249"/>
      <c r="BV449" s="249"/>
      <c r="BW449" s="249"/>
      <c r="BX449" s="249"/>
      <c r="BY449" s="249"/>
      <c r="BZ449" s="249"/>
      <c r="CA449" s="249"/>
      <c r="CB449" s="249"/>
      <c r="CC449" s="249"/>
      <c r="CD449" s="249"/>
      <c r="CE449" s="249"/>
    </row>
    <row r="450" spans="1:83" s="84" customFormat="1" ht="12.95" customHeight="1">
      <c r="A450" s="1"/>
      <c r="B450" s="1"/>
      <c r="C450" s="18" t="s">
        <v>440</v>
      </c>
      <c r="D450" s="52" t="s">
        <v>2775</v>
      </c>
      <c r="E450" s="52" t="s">
        <v>2776</v>
      </c>
      <c r="F450" s="53" t="s">
        <v>669</v>
      </c>
      <c r="G450" s="179" t="s">
        <v>1429</v>
      </c>
      <c r="H450" s="180" t="s">
        <v>440</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29" t="s">
        <v>440</v>
      </c>
      <c r="AR450" s="5"/>
      <c r="AS450" s="5"/>
      <c r="AT450" s="5"/>
      <c r="AU450" s="5"/>
      <c r="AV450" s="5"/>
      <c r="AW450" s="5"/>
      <c r="AX450" s="284"/>
      <c r="AY450" s="5"/>
      <c r="AZ450" s="5"/>
      <c r="BA450" s="230"/>
      <c r="BB450" s="5"/>
      <c r="BC450" s="232" t="s">
        <v>3535</v>
      </c>
      <c r="BD450" s="257"/>
      <c r="BE450" s="249"/>
      <c r="BF450" s="249"/>
      <c r="BG450" s="249"/>
      <c r="BH450" s="249"/>
      <c r="BI450" s="249"/>
      <c r="BJ450" s="249"/>
      <c r="BK450" s="249"/>
      <c r="BL450" s="249"/>
      <c r="BM450" s="249"/>
      <c r="BN450" s="249"/>
      <c r="BO450" s="249"/>
      <c r="BP450" s="249"/>
      <c r="BQ450" s="249"/>
      <c r="BR450" s="249"/>
      <c r="BS450" s="249"/>
      <c r="BT450" s="249"/>
      <c r="BU450" s="249"/>
      <c r="BV450" s="249"/>
      <c r="BW450" s="249"/>
      <c r="BX450" s="249"/>
      <c r="BY450" s="249"/>
      <c r="BZ450" s="249"/>
      <c r="CA450" s="249"/>
      <c r="CB450" s="249"/>
      <c r="CC450" s="249"/>
      <c r="CD450" s="249"/>
      <c r="CE450" s="249"/>
    </row>
    <row r="451" spans="1:83" s="84" customFormat="1" ht="12.95" customHeight="1">
      <c r="A451" s="1"/>
      <c r="B451" s="1"/>
      <c r="C451" s="18" t="s">
        <v>441</v>
      </c>
      <c r="D451" s="52" t="s">
        <v>2771</v>
      </c>
      <c r="E451" s="52" t="s">
        <v>2778</v>
      </c>
      <c r="F451" s="53" t="s">
        <v>670</v>
      </c>
      <c r="G451" s="179" t="s">
        <v>1429</v>
      </c>
      <c r="H451" s="180" t="s">
        <v>441</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29" t="s">
        <v>441</v>
      </c>
      <c r="AR451" s="5"/>
      <c r="AS451" s="5"/>
      <c r="AT451" s="5"/>
      <c r="AU451" s="5"/>
      <c r="AV451" s="5"/>
      <c r="AW451" s="5"/>
      <c r="AX451" s="284"/>
      <c r="AY451" s="5"/>
      <c r="AZ451" s="5"/>
      <c r="BA451" s="230"/>
      <c r="BB451" s="5"/>
      <c r="BC451" s="232" t="s">
        <v>3535</v>
      </c>
      <c r="BD451" s="257"/>
      <c r="BE451" s="249"/>
      <c r="BF451" s="249"/>
      <c r="BG451" s="249"/>
      <c r="BH451" s="249"/>
      <c r="BI451" s="249"/>
      <c r="BJ451" s="249"/>
      <c r="BK451" s="249"/>
      <c r="BL451" s="249"/>
      <c r="BM451" s="249"/>
      <c r="BN451" s="249"/>
      <c r="BO451" s="249"/>
      <c r="BP451" s="249"/>
      <c r="BQ451" s="249"/>
      <c r="BR451" s="249"/>
      <c r="BS451" s="249"/>
      <c r="BT451" s="249"/>
      <c r="BU451" s="249"/>
      <c r="BV451" s="249"/>
      <c r="BW451" s="249"/>
      <c r="BX451" s="249"/>
      <c r="BY451" s="249"/>
      <c r="BZ451" s="249"/>
      <c r="CA451" s="249"/>
      <c r="CB451" s="249"/>
      <c r="CC451" s="249"/>
      <c r="CD451" s="249"/>
      <c r="CE451" s="249"/>
    </row>
    <row r="452" spans="1:83" s="84" customFormat="1" ht="12.95" customHeight="1">
      <c r="A452" s="1"/>
      <c r="B452" s="1"/>
      <c r="C452" s="18" t="s">
        <v>442</v>
      </c>
      <c r="D452" s="52" t="s">
        <v>2753</v>
      </c>
      <c r="E452" s="52" t="s">
        <v>2780</v>
      </c>
      <c r="F452" s="53" t="s">
        <v>671</v>
      </c>
      <c r="G452" s="179" t="s">
        <v>1429</v>
      </c>
      <c r="H452" s="180" t="s">
        <v>442</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29" t="s">
        <v>442</v>
      </c>
      <c r="AR452" s="5"/>
      <c r="AS452" s="5"/>
      <c r="AT452" s="5"/>
      <c r="AU452" s="5"/>
      <c r="AV452" s="5"/>
      <c r="AW452" s="5"/>
      <c r="AX452" s="284"/>
      <c r="AY452" s="5"/>
      <c r="AZ452" s="5"/>
      <c r="BA452" s="230"/>
      <c r="BB452" s="5"/>
      <c r="BC452" s="232" t="s">
        <v>3535</v>
      </c>
      <c r="BD452" s="257"/>
      <c r="BE452" s="249"/>
      <c r="BF452" s="249"/>
      <c r="BG452" s="249"/>
      <c r="BH452" s="249"/>
      <c r="BI452" s="249"/>
      <c r="BJ452" s="249"/>
      <c r="BK452" s="249"/>
      <c r="BL452" s="249"/>
      <c r="BM452" s="249"/>
      <c r="BN452" s="249"/>
      <c r="BO452" s="249"/>
      <c r="BP452" s="249"/>
      <c r="BQ452" s="249"/>
      <c r="BR452" s="249"/>
      <c r="BS452" s="249"/>
      <c r="BT452" s="249"/>
      <c r="BU452" s="249"/>
      <c r="BV452" s="249"/>
      <c r="BW452" s="249"/>
      <c r="BX452" s="249"/>
      <c r="BY452" s="249"/>
      <c r="BZ452" s="249"/>
      <c r="CA452" s="249"/>
      <c r="CB452" s="249"/>
      <c r="CC452" s="249"/>
      <c r="CD452" s="249"/>
      <c r="CE452" s="249"/>
    </row>
    <row r="453" spans="1:83" s="84" customFormat="1" ht="12.95" customHeight="1">
      <c r="A453" s="1"/>
      <c r="B453" s="1"/>
      <c r="C453" s="18" t="s">
        <v>443</v>
      </c>
      <c r="D453" s="52" t="s">
        <v>2765</v>
      </c>
      <c r="E453" s="52" t="s">
        <v>2782</v>
      </c>
      <c r="F453" s="53" t="s">
        <v>672</v>
      </c>
      <c r="G453" s="179" t="s">
        <v>1429</v>
      </c>
      <c r="H453" s="180" t="s">
        <v>443</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29" t="s">
        <v>443</v>
      </c>
      <c r="AR453" s="5"/>
      <c r="AS453" s="5"/>
      <c r="AT453" s="5"/>
      <c r="AU453" s="5"/>
      <c r="AV453" s="5"/>
      <c r="AW453" s="5"/>
      <c r="AX453" s="284"/>
      <c r="AY453" s="5"/>
      <c r="AZ453" s="5"/>
      <c r="BA453" s="230"/>
      <c r="BB453" s="5"/>
      <c r="BC453" s="232" t="s">
        <v>3535</v>
      </c>
      <c r="BD453" s="257"/>
      <c r="BE453" s="249"/>
      <c r="BF453" s="249"/>
      <c r="BG453" s="249"/>
      <c r="BH453" s="249"/>
      <c r="BI453" s="249"/>
      <c r="BJ453" s="249"/>
      <c r="BK453" s="249"/>
      <c r="BL453" s="249"/>
      <c r="BM453" s="249"/>
      <c r="BN453" s="249"/>
      <c r="BO453" s="249"/>
      <c r="BP453" s="249"/>
      <c r="BQ453" s="249"/>
      <c r="BR453" s="249"/>
      <c r="BS453" s="249"/>
      <c r="BT453" s="249"/>
      <c r="BU453" s="249"/>
      <c r="BV453" s="249"/>
      <c r="BW453" s="249"/>
      <c r="BX453" s="249"/>
      <c r="BY453" s="249"/>
      <c r="BZ453" s="249"/>
      <c r="CA453" s="249"/>
      <c r="CB453" s="249"/>
      <c r="CC453" s="249"/>
      <c r="CD453" s="249"/>
      <c r="CE453" s="249"/>
    </row>
    <row r="454" spans="1:83" s="84" customFormat="1" ht="12.95" customHeight="1">
      <c r="A454" s="1"/>
      <c r="B454" s="1"/>
      <c r="C454" s="18" t="s">
        <v>444</v>
      </c>
      <c r="D454" s="52" t="s">
        <v>2769</v>
      </c>
      <c r="E454" s="52" t="s">
        <v>2784</v>
      </c>
      <c r="F454" s="53" t="s">
        <v>673</v>
      </c>
      <c r="G454" s="179" t="s">
        <v>1429</v>
      </c>
      <c r="H454" s="180" t="s">
        <v>444</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29" t="s">
        <v>444</v>
      </c>
      <c r="AR454" s="5"/>
      <c r="AS454" s="5"/>
      <c r="AT454" s="5"/>
      <c r="AU454" s="5"/>
      <c r="AV454" s="5"/>
      <c r="AW454" s="5"/>
      <c r="AX454" s="284"/>
      <c r="AY454" s="5"/>
      <c r="AZ454" s="5"/>
      <c r="BA454" s="230"/>
      <c r="BB454" s="5"/>
      <c r="BC454" s="232" t="s">
        <v>3535</v>
      </c>
      <c r="BD454" s="257"/>
      <c r="BE454" s="249"/>
      <c r="BF454" s="249"/>
      <c r="BG454" s="249"/>
      <c r="BH454" s="249"/>
      <c r="BI454" s="249"/>
      <c r="BJ454" s="249"/>
      <c r="BK454" s="249"/>
      <c r="BL454" s="249"/>
      <c r="BM454" s="249"/>
      <c r="BN454" s="249"/>
      <c r="BO454" s="249"/>
      <c r="BP454" s="249"/>
      <c r="BQ454" s="249"/>
      <c r="BR454" s="249"/>
      <c r="BS454" s="249"/>
      <c r="BT454" s="249"/>
      <c r="BU454" s="249"/>
      <c r="BV454" s="249"/>
      <c r="BW454" s="249"/>
      <c r="BX454" s="249"/>
      <c r="BY454" s="249"/>
      <c r="BZ454" s="249"/>
      <c r="CA454" s="249"/>
      <c r="CB454" s="249"/>
      <c r="CC454" s="249"/>
      <c r="CD454" s="249"/>
      <c r="CE454" s="249"/>
    </row>
    <row r="455" spans="1:83" s="84" customFormat="1" ht="12.95" customHeight="1">
      <c r="A455" s="1"/>
      <c r="B455" s="1"/>
      <c r="C455" s="18" t="s">
        <v>445</v>
      </c>
      <c r="D455" s="52" t="s">
        <v>2755</v>
      </c>
      <c r="E455" s="52" t="s">
        <v>2786</v>
      </c>
      <c r="F455" s="53" t="s">
        <v>674</v>
      </c>
      <c r="G455" s="179" t="s">
        <v>1429</v>
      </c>
      <c r="H455" s="180" t="s">
        <v>445</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29" t="s">
        <v>445</v>
      </c>
      <c r="AR455" s="5"/>
      <c r="AS455" s="5"/>
      <c r="AT455" s="5"/>
      <c r="AU455" s="5"/>
      <c r="AV455" s="5"/>
      <c r="AW455" s="5"/>
      <c r="AX455" s="284"/>
      <c r="AY455" s="5"/>
      <c r="AZ455" s="5"/>
      <c r="BA455" s="230"/>
      <c r="BB455" s="5"/>
      <c r="BC455" s="232" t="s">
        <v>3535</v>
      </c>
      <c r="BD455" s="257"/>
      <c r="BE455" s="249"/>
      <c r="BF455" s="249"/>
      <c r="BG455" s="249"/>
      <c r="BH455" s="249"/>
      <c r="BI455" s="249"/>
      <c r="BJ455" s="249"/>
      <c r="BK455" s="249"/>
      <c r="BL455" s="249"/>
      <c r="BM455" s="249"/>
      <c r="BN455" s="249"/>
      <c r="BO455" s="249"/>
      <c r="BP455" s="249"/>
      <c r="BQ455" s="249"/>
      <c r="BR455" s="249"/>
      <c r="BS455" s="249"/>
      <c r="BT455" s="249"/>
      <c r="BU455" s="249"/>
      <c r="BV455" s="249"/>
      <c r="BW455" s="249"/>
      <c r="BX455" s="249"/>
      <c r="BY455" s="249"/>
      <c r="BZ455" s="249"/>
      <c r="CA455" s="249"/>
      <c r="CB455" s="249"/>
      <c r="CC455" s="249"/>
      <c r="CD455" s="249"/>
      <c r="CE455" s="249"/>
    </row>
    <row r="456" spans="1:83" s="84" customFormat="1" ht="12.95" customHeight="1">
      <c r="A456" s="1"/>
      <c r="B456" s="1"/>
      <c r="C456" s="18" t="s">
        <v>446</v>
      </c>
      <c r="D456" s="52" t="s">
        <v>2776</v>
      </c>
      <c r="E456" s="52" t="s">
        <v>2788</v>
      </c>
      <c r="F456" s="53" t="s">
        <v>675</v>
      </c>
      <c r="G456" s="179" t="s">
        <v>1429</v>
      </c>
      <c r="H456" s="180" t="s">
        <v>446</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29" t="s">
        <v>446</v>
      </c>
      <c r="AR456" s="5"/>
      <c r="AS456" s="5"/>
      <c r="AT456" s="5"/>
      <c r="AU456" s="5"/>
      <c r="AV456" s="5"/>
      <c r="AW456" s="5"/>
      <c r="AX456" s="284"/>
      <c r="AY456" s="5"/>
      <c r="AZ456" s="5"/>
      <c r="BA456" s="230"/>
      <c r="BB456" s="5"/>
      <c r="BC456" s="232" t="s">
        <v>3535</v>
      </c>
      <c r="BD456" s="257"/>
      <c r="BE456" s="249"/>
      <c r="BF456" s="249"/>
      <c r="BG456" s="249"/>
      <c r="BH456" s="249"/>
      <c r="BI456" s="249"/>
      <c r="BJ456" s="249"/>
      <c r="BK456" s="249"/>
      <c r="BL456" s="249"/>
      <c r="BM456" s="249"/>
      <c r="BN456" s="249"/>
      <c r="BO456" s="249"/>
      <c r="BP456" s="249"/>
      <c r="BQ456" s="249"/>
      <c r="BR456" s="249"/>
      <c r="BS456" s="249"/>
      <c r="BT456" s="249"/>
      <c r="BU456" s="249"/>
      <c r="BV456" s="249"/>
      <c r="BW456" s="249"/>
      <c r="BX456" s="249"/>
      <c r="BY456" s="249"/>
      <c r="BZ456" s="249"/>
      <c r="CA456" s="249"/>
      <c r="CB456" s="249"/>
      <c r="CC456" s="249"/>
      <c r="CD456" s="249"/>
      <c r="CE456" s="249"/>
    </row>
    <row r="457" spans="1:83" s="84" customFormat="1" ht="12.95" customHeight="1">
      <c r="A457" s="1"/>
      <c r="B457" s="1"/>
      <c r="C457" s="18" t="s">
        <v>447</v>
      </c>
      <c r="D457" s="52" t="s">
        <v>2782</v>
      </c>
      <c r="E457" s="52" t="s">
        <v>2790</v>
      </c>
      <c r="F457" s="53" t="s">
        <v>676</v>
      </c>
      <c r="G457" s="179" t="s">
        <v>1429</v>
      </c>
      <c r="H457" s="180" t="s">
        <v>447</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29" t="s">
        <v>447</v>
      </c>
      <c r="AR457" s="5"/>
      <c r="AS457" s="5"/>
      <c r="AT457" s="5"/>
      <c r="AU457" s="5"/>
      <c r="AV457" s="5"/>
      <c r="AW457" s="5"/>
      <c r="AX457" s="284"/>
      <c r="AY457" s="5"/>
      <c r="AZ457" s="5"/>
      <c r="BA457" s="230"/>
      <c r="BB457" s="5"/>
      <c r="BC457" s="232" t="s">
        <v>3535</v>
      </c>
      <c r="BD457" s="257"/>
      <c r="BE457" s="249"/>
      <c r="BF457" s="249"/>
      <c r="BG457" s="249"/>
      <c r="BH457" s="249"/>
      <c r="BI457" s="249"/>
      <c r="BJ457" s="249"/>
      <c r="BK457" s="249"/>
      <c r="BL457" s="249"/>
      <c r="BM457" s="249"/>
      <c r="BN457" s="249"/>
      <c r="BO457" s="249"/>
      <c r="BP457" s="249"/>
      <c r="BQ457" s="249"/>
      <c r="BR457" s="249"/>
      <c r="BS457" s="249"/>
      <c r="BT457" s="249"/>
      <c r="BU457" s="249"/>
      <c r="BV457" s="249"/>
      <c r="BW457" s="249"/>
      <c r="BX457" s="249"/>
      <c r="BY457" s="249"/>
      <c r="BZ457" s="249"/>
      <c r="CA457" s="249"/>
      <c r="CB457" s="249"/>
      <c r="CC457" s="249"/>
      <c r="CD457" s="249"/>
      <c r="CE457" s="249"/>
    </row>
    <row r="458" spans="1:83" s="84" customFormat="1" ht="12.95" customHeight="1">
      <c r="A458" s="1"/>
      <c r="B458" s="1"/>
      <c r="C458" s="18" t="s">
        <v>448</v>
      </c>
      <c r="D458" s="52" t="s">
        <v>2758</v>
      </c>
      <c r="E458" s="52" t="s">
        <v>2792</v>
      </c>
      <c r="F458" s="53" t="s">
        <v>677</v>
      </c>
      <c r="G458" s="179" t="s">
        <v>1429</v>
      </c>
      <c r="H458" s="180" t="s">
        <v>448</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29" t="s">
        <v>448</v>
      </c>
      <c r="AR458" s="5"/>
      <c r="AS458" s="5"/>
      <c r="AT458" s="5"/>
      <c r="AU458" s="5"/>
      <c r="AV458" s="5"/>
      <c r="AW458" s="5"/>
      <c r="AX458" s="284"/>
      <c r="AY458" s="5"/>
      <c r="AZ458" s="5"/>
      <c r="BA458" s="230"/>
      <c r="BB458" s="5"/>
      <c r="BC458" s="232" t="s">
        <v>3535</v>
      </c>
      <c r="BD458" s="257"/>
      <c r="BE458" s="249"/>
      <c r="BF458" s="249"/>
      <c r="BG458" s="249"/>
      <c r="BH458" s="249"/>
      <c r="BI458" s="249"/>
      <c r="BJ458" s="249"/>
      <c r="BK458" s="249"/>
      <c r="BL458" s="249"/>
      <c r="BM458" s="249"/>
      <c r="BN458" s="249"/>
      <c r="BO458" s="249"/>
      <c r="BP458" s="249"/>
      <c r="BQ458" s="249"/>
      <c r="BR458" s="249"/>
      <c r="BS458" s="249"/>
      <c r="BT458" s="249"/>
      <c r="BU458" s="249"/>
      <c r="BV458" s="249"/>
      <c r="BW458" s="249"/>
      <c r="BX458" s="249"/>
      <c r="BY458" s="249"/>
      <c r="BZ458" s="249"/>
      <c r="CA458" s="249"/>
      <c r="CB458" s="249"/>
      <c r="CC458" s="249"/>
      <c r="CD458" s="249"/>
      <c r="CE458" s="249"/>
    </row>
    <row r="459" spans="1:83" s="84" customFormat="1" ht="12.95" customHeight="1">
      <c r="A459" s="1"/>
      <c r="B459" s="1"/>
      <c r="C459" s="21" t="s">
        <v>449</v>
      </c>
      <c r="D459" s="52" t="s">
        <v>2794</v>
      </c>
      <c r="E459" s="52" t="s">
        <v>2795</v>
      </c>
      <c r="F459" s="53" t="s">
        <v>678</v>
      </c>
      <c r="G459" s="179" t="s">
        <v>1429</v>
      </c>
      <c r="H459" s="180" t="s">
        <v>449</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29" t="s">
        <v>449</v>
      </c>
      <c r="AR459" s="5"/>
      <c r="AS459" s="5"/>
      <c r="AT459" s="5"/>
      <c r="AU459" s="5"/>
      <c r="AV459" s="5"/>
      <c r="AW459" s="5"/>
      <c r="AX459" s="284"/>
      <c r="AY459" s="5"/>
      <c r="AZ459" s="5"/>
      <c r="BA459" s="230"/>
      <c r="BB459" s="5"/>
      <c r="BC459" s="232" t="s">
        <v>3535</v>
      </c>
      <c r="BD459" s="257"/>
      <c r="BE459" s="249"/>
      <c r="BF459" s="249"/>
      <c r="BG459" s="249"/>
      <c r="BH459" s="249"/>
      <c r="BI459" s="249"/>
      <c r="BJ459" s="249"/>
      <c r="BK459" s="249"/>
      <c r="BL459" s="249"/>
      <c r="BM459" s="249"/>
      <c r="BN459" s="249"/>
      <c r="BO459" s="249"/>
      <c r="BP459" s="249"/>
      <c r="BQ459" s="249"/>
      <c r="BR459" s="249"/>
      <c r="BS459" s="249"/>
      <c r="BT459" s="249"/>
      <c r="BU459" s="249"/>
      <c r="BV459" s="249"/>
      <c r="BW459" s="249"/>
      <c r="BX459" s="249"/>
      <c r="BY459" s="249"/>
      <c r="BZ459" s="249"/>
      <c r="CA459" s="249"/>
      <c r="CB459" s="249"/>
      <c r="CC459" s="249"/>
      <c r="CD459" s="249"/>
      <c r="CE459" s="249"/>
    </row>
    <row r="460" spans="1:83" s="84" customFormat="1" ht="12.95" customHeight="1">
      <c r="A460" s="1"/>
      <c r="B460" s="1"/>
      <c r="C460" s="21" t="s">
        <v>450</v>
      </c>
      <c r="D460" s="52" t="s">
        <v>2767</v>
      </c>
      <c r="E460" s="52" t="s">
        <v>2797</v>
      </c>
      <c r="F460" s="53" t="s">
        <v>679</v>
      </c>
      <c r="G460" s="179" t="s">
        <v>1429</v>
      </c>
      <c r="H460" s="180" t="s">
        <v>450</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29" t="s">
        <v>450</v>
      </c>
      <c r="AR460" s="5"/>
      <c r="AS460" s="5"/>
      <c r="AT460" s="5"/>
      <c r="AU460" s="5"/>
      <c r="AV460" s="5"/>
      <c r="AW460" s="5"/>
      <c r="AX460" s="284"/>
      <c r="AY460" s="5"/>
      <c r="AZ460" s="5"/>
      <c r="BA460" s="230"/>
      <c r="BB460" s="5"/>
      <c r="BC460" s="232" t="s">
        <v>3535</v>
      </c>
      <c r="BD460" s="257"/>
      <c r="BE460" s="249"/>
      <c r="BF460" s="249"/>
      <c r="BG460" s="249"/>
      <c r="BH460" s="249"/>
      <c r="BI460" s="249"/>
      <c r="BJ460" s="249"/>
      <c r="BK460" s="249"/>
      <c r="BL460" s="249"/>
      <c r="BM460" s="249"/>
      <c r="BN460" s="249"/>
      <c r="BO460" s="249"/>
      <c r="BP460" s="249"/>
      <c r="BQ460" s="249"/>
      <c r="BR460" s="249"/>
      <c r="BS460" s="249"/>
      <c r="BT460" s="249"/>
      <c r="BU460" s="249"/>
      <c r="BV460" s="249"/>
      <c r="BW460" s="249"/>
      <c r="BX460" s="249"/>
      <c r="BY460" s="249"/>
      <c r="BZ460" s="249"/>
      <c r="CA460" s="249"/>
      <c r="CB460" s="249"/>
      <c r="CC460" s="249"/>
      <c r="CD460" s="249"/>
      <c r="CE460" s="249"/>
    </row>
    <row r="461" spans="1:83" s="84" customFormat="1" ht="12.75" customHeight="1">
      <c r="A461" s="1"/>
      <c r="B461" s="1"/>
      <c r="C461" s="18" t="s">
        <v>451</v>
      </c>
      <c r="D461" s="52" t="s">
        <v>2799</v>
      </c>
      <c r="E461" s="52" t="s">
        <v>2799</v>
      </c>
      <c r="F461" s="53" t="s">
        <v>680</v>
      </c>
      <c r="G461" s="179" t="s">
        <v>1429</v>
      </c>
      <c r="H461" s="180" t="s">
        <v>451</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29" t="s">
        <v>451</v>
      </c>
      <c r="AR461" s="5"/>
      <c r="AS461" s="5"/>
      <c r="AT461" s="5"/>
      <c r="AU461" s="5"/>
      <c r="AV461" s="5"/>
      <c r="AW461" s="5"/>
      <c r="AX461" s="284"/>
      <c r="AY461" s="5"/>
      <c r="AZ461" s="5"/>
      <c r="BA461" s="230"/>
      <c r="BB461" s="5"/>
      <c r="BC461" s="232" t="s">
        <v>3535</v>
      </c>
      <c r="BD461" s="257"/>
      <c r="BE461" s="249"/>
      <c r="BF461" s="249"/>
      <c r="BG461" s="249"/>
      <c r="BH461" s="249"/>
      <c r="BI461" s="249"/>
      <c r="BJ461" s="249"/>
      <c r="BK461" s="249"/>
      <c r="BL461" s="249"/>
      <c r="BM461" s="249"/>
      <c r="BN461" s="249"/>
      <c r="BO461" s="249"/>
      <c r="BP461" s="249"/>
      <c r="BQ461" s="249"/>
      <c r="BR461" s="249"/>
      <c r="BS461" s="249"/>
      <c r="BT461" s="249"/>
      <c r="BU461" s="249"/>
      <c r="BV461" s="249"/>
      <c r="BW461" s="249"/>
      <c r="BX461" s="249"/>
      <c r="BY461" s="249"/>
      <c r="BZ461" s="249"/>
      <c r="CA461" s="249"/>
      <c r="CB461" s="249"/>
      <c r="CC461" s="249"/>
      <c r="CD461" s="249"/>
      <c r="CE461" s="249"/>
    </row>
    <row r="462" spans="1:83" s="84" customFormat="1" ht="12.95" customHeight="1">
      <c r="A462" s="1"/>
      <c r="B462" s="1"/>
      <c r="C462" s="18" t="s">
        <v>452</v>
      </c>
      <c r="D462" s="52" t="s">
        <v>2797</v>
      </c>
      <c r="E462" s="52" t="s">
        <v>2801</v>
      </c>
      <c r="F462" s="53" t="s">
        <v>681</v>
      </c>
      <c r="G462" s="179" t="s">
        <v>1429</v>
      </c>
      <c r="H462" s="180" t="s">
        <v>452</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29" t="s">
        <v>452</v>
      </c>
      <c r="AR462" s="5"/>
      <c r="AS462" s="5"/>
      <c r="AT462" s="5"/>
      <c r="AU462" s="5"/>
      <c r="AV462" s="5"/>
      <c r="AW462" s="5"/>
      <c r="AX462" s="284"/>
      <c r="AY462" s="5"/>
      <c r="AZ462" s="5"/>
      <c r="BA462" s="230"/>
      <c r="BB462" s="5"/>
      <c r="BC462" s="232" t="s">
        <v>3535</v>
      </c>
      <c r="BD462" s="257"/>
      <c r="BE462" s="249"/>
      <c r="BF462" s="249"/>
      <c r="BG462" s="249"/>
      <c r="BH462" s="249"/>
      <c r="BI462" s="249"/>
      <c r="BJ462" s="249"/>
      <c r="BK462" s="249"/>
      <c r="BL462" s="249"/>
      <c r="BM462" s="249"/>
      <c r="BN462" s="249"/>
      <c r="BO462" s="249"/>
      <c r="BP462" s="249"/>
      <c r="BQ462" s="249"/>
      <c r="BR462" s="249"/>
      <c r="BS462" s="249"/>
      <c r="BT462" s="249"/>
      <c r="BU462" s="249"/>
      <c r="BV462" s="249"/>
      <c r="BW462" s="249"/>
      <c r="BX462" s="249"/>
      <c r="BY462" s="249"/>
      <c r="BZ462" s="249"/>
      <c r="CA462" s="249"/>
      <c r="CB462" s="249"/>
      <c r="CC462" s="249"/>
      <c r="CD462" s="249"/>
      <c r="CE462" s="249"/>
    </row>
    <row r="463" spans="1:83" s="84" customFormat="1" ht="12.95" customHeight="1">
      <c r="A463" s="1"/>
      <c r="B463" s="1"/>
      <c r="C463" s="18" t="s">
        <v>453</v>
      </c>
      <c r="D463" s="52" t="s">
        <v>2778</v>
      </c>
      <c r="E463" s="52" t="s">
        <v>2803</v>
      </c>
      <c r="F463" s="53" t="s">
        <v>682</v>
      </c>
      <c r="G463" s="179" t="s">
        <v>1429</v>
      </c>
      <c r="H463" s="180" t="s">
        <v>453</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29" t="s">
        <v>453</v>
      </c>
      <c r="AR463" s="5"/>
      <c r="AS463" s="5"/>
      <c r="AT463" s="5"/>
      <c r="AU463" s="5"/>
      <c r="AV463" s="5"/>
      <c r="AW463" s="5"/>
      <c r="AX463" s="284"/>
      <c r="AY463" s="5"/>
      <c r="AZ463" s="5"/>
      <c r="BA463" s="230"/>
      <c r="BB463" s="5"/>
      <c r="BC463" s="232" t="s">
        <v>3535</v>
      </c>
      <c r="BD463" s="257"/>
      <c r="BE463" s="249"/>
      <c r="BF463" s="249"/>
      <c r="BG463" s="249"/>
      <c r="BH463" s="249"/>
      <c r="BI463" s="249"/>
      <c r="BJ463" s="249"/>
      <c r="BK463" s="249"/>
      <c r="BL463" s="249"/>
      <c r="BM463" s="249"/>
      <c r="BN463" s="249"/>
      <c r="BO463" s="249"/>
      <c r="BP463" s="249"/>
      <c r="BQ463" s="249"/>
      <c r="BR463" s="249"/>
      <c r="BS463" s="249"/>
      <c r="BT463" s="249"/>
      <c r="BU463" s="249"/>
      <c r="BV463" s="249"/>
      <c r="BW463" s="249"/>
      <c r="BX463" s="249"/>
      <c r="BY463" s="249"/>
      <c r="BZ463" s="249"/>
      <c r="CA463" s="249"/>
      <c r="CB463" s="249"/>
      <c r="CC463" s="249"/>
      <c r="CD463" s="249"/>
      <c r="CE463" s="249"/>
    </row>
    <row r="464" spans="1:83" s="84" customFormat="1" ht="12.95" customHeight="1">
      <c r="A464" s="1"/>
      <c r="B464" s="1"/>
      <c r="C464" s="18" t="s">
        <v>454</v>
      </c>
      <c r="D464" s="52" t="s">
        <v>2780</v>
      </c>
      <c r="E464" s="52" t="s">
        <v>2805</v>
      </c>
      <c r="F464" s="53" t="s">
        <v>683</v>
      </c>
      <c r="G464" s="179" t="s">
        <v>1429</v>
      </c>
      <c r="H464" s="180" t="s">
        <v>454</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29" t="s">
        <v>454</v>
      </c>
      <c r="AR464" s="5"/>
      <c r="AS464" s="5"/>
      <c r="AT464" s="5"/>
      <c r="AU464" s="5"/>
      <c r="AV464" s="5"/>
      <c r="AW464" s="5"/>
      <c r="AX464" s="284"/>
      <c r="AY464" s="5"/>
      <c r="AZ464" s="5"/>
      <c r="BA464" s="230"/>
      <c r="BB464" s="5"/>
      <c r="BC464" s="232" t="s">
        <v>3535</v>
      </c>
      <c r="BD464" s="257"/>
      <c r="BE464" s="249"/>
      <c r="BF464" s="249"/>
      <c r="BG464" s="249"/>
      <c r="BH464" s="249"/>
      <c r="BI464" s="249"/>
      <c r="BJ464" s="249"/>
      <c r="BK464" s="249"/>
      <c r="BL464" s="249"/>
      <c r="BM464" s="249"/>
      <c r="BN464" s="249"/>
      <c r="BO464" s="249"/>
      <c r="BP464" s="249"/>
      <c r="BQ464" s="249"/>
      <c r="BR464" s="249"/>
      <c r="BS464" s="249"/>
      <c r="BT464" s="249"/>
      <c r="BU464" s="249"/>
      <c r="BV464" s="249"/>
      <c r="BW464" s="249"/>
      <c r="BX464" s="249"/>
      <c r="BY464" s="249"/>
      <c r="BZ464" s="249"/>
      <c r="CA464" s="249"/>
      <c r="CB464" s="249"/>
      <c r="CC464" s="249"/>
      <c r="CD464" s="249"/>
      <c r="CE464" s="249"/>
    </row>
    <row r="465" spans="1:83" s="84" customFormat="1" ht="12.95" customHeight="1">
      <c r="A465" s="1"/>
      <c r="B465" s="1"/>
      <c r="C465" s="18" t="s">
        <v>455</v>
      </c>
      <c r="D465" s="52" t="s">
        <v>2786</v>
      </c>
      <c r="E465" s="52" t="s">
        <v>2807</v>
      </c>
      <c r="F465" s="53" t="s">
        <v>684</v>
      </c>
      <c r="G465" s="179" t="s">
        <v>1429</v>
      </c>
      <c r="H465" s="180" t="s">
        <v>455</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29" t="s">
        <v>455</v>
      </c>
      <c r="AR465" s="5"/>
      <c r="AS465" s="5"/>
      <c r="AT465" s="5"/>
      <c r="AU465" s="5"/>
      <c r="AV465" s="5"/>
      <c r="AW465" s="5"/>
      <c r="AX465" s="284"/>
      <c r="AY465" s="5"/>
      <c r="AZ465" s="5"/>
      <c r="BA465" s="230"/>
      <c r="BB465" s="5"/>
      <c r="BC465" s="232" t="s">
        <v>3535</v>
      </c>
      <c r="BD465" s="257"/>
      <c r="BE465" s="249"/>
      <c r="BF465" s="249"/>
      <c r="BG465" s="249"/>
      <c r="BH465" s="249"/>
      <c r="BI465" s="249"/>
      <c r="BJ465" s="249"/>
      <c r="BK465" s="249"/>
      <c r="BL465" s="249"/>
      <c r="BM465" s="249"/>
      <c r="BN465" s="249"/>
      <c r="BO465" s="249"/>
      <c r="BP465" s="249"/>
      <c r="BQ465" s="249"/>
      <c r="BR465" s="249"/>
      <c r="BS465" s="249"/>
      <c r="BT465" s="249"/>
      <c r="BU465" s="249"/>
      <c r="BV465" s="249"/>
      <c r="BW465" s="249"/>
      <c r="BX465" s="249"/>
      <c r="BY465" s="249"/>
      <c r="BZ465" s="249"/>
      <c r="CA465" s="249"/>
      <c r="CB465" s="249"/>
      <c r="CC465" s="249"/>
      <c r="CD465" s="249"/>
      <c r="CE465" s="249"/>
    </row>
    <row r="466" spans="1:83" s="84" customFormat="1" ht="12.95" customHeight="1">
      <c r="A466" s="1"/>
      <c r="B466" s="1"/>
      <c r="C466" s="18" t="s">
        <v>456</v>
      </c>
      <c r="D466" s="52" t="s">
        <v>2788</v>
      </c>
      <c r="E466" s="52" t="s">
        <v>2809</v>
      </c>
      <c r="F466" s="53" t="s">
        <v>685</v>
      </c>
      <c r="G466" s="179" t="s">
        <v>1429</v>
      </c>
      <c r="H466" s="180" t="s">
        <v>456</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29" t="s">
        <v>456</v>
      </c>
      <c r="AR466" s="5"/>
      <c r="AS466" s="5"/>
      <c r="AT466" s="5"/>
      <c r="AU466" s="5"/>
      <c r="AV466" s="5"/>
      <c r="AW466" s="5"/>
      <c r="AX466" s="284"/>
      <c r="AY466" s="5"/>
      <c r="AZ466" s="5"/>
      <c r="BA466" s="230"/>
      <c r="BB466" s="5"/>
      <c r="BC466" s="232" t="s">
        <v>3535</v>
      </c>
      <c r="BD466" s="257"/>
      <c r="BE466" s="249"/>
      <c r="BF466" s="249"/>
      <c r="BG466" s="249"/>
      <c r="BH466" s="249"/>
      <c r="BI466" s="249"/>
      <c r="BJ466" s="249"/>
      <c r="BK466" s="249"/>
      <c r="BL466" s="249"/>
      <c r="BM466" s="249"/>
      <c r="BN466" s="249"/>
      <c r="BO466" s="249"/>
      <c r="BP466" s="249"/>
      <c r="BQ466" s="249"/>
      <c r="BR466" s="249"/>
      <c r="BS466" s="249"/>
      <c r="BT466" s="249"/>
      <c r="BU466" s="249"/>
      <c r="BV466" s="249"/>
      <c r="BW466" s="249"/>
      <c r="BX466" s="249"/>
      <c r="BY466" s="249"/>
      <c r="BZ466" s="249"/>
      <c r="CA466" s="249"/>
      <c r="CB466" s="249"/>
      <c r="CC466" s="249"/>
      <c r="CD466" s="249"/>
      <c r="CE466" s="249"/>
    </row>
    <row r="467" spans="1:83" s="84" customFormat="1" ht="12.95" customHeight="1">
      <c r="A467" s="1"/>
      <c r="B467" s="1"/>
      <c r="C467" s="18" t="s">
        <v>457</v>
      </c>
      <c r="D467" s="52" t="s">
        <v>2790</v>
      </c>
      <c r="E467" s="52" t="s">
        <v>2811</v>
      </c>
      <c r="F467" s="53" t="s">
        <v>686</v>
      </c>
      <c r="G467" s="179" t="s">
        <v>1429</v>
      </c>
      <c r="H467" s="180" t="s">
        <v>457</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29" t="s">
        <v>457</v>
      </c>
      <c r="AR467" s="5"/>
      <c r="AS467" s="5"/>
      <c r="AT467" s="5"/>
      <c r="AU467" s="5"/>
      <c r="AV467" s="5"/>
      <c r="AW467" s="5"/>
      <c r="AX467" s="284"/>
      <c r="AY467" s="5"/>
      <c r="AZ467" s="5"/>
      <c r="BA467" s="230"/>
      <c r="BB467" s="5"/>
      <c r="BC467" s="232" t="s">
        <v>3535</v>
      </c>
      <c r="BD467" s="257"/>
      <c r="BE467" s="249"/>
      <c r="BF467" s="249"/>
      <c r="BG467" s="249"/>
      <c r="BH467" s="249"/>
      <c r="BI467" s="249"/>
      <c r="BJ467" s="249"/>
      <c r="BK467" s="249"/>
      <c r="BL467" s="249"/>
      <c r="BM467" s="249"/>
      <c r="BN467" s="249"/>
      <c r="BO467" s="249"/>
      <c r="BP467" s="249"/>
      <c r="BQ467" s="249"/>
      <c r="BR467" s="249"/>
      <c r="BS467" s="249"/>
      <c r="BT467" s="249"/>
      <c r="BU467" s="249"/>
      <c r="BV467" s="249"/>
      <c r="BW467" s="249"/>
      <c r="BX467" s="249"/>
      <c r="BY467" s="249"/>
      <c r="BZ467" s="249"/>
      <c r="CA467" s="249"/>
      <c r="CB467" s="249"/>
      <c r="CC467" s="249"/>
      <c r="CD467" s="249"/>
      <c r="CE467" s="249"/>
    </row>
    <row r="468" spans="1:83" s="84" customFormat="1" ht="12.95" customHeight="1">
      <c r="A468" s="1"/>
      <c r="B468" s="1"/>
      <c r="C468" s="18" t="s">
        <v>458</v>
      </c>
      <c r="D468" s="52" t="s">
        <v>2813</v>
      </c>
      <c r="E468" s="52" t="s">
        <v>2814</v>
      </c>
      <c r="F468" s="53" t="s">
        <v>687</v>
      </c>
      <c r="G468" s="179" t="s">
        <v>1429</v>
      </c>
      <c r="H468" s="180" t="s">
        <v>458</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29" t="s">
        <v>458</v>
      </c>
      <c r="AR468" s="5"/>
      <c r="AS468" s="5"/>
      <c r="AT468" s="5"/>
      <c r="AU468" s="5"/>
      <c r="AV468" s="5"/>
      <c r="AW468" s="5"/>
      <c r="AX468" s="284"/>
      <c r="AY468" s="5"/>
      <c r="AZ468" s="5"/>
      <c r="BA468" s="230"/>
      <c r="BB468" s="5"/>
      <c r="BC468" s="232" t="s">
        <v>3535</v>
      </c>
      <c r="BD468" s="257"/>
      <c r="BE468" s="249"/>
      <c r="BF468" s="249"/>
      <c r="BG468" s="249"/>
      <c r="BH468" s="249"/>
      <c r="BI468" s="249"/>
      <c r="BJ468" s="249"/>
      <c r="BK468" s="249"/>
      <c r="BL468" s="249"/>
      <c r="BM468" s="249"/>
      <c r="BN468" s="249"/>
      <c r="BO468" s="249"/>
      <c r="BP468" s="249"/>
      <c r="BQ468" s="249"/>
      <c r="BR468" s="249"/>
      <c r="BS468" s="249"/>
      <c r="BT468" s="249"/>
      <c r="BU468" s="249"/>
      <c r="BV468" s="249"/>
      <c r="BW468" s="249"/>
      <c r="BX468" s="249"/>
      <c r="BY468" s="249"/>
      <c r="BZ468" s="249"/>
      <c r="CA468" s="249"/>
      <c r="CB468" s="249"/>
      <c r="CC468" s="249"/>
      <c r="CD468" s="249"/>
      <c r="CE468" s="249"/>
    </row>
    <row r="469" spans="1:83" s="84" customFormat="1" ht="12.95" customHeight="1">
      <c r="A469" s="1"/>
      <c r="B469" s="1"/>
      <c r="C469" s="18" t="s">
        <v>459</v>
      </c>
      <c r="D469" s="52" t="s">
        <v>2816</v>
      </c>
      <c r="E469" s="52" t="s">
        <v>2817</v>
      </c>
      <c r="F469" s="53" t="s">
        <v>688</v>
      </c>
      <c r="G469" s="179" t="s">
        <v>1429</v>
      </c>
      <c r="H469" s="180" t="s">
        <v>459</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29" t="s">
        <v>459</v>
      </c>
      <c r="AR469" s="5"/>
      <c r="AS469" s="5"/>
      <c r="AT469" s="5"/>
      <c r="AU469" s="5"/>
      <c r="AV469" s="5"/>
      <c r="AW469" s="5"/>
      <c r="AX469" s="284"/>
      <c r="AY469" s="5"/>
      <c r="AZ469" s="5"/>
      <c r="BA469" s="230"/>
      <c r="BB469" s="5"/>
      <c r="BC469" s="232" t="s">
        <v>3535</v>
      </c>
      <c r="BD469" s="257"/>
      <c r="BE469" s="249"/>
      <c r="BF469" s="249"/>
      <c r="BG469" s="249"/>
      <c r="BH469" s="249"/>
      <c r="BI469" s="249"/>
      <c r="BJ469" s="249"/>
      <c r="BK469" s="249"/>
      <c r="BL469" s="249"/>
      <c r="BM469" s="249"/>
      <c r="BN469" s="249"/>
      <c r="BO469" s="249"/>
      <c r="BP469" s="249"/>
      <c r="BQ469" s="249"/>
      <c r="BR469" s="249"/>
      <c r="BS469" s="249"/>
      <c r="BT469" s="249"/>
      <c r="BU469" s="249"/>
      <c r="BV469" s="249"/>
      <c r="BW469" s="249"/>
      <c r="BX469" s="249"/>
      <c r="BY469" s="249"/>
      <c r="BZ469" s="249"/>
      <c r="CA469" s="249"/>
      <c r="CB469" s="249"/>
      <c r="CC469" s="249"/>
      <c r="CD469" s="249"/>
      <c r="CE469" s="249"/>
    </row>
    <row r="470" spans="1:83" s="84" customFormat="1" ht="12.95" customHeight="1">
      <c r="A470" s="1"/>
      <c r="B470" s="1"/>
      <c r="C470" s="18" t="s">
        <v>460</v>
      </c>
      <c r="D470" s="52" t="s">
        <v>2819</v>
      </c>
      <c r="E470" s="52" t="s">
        <v>2820</v>
      </c>
      <c r="F470" s="53" t="s">
        <v>689</v>
      </c>
      <c r="G470" s="179" t="s">
        <v>1429</v>
      </c>
      <c r="H470" s="180" t="s">
        <v>460</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29" t="s">
        <v>460</v>
      </c>
      <c r="AR470" s="5"/>
      <c r="AS470" s="5"/>
      <c r="AT470" s="5"/>
      <c r="AU470" s="5"/>
      <c r="AV470" s="5"/>
      <c r="AW470" s="5"/>
      <c r="AX470" s="284"/>
      <c r="AY470" s="5"/>
      <c r="AZ470" s="5"/>
      <c r="BA470" s="230"/>
      <c r="BB470" s="5"/>
      <c r="BC470" s="232" t="s">
        <v>3535</v>
      </c>
      <c r="BD470" s="257"/>
      <c r="BE470" s="249"/>
      <c r="BF470" s="249"/>
      <c r="BG470" s="249"/>
      <c r="BH470" s="249"/>
      <c r="BI470" s="249"/>
      <c r="BJ470" s="249"/>
      <c r="BK470" s="249"/>
      <c r="BL470" s="249"/>
      <c r="BM470" s="249"/>
      <c r="BN470" s="249"/>
      <c r="BO470" s="249"/>
      <c r="BP470" s="249"/>
      <c r="BQ470" s="249"/>
      <c r="BR470" s="249"/>
      <c r="BS470" s="249"/>
      <c r="BT470" s="249"/>
      <c r="BU470" s="249"/>
      <c r="BV470" s="249"/>
      <c r="BW470" s="249"/>
      <c r="BX470" s="249"/>
      <c r="BY470" s="249"/>
      <c r="BZ470" s="249"/>
      <c r="CA470" s="249"/>
      <c r="CB470" s="249"/>
      <c r="CC470" s="249"/>
      <c r="CD470" s="249"/>
      <c r="CE470" s="249"/>
    </row>
    <row r="471" spans="1:83" s="84" customFormat="1" ht="12.95" customHeight="1">
      <c r="A471" s="1"/>
      <c r="B471" s="1"/>
      <c r="C471" s="21" t="s">
        <v>461</v>
      </c>
      <c r="D471" s="52" t="s">
        <v>2784</v>
      </c>
      <c r="E471" s="52" t="s">
        <v>2822</v>
      </c>
      <c r="F471" s="53" t="s">
        <v>690</v>
      </c>
      <c r="G471" s="179" t="s">
        <v>1429</v>
      </c>
      <c r="H471" s="180" t="s">
        <v>461</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29" t="s">
        <v>461</v>
      </c>
      <c r="AR471" s="5"/>
      <c r="AS471" s="5"/>
      <c r="AT471" s="5"/>
      <c r="AU471" s="5"/>
      <c r="AV471" s="5"/>
      <c r="AW471" s="5"/>
      <c r="AX471" s="284"/>
      <c r="AY471" s="5"/>
      <c r="AZ471" s="5"/>
      <c r="BA471" s="230"/>
      <c r="BB471" s="5"/>
      <c r="BC471" s="232" t="s">
        <v>3535</v>
      </c>
      <c r="BD471" s="257"/>
      <c r="BE471" s="249"/>
      <c r="BF471" s="249"/>
      <c r="BG471" s="249"/>
      <c r="BH471" s="249"/>
      <c r="BI471" s="249"/>
      <c r="BJ471" s="249"/>
      <c r="BK471" s="249"/>
      <c r="BL471" s="249"/>
      <c r="BM471" s="249"/>
      <c r="BN471" s="249"/>
      <c r="BO471" s="249"/>
      <c r="BP471" s="249"/>
      <c r="BQ471" s="249"/>
      <c r="BR471" s="249"/>
      <c r="BS471" s="249"/>
      <c r="BT471" s="249"/>
      <c r="BU471" s="249"/>
      <c r="BV471" s="249"/>
      <c r="BW471" s="249"/>
      <c r="BX471" s="249"/>
      <c r="BY471" s="249"/>
      <c r="BZ471" s="249"/>
      <c r="CA471" s="249"/>
      <c r="CB471" s="249"/>
      <c r="CC471" s="249"/>
      <c r="CD471" s="249"/>
      <c r="CE471" s="249"/>
    </row>
    <row r="472" spans="1:83" s="84" customFormat="1" ht="12.95" customHeight="1">
      <c r="A472" s="1"/>
      <c r="B472" s="1"/>
      <c r="C472" s="21" t="s">
        <v>462</v>
      </c>
      <c r="D472" s="52" t="s">
        <v>2795</v>
      </c>
      <c r="E472" s="52" t="s">
        <v>2819</v>
      </c>
      <c r="F472" s="53" t="s">
        <v>691</v>
      </c>
      <c r="G472" s="179" t="s">
        <v>1429</v>
      </c>
      <c r="H472" s="180" t="s">
        <v>462</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29" t="s">
        <v>462</v>
      </c>
      <c r="AR472" s="5"/>
      <c r="AS472" s="5"/>
      <c r="AT472" s="5"/>
      <c r="AU472" s="5"/>
      <c r="AV472" s="5"/>
      <c r="AW472" s="5"/>
      <c r="AX472" s="284"/>
      <c r="AY472" s="5"/>
      <c r="AZ472" s="5"/>
      <c r="BA472" s="230"/>
      <c r="BB472" s="5"/>
      <c r="BC472" s="232" t="s">
        <v>3535</v>
      </c>
      <c r="BD472" s="257"/>
      <c r="BE472" s="249"/>
      <c r="BF472" s="249"/>
      <c r="BG472" s="249"/>
      <c r="BH472" s="249"/>
      <c r="BI472" s="249"/>
      <c r="BJ472" s="249"/>
      <c r="BK472" s="249"/>
      <c r="BL472" s="249"/>
      <c r="BM472" s="249"/>
      <c r="BN472" s="249"/>
      <c r="BO472" s="249"/>
      <c r="BP472" s="249"/>
      <c r="BQ472" s="249"/>
      <c r="BR472" s="249"/>
      <c r="BS472" s="249"/>
      <c r="BT472" s="249"/>
      <c r="BU472" s="249"/>
      <c r="BV472" s="249"/>
      <c r="BW472" s="249"/>
      <c r="BX472" s="249"/>
      <c r="BY472" s="249"/>
      <c r="BZ472" s="249"/>
      <c r="CA472" s="249"/>
      <c r="CB472" s="249"/>
      <c r="CC472" s="249"/>
      <c r="CD472" s="249"/>
      <c r="CE472" s="249"/>
    </row>
    <row r="473" spans="1:83" s="84" customFormat="1" ht="12.95" customHeight="1">
      <c r="A473" s="1"/>
      <c r="B473" s="1"/>
      <c r="C473" s="18" t="s">
        <v>463</v>
      </c>
      <c r="D473" s="52" t="s">
        <v>2809</v>
      </c>
      <c r="E473" s="52" t="s">
        <v>2825</v>
      </c>
      <c r="F473" s="53" t="s">
        <v>692</v>
      </c>
      <c r="G473" s="179" t="s">
        <v>1429</v>
      </c>
      <c r="H473" s="180" t="s">
        <v>463</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29" t="s">
        <v>463</v>
      </c>
      <c r="AR473" s="5"/>
      <c r="AS473" s="5"/>
      <c r="AT473" s="5"/>
      <c r="AU473" s="5"/>
      <c r="AV473" s="5"/>
      <c r="AW473" s="5"/>
      <c r="AX473" s="284"/>
      <c r="AY473" s="5"/>
      <c r="AZ473" s="5"/>
      <c r="BA473" s="230"/>
      <c r="BB473" s="5"/>
      <c r="BC473" s="232" t="s">
        <v>3535</v>
      </c>
      <c r="BD473" s="257"/>
      <c r="BE473" s="249"/>
      <c r="BF473" s="249"/>
      <c r="BG473" s="249"/>
      <c r="BH473" s="249"/>
      <c r="BI473" s="249"/>
      <c r="BJ473" s="249"/>
      <c r="BK473" s="249"/>
      <c r="BL473" s="249"/>
      <c r="BM473" s="249"/>
      <c r="BN473" s="249"/>
      <c r="BO473" s="249"/>
      <c r="BP473" s="249"/>
      <c r="BQ473" s="249"/>
      <c r="BR473" s="249"/>
      <c r="BS473" s="249"/>
      <c r="BT473" s="249"/>
      <c r="BU473" s="249"/>
      <c r="BV473" s="249"/>
      <c r="BW473" s="249"/>
      <c r="BX473" s="249"/>
      <c r="BY473" s="249"/>
      <c r="BZ473" s="249"/>
      <c r="CA473" s="249"/>
      <c r="CB473" s="249"/>
      <c r="CC473" s="249"/>
      <c r="CD473" s="249"/>
      <c r="CE473" s="249"/>
    </row>
    <row r="474" spans="1:83" s="84" customFormat="1" ht="12.95" customHeight="1">
      <c r="A474" s="1"/>
      <c r="B474" s="1"/>
      <c r="C474" s="18" t="s">
        <v>464</v>
      </c>
      <c r="D474" s="52" t="s">
        <v>2811</v>
      </c>
      <c r="E474" s="52" t="s">
        <v>2827</v>
      </c>
      <c r="F474" s="53" t="s">
        <v>693</v>
      </c>
      <c r="G474" s="179" t="s">
        <v>1429</v>
      </c>
      <c r="H474" s="180" t="s">
        <v>464</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29" t="s">
        <v>464</v>
      </c>
      <c r="AR474" s="5"/>
      <c r="AS474" s="5"/>
      <c r="AT474" s="5"/>
      <c r="AU474" s="5"/>
      <c r="AV474" s="5"/>
      <c r="AW474" s="5"/>
      <c r="AX474" s="284"/>
      <c r="AY474" s="5"/>
      <c r="AZ474" s="5"/>
      <c r="BA474" s="230"/>
      <c r="BB474" s="5"/>
      <c r="BC474" s="232" t="s">
        <v>3535</v>
      </c>
      <c r="BD474" s="257"/>
      <c r="BE474" s="249"/>
      <c r="BF474" s="249"/>
      <c r="BG474" s="249"/>
      <c r="BH474" s="249"/>
      <c r="BI474" s="249"/>
      <c r="BJ474" s="249"/>
      <c r="BK474" s="249"/>
      <c r="BL474" s="249"/>
      <c r="BM474" s="249"/>
      <c r="BN474" s="249"/>
      <c r="BO474" s="249"/>
      <c r="BP474" s="249"/>
      <c r="BQ474" s="249"/>
      <c r="BR474" s="249"/>
      <c r="BS474" s="249"/>
      <c r="BT474" s="249"/>
      <c r="BU474" s="249"/>
      <c r="BV474" s="249"/>
      <c r="BW474" s="249"/>
      <c r="BX474" s="249"/>
      <c r="BY474" s="249"/>
      <c r="BZ474" s="249"/>
      <c r="CA474" s="249"/>
      <c r="CB474" s="249"/>
      <c r="CC474" s="249"/>
      <c r="CD474" s="249"/>
      <c r="CE474" s="249"/>
    </row>
    <row r="475" spans="1:83" s="84" customFormat="1" ht="12.95" customHeight="1">
      <c r="A475" s="1"/>
      <c r="B475" s="1"/>
      <c r="C475" s="18" t="s">
        <v>465</v>
      </c>
      <c r="D475" s="52" t="s">
        <v>2801</v>
      </c>
      <c r="E475" s="52" t="s">
        <v>2829</v>
      </c>
      <c r="F475" s="53" t="s">
        <v>694</v>
      </c>
      <c r="G475" s="179" t="s">
        <v>1429</v>
      </c>
      <c r="H475" s="180" t="s">
        <v>465</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29" t="s">
        <v>465</v>
      </c>
      <c r="AR475" s="5"/>
      <c r="AS475" s="5"/>
      <c r="AT475" s="5"/>
      <c r="AU475" s="5"/>
      <c r="AV475" s="5"/>
      <c r="AW475" s="5"/>
      <c r="AX475" s="284"/>
      <c r="AY475" s="5"/>
      <c r="AZ475" s="5"/>
      <c r="BA475" s="230"/>
      <c r="BB475" s="5"/>
      <c r="BC475" s="232" t="s">
        <v>3535</v>
      </c>
      <c r="BD475" s="257"/>
      <c r="BE475" s="249"/>
      <c r="BF475" s="249"/>
      <c r="BG475" s="249"/>
      <c r="BH475" s="249"/>
      <c r="BI475" s="249"/>
      <c r="BJ475" s="249"/>
      <c r="BK475" s="249"/>
      <c r="BL475" s="249"/>
      <c r="BM475" s="249"/>
      <c r="BN475" s="249"/>
      <c r="BO475" s="249"/>
      <c r="BP475" s="249"/>
      <c r="BQ475" s="249"/>
      <c r="BR475" s="249"/>
      <c r="BS475" s="249"/>
      <c r="BT475" s="249"/>
      <c r="BU475" s="249"/>
      <c r="BV475" s="249"/>
      <c r="BW475" s="249"/>
      <c r="BX475" s="249"/>
      <c r="BY475" s="249"/>
      <c r="BZ475" s="249"/>
      <c r="CA475" s="249"/>
      <c r="CB475" s="249"/>
      <c r="CC475" s="249"/>
      <c r="CD475" s="249"/>
      <c r="CE475" s="249"/>
    </row>
    <row r="476" spans="1:83" s="84" customFormat="1" ht="12.95" customHeight="1">
      <c r="A476" s="1"/>
      <c r="B476" s="1"/>
      <c r="C476" s="18" t="s">
        <v>466</v>
      </c>
      <c r="D476" s="52" t="s">
        <v>2820</v>
      </c>
      <c r="E476" s="52" t="s">
        <v>2831</v>
      </c>
      <c r="F476" s="53" t="s">
        <v>695</v>
      </c>
      <c r="G476" s="179" t="s">
        <v>1429</v>
      </c>
      <c r="H476" s="180" t="s">
        <v>466</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29" t="s">
        <v>466</v>
      </c>
      <c r="AR476" s="5"/>
      <c r="AS476" s="5"/>
      <c r="AT476" s="5"/>
      <c r="AU476" s="5"/>
      <c r="AV476" s="5"/>
      <c r="AW476" s="5"/>
      <c r="AX476" s="284"/>
      <c r="AY476" s="5"/>
      <c r="AZ476" s="5"/>
      <c r="BA476" s="230"/>
      <c r="BB476" s="5"/>
      <c r="BC476" s="232" t="s">
        <v>3535</v>
      </c>
      <c r="BD476" s="257"/>
      <c r="BE476" s="249"/>
      <c r="BF476" s="249"/>
      <c r="BG476" s="249"/>
      <c r="BH476" s="249"/>
      <c r="BI476" s="249"/>
      <c r="BJ476" s="249"/>
      <c r="BK476" s="249"/>
      <c r="BL476" s="249"/>
      <c r="BM476" s="249"/>
      <c r="BN476" s="249"/>
      <c r="BO476" s="249"/>
      <c r="BP476" s="249"/>
      <c r="BQ476" s="249"/>
      <c r="BR476" s="249"/>
      <c r="BS476" s="249"/>
      <c r="BT476" s="249"/>
      <c r="BU476" s="249"/>
      <c r="BV476" s="249"/>
      <c r="BW476" s="249"/>
      <c r="BX476" s="249"/>
      <c r="BY476" s="249"/>
      <c r="BZ476" s="249"/>
      <c r="CA476" s="249"/>
      <c r="CB476" s="249"/>
      <c r="CC476" s="249"/>
      <c r="CD476" s="249"/>
      <c r="CE476" s="249"/>
    </row>
    <row r="477" spans="1:83" s="84" customFormat="1" ht="12.95" customHeight="1">
      <c r="A477" s="1"/>
      <c r="B477" s="1"/>
      <c r="C477" s="18" t="s">
        <v>467</v>
      </c>
      <c r="D477" s="52" t="s">
        <v>2833</v>
      </c>
      <c r="E477" s="52" t="s">
        <v>2834</v>
      </c>
      <c r="F477" s="53" t="s">
        <v>696</v>
      </c>
      <c r="G477" s="179" t="s">
        <v>1429</v>
      </c>
      <c r="H477" s="180" t="s">
        <v>467</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29" t="s">
        <v>467</v>
      </c>
      <c r="AR477" s="5"/>
      <c r="AS477" s="5"/>
      <c r="AT477" s="5"/>
      <c r="AU477" s="5"/>
      <c r="AV477" s="5"/>
      <c r="AW477" s="5"/>
      <c r="AX477" s="284"/>
      <c r="AY477" s="5"/>
      <c r="AZ477" s="5"/>
      <c r="BA477" s="230"/>
      <c r="BB477" s="5"/>
      <c r="BC477" s="232" t="s">
        <v>3535</v>
      </c>
      <c r="BD477" s="257"/>
      <c r="BE477" s="249"/>
      <c r="BF477" s="249"/>
      <c r="BG477" s="249"/>
      <c r="BH477" s="249"/>
      <c r="BI477" s="249"/>
      <c r="BJ477" s="249"/>
      <c r="BK477" s="249"/>
      <c r="BL477" s="249"/>
      <c r="BM477" s="249"/>
      <c r="BN477" s="249"/>
      <c r="BO477" s="249"/>
      <c r="BP477" s="249"/>
      <c r="BQ477" s="249"/>
      <c r="BR477" s="249"/>
      <c r="BS477" s="249"/>
      <c r="BT477" s="249"/>
      <c r="BU477" s="249"/>
      <c r="BV477" s="249"/>
      <c r="BW477" s="249"/>
      <c r="BX477" s="249"/>
      <c r="BY477" s="249"/>
      <c r="BZ477" s="249"/>
      <c r="CA477" s="249"/>
      <c r="CB477" s="249"/>
      <c r="CC477" s="249"/>
      <c r="CD477" s="249"/>
      <c r="CE477" s="249"/>
    </row>
    <row r="478" spans="1:83" s="84" customFormat="1" ht="12.95" customHeight="1">
      <c r="A478" s="1"/>
      <c r="B478" s="1"/>
      <c r="C478" s="18" t="s">
        <v>468</v>
      </c>
      <c r="D478" s="52" t="s">
        <v>2834</v>
      </c>
      <c r="E478" s="52" t="s">
        <v>2836</v>
      </c>
      <c r="F478" s="53" t="s">
        <v>697</v>
      </c>
      <c r="G478" s="179" t="s">
        <v>1429</v>
      </c>
      <c r="H478" s="180" t="s">
        <v>468</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29" t="s">
        <v>468</v>
      </c>
      <c r="AR478" s="5"/>
      <c r="AS478" s="5"/>
      <c r="AT478" s="5"/>
      <c r="AU478" s="5"/>
      <c r="AV478" s="5"/>
      <c r="AW478" s="5"/>
      <c r="AX478" s="284"/>
      <c r="AY478" s="5"/>
      <c r="AZ478" s="5"/>
      <c r="BA478" s="230"/>
      <c r="BB478" s="5"/>
      <c r="BC478" s="232" t="s">
        <v>3535</v>
      </c>
      <c r="BD478" s="257"/>
      <c r="BE478" s="249"/>
      <c r="BF478" s="249"/>
      <c r="BG478" s="249"/>
      <c r="BH478" s="249"/>
      <c r="BI478" s="249"/>
      <c r="BJ478" s="249"/>
      <c r="BK478" s="249"/>
      <c r="BL478" s="249"/>
      <c r="BM478" s="249"/>
      <c r="BN478" s="249"/>
      <c r="BO478" s="249"/>
      <c r="BP478" s="249"/>
      <c r="BQ478" s="249"/>
      <c r="BR478" s="249"/>
      <c r="BS478" s="249"/>
      <c r="BT478" s="249"/>
      <c r="BU478" s="249"/>
      <c r="BV478" s="249"/>
      <c r="BW478" s="249"/>
      <c r="BX478" s="249"/>
      <c r="BY478" s="249"/>
      <c r="BZ478" s="249"/>
      <c r="CA478" s="249"/>
      <c r="CB478" s="249"/>
      <c r="CC478" s="249"/>
      <c r="CD478" s="249"/>
      <c r="CE478" s="249"/>
    </row>
    <row r="479" spans="1:83" s="84" customFormat="1" ht="12.95" customHeight="1">
      <c r="A479" s="1"/>
      <c r="B479" s="1"/>
      <c r="C479" s="18" t="s">
        <v>469</v>
      </c>
      <c r="D479" s="52" t="s">
        <v>2829</v>
      </c>
      <c r="E479" s="52" t="s">
        <v>2838</v>
      </c>
      <c r="F479" s="53" t="s">
        <v>698</v>
      </c>
      <c r="G479" s="179" t="s">
        <v>1429</v>
      </c>
      <c r="H479" s="180" t="s">
        <v>469</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29" t="s">
        <v>469</v>
      </c>
      <c r="AR479" s="5"/>
      <c r="AS479" s="5"/>
      <c r="AT479" s="5"/>
      <c r="AU479" s="5"/>
      <c r="AV479" s="5"/>
      <c r="AW479" s="5"/>
      <c r="AX479" s="284"/>
      <c r="AY479" s="5"/>
      <c r="AZ479" s="5"/>
      <c r="BA479" s="230"/>
      <c r="BB479" s="5"/>
      <c r="BC479" s="232" t="s">
        <v>3535</v>
      </c>
      <c r="BD479" s="257"/>
      <c r="BE479" s="249"/>
      <c r="BF479" s="249"/>
      <c r="BG479" s="249"/>
      <c r="BH479" s="249"/>
      <c r="BI479" s="249"/>
      <c r="BJ479" s="249"/>
      <c r="BK479" s="249"/>
      <c r="BL479" s="249"/>
      <c r="BM479" s="249"/>
      <c r="BN479" s="249"/>
      <c r="BO479" s="249"/>
      <c r="BP479" s="249"/>
      <c r="BQ479" s="249"/>
      <c r="BR479" s="249"/>
      <c r="BS479" s="249"/>
      <c r="BT479" s="249"/>
      <c r="BU479" s="249"/>
      <c r="BV479" s="249"/>
      <c r="BW479" s="249"/>
      <c r="BX479" s="249"/>
      <c r="BY479" s="249"/>
      <c r="BZ479" s="249"/>
      <c r="CA479" s="249"/>
      <c r="CB479" s="249"/>
      <c r="CC479" s="249"/>
      <c r="CD479" s="249"/>
      <c r="CE479" s="249"/>
    </row>
    <row r="480" spans="1:83" s="84" customFormat="1" ht="12.95" customHeight="1">
      <c r="A480" s="1"/>
      <c r="B480" s="1"/>
      <c r="C480" s="18" t="s">
        <v>470</v>
      </c>
      <c r="D480" s="52" t="s">
        <v>2840</v>
      </c>
      <c r="E480" s="52" t="s">
        <v>2841</v>
      </c>
      <c r="F480" s="53" t="s">
        <v>699</v>
      </c>
      <c r="G480" s="179" t="s">
        <v>1429</v>
      </c>
      <c r="H480" s="180" t="s">
        <v>470</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29" t="s">
        <v>470</v>
      </c>
      <c r="AR480" s="5"/>
      <c r="AS480" s="5"/>
      <c r="AT480" s="5"/>
      <c r="AU480" s="5"/>
      <c r="AV480" s="5"/>
      <c r="AW480" s="5"/>
      <c r="AX480" s="284"/>
      <c r="AY480" s="5"/>
      <c r="AZ480" s="5"/>
      <c r="BA480" s="230"/>
      <c r="BB480" s="5"/>
      <c r="BC480" s="232" t="s">
        <v>3535</v>
      </c>
      <c r="BD480" s="257"/>
      <c r="BE480" s="249"/>
      <c r="BF480" s="249"/>
      <c r="BG480" s="249"/>
      <c r="BH480" s="249"/>
      <c r="BI480" s="249"/>
      <c r="BJ480" s="249"/>
      <c r="BK480" s="249"/>
      <c r="BL480" s="249"/>
      <c r="BM480" s="249"/>
      <c r="BN480" s="249"/>
      <c r="BO480" s="249"/>
      <c r="BP480" s="249"/>
      <c r="BQ480" s="249"/>
      <c r="BR480" s="249"/>
      <c r="BS480" s="249"/>
      <c r="BT480" s="249"/>
      <c r="BU480" s="249"/>
      <c r="BV480" s="249"/>
      <c r="BW480" s="249"/>
      <c r="BX480" s="249"/>
      <c r="BY480" s="249"/>
      <c r="BZ480" s="249"/>
      <c r="CA480" s="249"/>
      <c r="CB480" s="249"/>
      <c r="CC480" s="249"/>
      <c r="CD480" s="249"/>
      <c r="CE480" s="249"/>
    </row>
    <row r="481" spans="1:83" s="84" customFormat="1" ht="12.95" customHeight="1">
      <c r="A481" s="1"/>
      <c r="B481" s="1"/>
      <c r="C481" s="18" t="s">
        <v>471</v>
      </c>
      <c r="D481" s="52" t="s">
        <v>2827</v>
      </c>
      <c r="E481" s="52" t="s">
        <v>2843</v>
      </c>
      <c r="F481" s="53" t="s">
        <v>700</v>
      </c>
      <c r="G481" s="179" t="s">
        <v>1429</v>
      </c>
      <c r="H481" s="180" t="s">
        <v>471</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29" t="s">
        <v>471</v>
      </c>
      <c r="AR481" s="5"/>
      <c r="AS481" s="5"/>
      <c r="AT481" s="5"/>
      <c r="AU481" s="5"/>
      <c r="AV481" s="5"/>
      <c r="AW481" s="5"/>
      <c r="AX481" s="284"/>
      <c r="AY481" s="5"/>
      <c r="AZ481" s="5"/>
      <c r="BA481" s="230"/>
      <c r="BB481" s="5"/>
      <c r="BC481" s="232" t="s">
        <v>3535</v>
      </c>
      <c r="BD481" s="257"/>
      <c r="BE481" s="249"/>
      <c r="BF481" s="249"/>
      <c r="BG481" s="249"/>
      <c r="BH481" s="249"/>
      <c r="BI481" s="249"/>
      <c r="BJ481" s="249"/>
      <c r="BK481" s="249"/>
      <c r="BL481" s="249"/>
      <c r="BM481" s="249"/>
      <c r="BN481" s="249"/>
      <c r="BO481" s="249"/>
      <c r="BP481" s="249"/>
      <c r="BQ481" s="249"/>
      <c r="BR481" s="249"/>
      <c r="BS481" s="249"/>
      <c r="BT481" s="249"/>
      <c r="BU481" s="249"/>
      <c r="BV481" s="249"/>
      <c r="BW481" s="249"/>
      <c r="BX481" s="249"/>
      <c r="BY481" s="249"/>
      <c r="BZ481" s="249"/>
      <c r="CA481" s="249"/>
      <c r="CB481" s="249"/>
      <c r="CC481" s="249"/>
      <c r="CD481" s="249"/>
      <c r="CE481" s="249"/>
    </row>
    <row r="482" spans="1:83" s="84" customFormat="1" ht="12.95" customHeight="1">
      <c r="A482" s="1"/>
      <c r="B482" s="1"/>
      <c r="C482" s="18" t="s">
        <v>472</v>
      </c>
      <c r="D482" s="52" t="s">
        <v>2836</v>
      </c>
      <c r="E482" s="52" t="s">
        <v>2845</v>
      </c>
      <c r="F482" s="53" t="s">
        <v>701</v>
      </c>
      <c r="G482" s="179" t="s">
        <v>1429</v>
      </c>
      <c r="H482" s="180" t="s">
        <v>472</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29" t="s">
        <v>472</v>
      </c>
      <c r="AR482" s="5"/>
      <c r="AS482" s="5"/>
      <c r="AT482" s="5"/>
      <c r="AU482" s="5"/>
      <c r="AV482" s="5"/>
      <c r="AW482" s="5"/>
      <c r="AX482" s="284"/>
      <c r="AY482" s="5"/>
      <c r="AZ482" s="5"/>
      <c r="BA482" s="230"/>
      <c r="BB482" s="5"/>
      <c r="BC482" s="232" t="s">
        <v>3535</v>
      </c>
      <c r="BD482" s="257"/>
      <c r="BE482" s="249"/>
      <c r="BF482" s="249"/>
      <c r="BG482" s="249"/>
      <c r="BH482" s="249"/>
      <c r="BI482" s="249"/>
      <c r="BJ482" s="249"/>
      <c r="BK482" s="249"/>
      <c r="BL482" s="249"/>
      <c r="BM482" s="249"/>
      <c r="BN482" s="249"/>
      <c r="BO482" s="249"/>
      <c r="BP482" s="249"/>
      <c r="BQ482" s="249"/>
      <c r="BR482" s="249"/>
      <c r="BS482" s="249"/>
      <c r="BT482" s="249"/>
      <c r="BU482" s="249"/>
      <c r="BV482" s="249"/>
      <c r="BW482" s="249"/>
      <c r="BX482" s="249"/>
      <c r="BY482" s="249"/>
      <c r="BZ482" s="249"/>
      <c r="CA482" s="249"/>
      <c r="CB482" s="249"/>
      <c r="CC482" s="249"/>
      <c r="CD482" s="249"/>
      <c r="CE482" s="249"/>
    </row>
    <row r="483" spans="1:83" s="84" customFormat="1" ht="12.95" customHeight="1">
      <c r="A483" s="1"/>
      <c r="B483" s="1"/>
      <c r="C483" s="21" t="s">
        <v>473</v>
      </c>
      <c r="D483" s="52" t="s">
        <v>2847</v>
      </c>
      <c r="E483" s="52" t="s">
        <v>2833</v>
      </c>
      <c r="F483" s="53" t="s">
        <v>702</v>
      </c>
      <c r="G483" s="179" t="s">
        <v>1429</v>
      </c>
      <c r="H483" s="180" t="s">
        <v>473</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29" t="s">
        <v>473</v>
      </c>
      <c r="AR483" s="5"/>
      <c r="AS483" s="5"/>
      <c r="AT483" s="5"/>
      <c r="AU483" s="5"/>
      <c r="AV483" s="5"/>
      <c r="AW483" s="5"/>
      <c r="AX483" s="284"/>
      <c r="AY483" s="5"/>
      <c r="AZ483" s="5"/>
      <c r="BA483" s="230"/>
      <c r="BB483" s="5"/>
      <c r="BC483" s="232" t="s">
        <v>3535</v>
      </c>
      <c r="BD483" s="257"/>
      <c r="BE483" s="249"/>
      <c r="BF483" s="249"/>
      <c r="BG483" s="249"/>
      <c r="BH483" s="249"/>
      <c r="BI483" s="249"/>
      <c r="BJ483" s="249"/>
      <c r="BK483" s="249"/>
      <c r="BL483" s="249"/>
      <c r="BM483" s="249"/>
      <c r="BN483" s="249"/>
      <c r="BO483" s="249"/>
      <c r="BP483" s="249"/>
      <c r="BQ483" s="249"/>
      <c r="BR483" s="249"/>
      <c r="BS483" s="249"/>
      <c r="BT483" s="249"/>
      <c r="BU483" s="249"/>
      <c r="BV483" s="249"/>
      <c r="BW483" s="249"/>
      <c r="BX483" s="249"/>
      <c r="BY483" s="249"/>
      <c r="BZ483" s="249"/>
      <c r="CA483" s="249"/>
      <c r="CB483" s="249"/>
      <c r="CC483" s="249"/>
      <c r="CD483" s="249"/>
      <c r="CE483" s="249"/>
    </row>
    <row r="484" spans="1:83" s="84" customFormat="1" ht="12.95" customHeight="1">
      <c r="A484" s="1"/>
      <c r="B484" s="1"/>
      <c r="C484" s="21" t="s">
        <v>474</v>
      </c>
      <c r="D484" s="52" t="s">
        <v>2822</v>
      </c>
      <c r="E484" s="52" t="s">
        <v>2847</v>
      </c>
      <c r="F484" s="53" t="s">
        <v>703</v>
      </c>
      <c r="G484" s="179" t="s">
        <v>1429</v>
      </c>
      <c r="H484" s="180" t="s">
        <v>474</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29" t="s">
        <v>474</v>
      </c>
      <c r="AR484" s="5"/>
      <c r="AS484" s="5"/>
      <c r="AT484" s="5"/>
      <c r="AU484" s="5"/>
      <c r="AV484" s="5"/>
      <c r="AW484" s="5"/>
      <c r="AX484" s="284"/>
      <c r="AY484" s="5"/>
      <c r="AZ484" s="5"/>
      <c r="BA484" s="230"/>
      <c r="BB484" s="5"/>
      <c r="BC484" s="232" t="s">
        <v>3535</v>
      </c>
      <c r="BD484" s="257"/>
      <c r="BE484" s="249"/>
      <c r="BF484" s="249"/>
      <c r="BG484" s="249"/>
      <c r="BH484" s="249"/>
      <c r="BI484" s="249"/>
      <c r="BJ484" s="249"/>
      <c r="BK484" s="249"/>
      <c r="BL484" s="249"/>
      <c r="BM484" s="249"/>
      <c r="BN484" s="249"/>
      <c r="BO484" s="249"/>
      <c r="BP484" s="249"/>
      <c r="BQ484" s="249"/>
      <c r="BR484" s="249"/>
      <c r="BS484" s="249"/>
      <c r="BT484" s="249"/>
      <c r="BU484" s="249"/>
      <c r="BV484" s="249"/>
      <c r="BW484" s="249"/>
      <c r="BX484" s="249"/>
      <c r="BY484" s="249"/>
      <c r="BZ484" s="249"/>
      <c r="CA484" s="249"/>
      <c r="CB484" s="249"/>
      <c r="CC484" s="249"/>
      <c r="CD484" s="249"/>
      <c r="CE484" s="249"/>
    </row>
    <row r="485" spans="1:83" s="84" customFormat="1" ht="12.95" customHeight="1">
      <c r="A485" s="1"/>
      <c r="B485" s="1"/>
      <c r="C485" s="18" t="s">
        <v>475</v>
      </c>
      <c r="D485" s="52" t="s">
        <v>2850</v>
      </c>
      <c r="E485" s="52" t="s">
        <v>2851</v>
      </c>
      <c r="F485" s="53" t="s">
        <v>704</v>
      </c>
      <c r="G485" s="179" t="s">
        <v>1429</v>
      </c>
      <c r="H485" s="180" t="s">
        <v>475</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29" t="s">
        <v>475</v>
      </c>
      <c r="AR485" s="5"/>
      <c r="AS485" s="5"/>
      <c r="AT485" s="5"/>
      <c r="AU485" s="5"/>
      <c r="AV485" s="5"/>
      <c r="AW485" s="5"/>
      <c r="AX485" s="284"/>
      <c r="AY485" s="5"/>
      <c r="AZ485" s="5"/>
      <c r="BA485" s="230"/>
      <c r="BB485" s="5"/>
      <c r="BC485" s="232" t="s">
        <v>3535</v>
      </c>
      <c r="BD485" s="257"/>
      <c r="BE485" s="249"/>
      <c r="BF485" s="249"/>
      <c r="BG485" s="249"/>
      <c r="BH485" s="249"/>
      <c r="BI485" s="249"/>
      <c r="BJ485" s="249"/>
      <c r="BK485" s="249"/>
      <c r="BL485" s="249"/>
      <c r="BM485" s="249"/>
      <c r="BN485" s="249"/>
      <c r="BO485" s="249"/>
      <c r="BP485" s="249"/>
      <c r="BQ485" s="249"/>
      <c r="BR485" s="249"/>
      <c r="BS485" s="249"/>
      <c r="BT485" s="249"/>
      <c r="BU485" s="249"/>
      <c r="BV485" s="249"/>
      <c r="BW485" s="249"/>
      <c r="BX485" s="249"/>
      <c r="BY485" s="249"/>
      <c r="BZ485" s="249"/>
      <c r="CA485" s="249"/>
      <c r="CB485" s="249"/>
      <c r="CC485" s="249"/>
      <c r="CD485" s="249"/>
      <c r="CE485" s="249"/>
    </row>
    <row r="486" spans="1:83" s="84" customFormat="1" ht="12.95" customHeight="1">
      <c r="A486" s="1"/>
      <c r="B486" s="1"/>
      <c r="C486" s="18" t="s">
        <v>476</v>
      </c>
      <c r="D486" s="52" t="s">
        <v>2838</v>
      </c>
      <c r="E486" s="52" t="s">
        <v>2853</v>
      </c>
      <c r="F486" s="53" t="s">
        <v>705</v>
      </c>
      <c r="G486" s="179" t="s">
        <v>1429</v>
      </c>
      <c r="H486" s="180" t="s">
        <v>476</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29" t="s">
        <v>476</v>
      </c>
      <c r="AR486" s="5"/>
      <c r="AS486" s="5"/>
      <c r="AT486" s="5"/>
      <c r="AU486" s="5"/>
      <c r="AV486" s="5"/>
      <c r="AW486" s="5"/>
      <c r="AX486" s="284"/>
      <c r="AY486" s="5"/>
      <c r="AZ486" s="5"/>
      <c r="BA486" s="230"/>
      <c r="BB486" s="5"/>
      <c r="BC486" s="232" t="s">
        <v>3535</v>
      </c>
      <c r="BD486" s="257"/>
      <c r="BE486" s="249"/>
      <c r="BF486" s="249"/>
      <c r="BG486" s="249"/>
      <c r="BH486" s="249"/>
      <c r="BI486" s="249"/>
      <c r="BJ486" s="249"/>
      <c r="BK486" s="249"/>
      <c r="BL486" s="249"/>
      <c r="BM486" s="249"/>
      <c r="BN486" s="249"/>
      <c r="BO486" s="249"/>
      <c r="BP486" s="249"/>
      <c r="BQ486" s="249"/>
      <c r="BR486" s="249"/>
      <c r="BS486" s="249"/>
      <c r="BT486" s="249"/>
      <c r="BU486" s="249"/>
      <c r="BV486" s="249"/>
      <c r="BW486" s="249"/>
      <c r="BX486" s="249"/>
      <c r="BY486" s="249"/>
      <c r="BZ486" s="249"/>
      <c r="CA486" s="249"/>
      <c r="CB486" s="249"/>
      <c r="CC486" s="249"/>
      <c r="CD486" s="249"/>
      <c r="CE486" s="249"/>
    </row>
    <row r="487" spans="1:83" s="84" customFormat="1" ht="12.95" customHeight="1">
      <c r="A487" s="1"/>
      <c r="B487" s="1"/>
      <c r="C487" s="18" t="s">
        <v>477</v>
      </c>
      <c r="D487" s="52" t="s">
        <v>2841</v>
      </c>
      <c r="E487" s="52" t="s">
        <v>2855</v>
      </c>
      <c r="F487" s="53" t="s">
        <v>706</v>
      </c>
      <c r="G487" s="179" t="s">
        <v>1429</v>
      </c>
      <c r="H487" s="180" t="s">
        <v>477</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29" t="s">
        <v>477</v>
      </c>
      <c r="AR487" s="5"/>
      <c r="AS487" s="5"/>
      <c r="AT487" s="5"/>
      <c r="AU487" s="5"/>
      <c r="AV487" s="5"/>
      <c r="AW487" s="5"/>
      <c r="AX487" s="284"/>
      <c r="AY487" s="5"/>
      <c r="AZ487" s="5"/>
      <c r="BA487" s="230"/>
      <c r="BB487" s="5"/>
      <c r="BC487" s="232" t="s">
        <v>3535</v>
      </c>
      <c r="BD487" s="257"/>
      <c r="BE487" s="249"/>
      <c r="BF487" s="249"/>
      <c r="BG487" s="249"/>
      <c r="BH487" s="249"/>
      <c r="BI487" s="249"/>
      <c r="BJ487" s="249"/>
      <c r="BK487" s="249"/>
      <c r="BL487" s="249"/>
      <c r="BM487" s="249"/>
      <c r="BN487" s="249"/>
      <c r="BO487" s="249"/>
      <c r="BP487" s="249"/>
      <c r="BQ487" s="249"/>
      <c r="BR487" s="249"/>
      <c r="BS487" s="249"/>
      <c r="BT487" s="249"/>
      <c r="BU487" s="249"/>
      <c r="BV487" s="249"/>
      <c r="BW487" s="249"/>
      <c r="BX487" s="249"/>
      <c r="BY487" s="249"/>
      <c r="BZ487" s="249"/>
      <c r="CA487" s="249"/>
      <c r="CB487" s="249"/>
      <c r="CC487" s="249"/>
      <c r="CD487" s="249"/>
      <c r="CE487" s="249"/>
    </row>
    <row r="488" spans="1:83" s="84" customFormat="1" ht="12.95" customHeight="1">
      <c r="A488" s="1"/>
      <c r="B488" s="1"/>
      <c r="C488" s="18" t="s">
        <v>478</v>
      </c>
      <c r="D488" s="52" t="s">
        <v>2857</v>
      </c>
      <c r="E488" s="52" t="s">
        <v>2858</v>
      </c>
      <c r="F488" s="53" t="s">
        <v>707</v>
      </c>
      <c r="G488" s="179" t="s">
        <v>1429</v>
      </c>
      <c r="H488" s="180" t="s">
        <v>478</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29" t="s">
        <v>478</v>
      </c>
      <c r="AR488" s="5"/>
      <c r="AS488" s="5"/>
      <c r="AT488" s="5"/>
      <c r="AU488" s="5"/>
      <c r="AV488" s="5"/>
      <c r="AW488" s="5"/>
      <c r="AX488" s="284"/>
      <c r="AY488" s="5"/>
      <c r="AZ488" s="5"/>
      <c r="BA488" s="230"/>
      <c r="BB488" s="5"/>
      <c r="BC488" s="232" t="s">
        <v>3535</v>
      </c>
      <c r="BD488" s="257"/>
      <c r="BE488" s="249"/>
      <c r="BF488" s="249"/>
      <c r="BG488" s="249"/>
      <c r="BH488" s="249"/>
      <c r="BI488" s="249"/>
      <c r="BJ488" s="249"/>
      <c r="BK488" s="249"/>
      <c r="BL488" s="249"/>
      <c r="BM488" s="249"/>
      <c r="BN488" s="249"/>
      <c r="BO488" s="249"/>
      <c r="BP488" s="249"/>
      <c r="BQ488" s="249"/>
      <c r="BR488" s="249"/>
      <c r="BS488" s="249"/>
      <c r="BT488" s="249"/>
      <c r="BU488" s="249"/>
      <c r="BV488" s="249"/>
      <c r="BW488" s="249"/>
      <c r="BX488" s="249"/>
      <c r="BY488" s="249"/>
      <c r="BZ488" s="249"/>
      <c r="CA488" s="249"/>
      <c r="CB488" s="249"/>
      <c r="CC488" s="249"/>
      <c r="CD488" s="249"/>
      <c r="CE488" s="249"/>
    </row>
    <row r="489" spans="1:83" s="84" customFormat="1" ht="12.95" customHeight="1">
      <c r="A489" s="1"/>
      <c r="B489" s="1"/>
      <c r="C489" s="18" t="s">
        <v>479</v>
      </c>
      <c r="D489" s="52" t="s">
        <v>2843</v>
      </c>
      <c r="E489" s="52" t="s">
        <v>2860</v>
      </c>
      <c r="F489" s="53" t="s">
        <v>708</v>
      </c>
      <c r="G489" s="179" t="s">
        <v>1429</v>
      </c>
      <c r="H489" s="180" t="s">
        <v>479</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29" t="s">
        <v>479</v>
      </c>
      <c r="AR489" s="5"/>
      <c r="AS489" s="5"/>
      <c r="AT489" s="5"/>
      <c r="AU489" s="5"/>
      <c r="AV489" s="5"/>
      <c r="AW489" s="5"/>
      <c r="AX489" s="284"/>
      <c r="AY489" s="5"/>
      <c r="AZ489" s="5"/>
      <c r="BA489" s="230"/>
      <c r="BB489" s="5"/>
      <c r="BC489" s="232" t="s">
        <v>3535</v>
      </c>
      <c r="BD489" s="257"/>
      <c r="BE489" s="249"/>
      <c r="BF489" s="249"/>
      <c r="BG489" s="249"/>
      <c r="BH489" s="249"/>
      <c r="BI489" s="249"/>
      <c r="BJ489" s="249"/>
      <c r="BK489" s="249"/>
      <c r="BL489" s="249"/>
      <c r="BM489" s="249"/>
      <c r="BN489" s="249"/>
      <c r="BO489" s="249"/>
      <c r="BP489" s="249"/>
      <c r="BQ489" s="249"/>
      <c r="BR489" s="249"/>
      <c r="BS489" s="249"/>
      <c r="BT489" s="249"/>
      <c r="BU489" s="249"/>
      <c r="BV489" s="249"/>
      <c r="BW489" s="249"/>
      <c r="BX489" s="249"/>
      <c r="BY489" s="249"/>
      <c r="BZ489" s="249"/>
      <c r="CA489" s="249"/>
      <c r="CB489" s="249"/>
      <c r="CC489" s="249"/>
      <c r="CD489" s="249"/>
      <c r="CE489" s="249"/>
    </row>
    <row r="490" spans="1:83" s="84" customFormat="1" ht="12.95" customHeight="1">
      <c r="A490" s="1"/>
      <c r="B490" s="1"/>
      <c r="C490" s="18" t="s">
        <v>480</v>
      </c>
      <c r="D490" s="52" t="s">
        <v>2862</v>
      </c>
      <c r="E490" s="52" t="s">
        <v>2863</v>
      </c>
      <c r="F490" s="53" t="s">
        <v>709</v>
      </c>
      <c r="G490" s="179" t="s">
        <v>1429</v>
      </c>
      <c r="H490" s="180" t="s">
        <v>480</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29" t="s">
        <v>480</v>
      </c>
      <c r="AR490" s="5"/>
      <c r="AS490" s="5"/>
      <c r="AT490" s="5"/>
      <c r="AU490" s="5"/>
      <c r="AV490" s="5"/>
      <c r="AW490" s="5"/>
      <c r="AX490" s="284"/>
      <c r="AY490" s="5"/>
      <c r="AZ490" s="5"/>
      <c r="BA490" s="230"/>
      <c r="BB490" s="5"/>
      <c r="BC490" s="232" t="s">
        <v>3535</v>
      </c>
      <c r="BD490" s="257"/>
      <c r="BE490" s="249"/>
      <c r="BF490" s="249"/>
      <c r="BG490" s="249"/>
      <c r="BH490" s="249"/>
      <c r="BI490" s="249"/>
      <c r="BJ490" s="249"/>
      <c r="BK490" s="249"/>
      <c r="BL490" s="249"/>
      <c r="BM490" s="249"/>
      <c r="BN490" s="249"/>
      <c r="BO490" s="249"/>
      <c r="BP490" s="249"/>
      <c r="BQ490" s="249"/>
      <c r="BR490" s="249"/>
      <c r="BS490" s="249"/>
      <c r="BT490" s="249"/>
      <c r="BU490" s="249"/>
      <c r="BV490" s="249"/>
      <c r="BW490" s="249"/>
      <c r="BX490" s="249"/>
      <c r="BY490" s="249"/>
      <c r="BZ490" s="249"/>
      <c r="CA490" s="249"/>
      <c r="CB490" s="249"/>
      <c r="CC490" s="249"/>
      <c r="CD490" s="249"/>
      <c r="CE490" s="249"/>
    </row>
    <row r="491" spans="1:83" s="84" customFormat="1" ht="12.95" customHeight="1">
      <c r="A491" s="1"/>
      <c r="B491" s="1"/>
      <c r="C491" s="18" t="s">
        <v>481</v>
      </c>
      <c r="D491" s="52" t="s">
        <v>2863</v>
      </c>
      <c r="E491" s="52" t="s">
        <v>2865</v>
      </c>
      <c r="F491" s="53" t="s">
        <v>710</v>
      </c>
      <c r="G491" s="179" t="s">
        <v>1429</v>
      </c>
      <c r="H491" s="180" t="s">
        <v>481</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29" t="s">
        <v>481</v>
      </c>
      <c r="AR491" s="5"/>
      <c r="AS491" s="5"/>
      <c r="AT491" s="5"/>
      <c r="AU491" s="5"/>
      <c r="AV491" s="5"/>
      <c r="AW491" s="5"/>
      <c r="AX491" s="284"/>
      <c r="AY491" s="5"/>
      <c r="AZ491" s="5"/>
      <c r="BA491" s="230"/>
      <c r="BB491" s="5"/>
      <c r="BC491" s="232" t="s">
        <v>3535</v>
      </c>
      <c r="BD491" s="257"/>
      <c r="BE491" s="249"/>
      <c r="BF491" s="249"/>
      <c r="BG491" s="249"/>
      <c r="BH491" s="249"/>
      <c r="BI491" s="249"/>
      <c r="BJ491" s="249"/>
      <c r="BK491" s="249"/>
      <c r="BL491" s="249"/>
      <c r="BM491" s="249"/>
      <c r="BN491" s="249"/>
      <c r="BO491" s="249"/>
      <c r="BP491" s="249"/>
      <c r="BQ491" s="249"/>
      <c r="BR491" s="249"/>
      <c r="BS491" s="249"/>
      <c r="BT491" s="249"/>
      <c r="BU491" s="249"/>
      <c r="BV491" s="249"/>
      <c r="BW491" s="249"/>
      <c r="BX491" s="249"/>
      <c r="BY491" s="249"/>
      <c r="BZ491" s="249"/>
      <c r="CA491" s="249"/>
      <c r="CB491" s="249"/>
      <c r="CC491" s="249"/>
      <c r="CD491" s="249"/>
      <c r="CE491" s="249"/>
    </row>
    <row r="492" spans="1:83" s="84" customFormat="1" ht="12.95" customHeight="1">
      <c r="A492" s="1"/>
      <c r="B492" s="1"/>
      <c r="C492" s="18" t="s">
        <v>482</v>
      </c>
      <c r="D492" s="52" t="s">
        <v>2867</v>
      </c>
      <c r="E492" s="52" t="s">
        <v>2862</v>
      </c>
      <c r="F492" s="53" t="s">
        <v>711</v>
      </c>
      <c r="G492" s="179" t="s">
        <v>1429</v>
      </c>
      <c r="H492" s="180" t="s">
        <v>482</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29" t="s">
        <v>482</v>
      </c>
      <c r="AR492" s="5"/>
      <c r="AS492" s="5"/>
      <c r="AT492" s="5"/>
      <c r="AU492" s="5"/>
      <c r="AV492" s="5"/>
      <c r="AW492" s="5"/>
      <c r="AX492" s="284"/>
      <c r="AY492" s="5"/>
      <c r="AZ492" s="5"/>
      <c r="BA492" s="230"/>
      <c r="BB492" s="5"/>
      <c r="BC492" s="232" t="s">
        <v>3535</v>
      </c>
      <c r="BD492" s="257"/>
      <c r="BE492" s="249"/>
      <c r="BF492" s="249"/>
      <c r="BG492" s="249"/>
      <c r="BH492" s="249"/>
      <c r="BI492" s="249"/>
      <c r="BJ492" s="249"/>
      <c r="BK492" s="249"/>
      <c r="BL492" s="249"/>
      <c r="BM492" s="249"/>
      <c r="BN492" s="249"/>
      <c r="BO492" s="249"/>
      <c r="BP492" s="249"/>
      <c r="BQ492" s="249"/>
      <c r="BR492" s="249"/>
      <c r="BS492" s="249"/>
      <c r="BT492" s="249"/>
      <c r="BU492" s="249"/>
      <c r="BV492" s="249"/>
      <c r="BW492" s="249"/>
      <c r="BX492" s="249"/>
      <c r="BY492" s="249"/>
      <c r="BZ492" s="249"/>
      <c r="CA492" s="249"/>
      <c r="CB492" s="249"/>
      <c r="CC492" s="249"/>
      <c r="CD492" s="249"/>
      <c r="CE492" s="249"/>
    </row>
    <row r="493" spans="1:83" s="84" customFormat="1" ht="12.95" customHeight="1">
      <c r="A493" s="1"/>
      <c r="B493" s="1"/>
      <c r="C493" s="18" t="s">
        <v>483</v>
      </c>
      <c r="D493" s="52" t="s">
        <v>2865</v>
      </c>
      <c r="E493" s="52" t="s">
        <v>2869</v>
      </c>
      <c r="F493" s="53" t="s">
        <v>712</v>
      </c>
      <c r="G493" s="179" t="s">
        <v>1429</v>
      </c>
      <c r="H493" s="180" t="s">
        <v>483</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29" t="s">
        <v>483</v>
      </c>
      <c r="AR493" s="5"/>
      <c r="AS493" s="5"/>
      <c r="AT493" s="5"/>
      <c r="AU493" s="5"/>
      <c r="AV493" s="5"/>
      <c r="AW493" s="5"/>
      <c r="AX493" s="284"/>
      <c r="AY493" s="5"/>
      <c r="AZ493" s="5"/>
      <c r="BA493" s="230"/>
      <c r="BB493" s="5"/>
      <c r="BC493" s="232" t="s">
        <v>3535</v>
      </c>
      <c r="BD493" s="257"/>
      <c r="BE493" s="249"/>
      <c r="BF493" s="249"/>
      <c r="BG493" s="249"/>
      <c r="BH493" s="249"/>
      <c r="BI493" s="249"/>
      <c r="BJ493" s="249"/>
      <c r="BK493" s="249"/>
      <c r="BL493" s="249"/>
      <c r="BM493" s="249"/>
      <c r="BN493" s="249"/>
      <c r="BO493" s="249"/>
      <c r="BP493" s="249"/>
      <c r="BQ493" s="249"/>
      <c r="BR493" s="249"/>
      <c r="BS493" s="249"/>
      <c r="BT493" s="249"/>
      <c r="BU493" s="249"/>
      <c r="BV493" s="249"/>
      <c r="BW493" s="249"/>
      <c r="BX493" s="249"/>
      <c r="BY493" s="249"/>
      <c r="BZ493" s="249"/>
      <c r="CA493" s="249"/>
      <c r="CB493" s="249"/>
      <c r="CC493" s="249"/>
      <c r="CD493" s="249"/>
      <c r="CE493" s="249"/>
    </row>
    <row r="494" spans="1:83" s="84" customFormat="1" ht="12.95" customHeight="1">
      <c r="A494" s="1"/>
      <c r="B494" s="1"/>
      <c r="C494" s="18" t="s">
        <v>484</v>
      </c>
      <c r="D494" s="52" t="s">
        <v>2871</v>
      </c>
      <c r="E494" s="52" t="s">
        <v>2872</v>
      </c>
      <c r="F494" s="53" t="s">
        <v>713</v>
      </c>
      <c r="G494" s="179" t="s">
        <v>1429</v>
      </c>
      <c r="H494" s="180" t="s">
        <v>484</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29" t="s">
        <v>484</v>
      </c>
      <c r="AR494" s="5"/>
      <c r="AS494" s="5"/>
      <c r="AT494" s="5"/>
      <c r="AU494" s="5"/>
      <c r="AV494" s="5"/>
      <c r="AW494" s="5"/>
      <c r="AX494" s="284"/>
      <c r="AY494" s="5"/>
      <c r="AZ494" s="5"/>
      <c r="BA494" s="230"/>
      <c r="BB494" s="5"/>
      <c r="BC494" s="232" t="s">
        <v>3535</v>
      </c>
      <c r="BD494" s="257"/>
      <c r="BE494" s="249"/>
      <c r="BF494" s="249"/>
      <c r="BG494" s="249"/>
      <c r="BH494" s="249"/>
      <c r="BI494" s="249"/>
      <c r="BJ494" s="249"/>
      <c r="BK494" s="249"/>
      <c r="BL494" s="249"/>
      <c r="BM494" s="249"/>
      <c r="BN494" s="249"/>
      <c r="BO494" s="249"/>
      <c r="BP494" s="249"/>
      <c r="BQ494" s="249"/>
      <c r="BR494" s="249"/>
      <c r="BS494" s="249"/>
      <c r="BT494" s="249"/>
      <c r="BU494" s="249"/>
      <c r="BV494" s="249"/>
      <c r="BW494" s="249"/>
      <c r="BX494" s="249"/>
      <c r="BY494" s="249"/>
      <c r="BZ494" s="249"/>
      <c r="CA494" s="249"/>
      <c r="CB494" s="249"/>
      <c r="CC494" s="249"/>
      <c r="CD494" s="249"/>
      <c r="CE494" s="249"/>
    </row>
    <row r="495" spans="1:83" s="84" customFormat="1" ht="12.95" customHeight="1">
      <c r="A495" s="1"/>
      <c r="B495" s="1"/>
      <c r="C495" s="21" t="s">
        <v>485</v>
      </c>
      <c r="D495" s="52" t="s">
        <v>2869</v>
      </c>
      <c r="E495" s="52" t="s">
        <v>2857</v>
      </c>
      <c r="F495" s="53" t="s">
        <v>714</v>
      </c>
      <c r="G495" s="179" t="s">
        <v>1429</v>
      </c>
      <c r="H495" s="180" t="s">
        <v>485</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29" t="s">
        <v>485</v>
      </c>
      <c r="AR495" s="5"/>
      <c r="AS495" s="5"/>
      <c r="AT495" s="5"/>
      <c r="AU495" s="5"/>
      <c r="AV495" s="5"/>
      <c r="AW495" s="5"/>
      <c r="AX495" s="284"/>
      <c r="AY495" s="5"/>
      <c r="AZ495" s="5"/>
      <c r="BA495" s="230"/>
      <c r="BB495" s="5"/>
      <c r="BC495" s="232" t="s">
        <v>3535</v>
      </c>
      <c r="BD495" s="257"/>
      <c r="BE495" s="249"/>
      <c r="BF495" s="249"/>
      <c r="BG495" s="249"/>
      <c r="BH495" s="249"/>
      <c r="BI495" s="249"/>
      <c r="BJ495" s="249"/>
      <c r="BK495" s="249"/>
      <c r="BL495" s="249"/>
      <c r="BM495" s="249"/>
      <c r="BN495" s="249"/>
      <c r="BO495" s="249"/>
      <c r="BP495" s="249"/>
      <c r="BQ495" s="249"/>
      <c r="BR495" s="249"/>
      <c r="BS495" s="249"/>
      <c r="BT495" s="249"/>
      <c r="BU495" s="249"/>
      <c r="BV495" s="249"/>
      <c r="BW495" s="249"/>
      <c r="BX495" s="249"/>
      <c r="BY495" s="249"/>
      <c r="BZ495" s="249"/>
      <c r="CA495" s="249"/>
      <c r="CB495" s="249"/>
      <c r="CC495" s="249"/>
      <c r="CD495" s="249"/>
      <c r="CE495" s="249"/>
    </row>
    <row r="496" spans="1:83" s="84" customFormat="1" ht="12.95" customHeight="1">
      <c r="A496" s="1"/>
      <c r="B496" s="1"/>
      <c r="C496" s="21" t="s">
        <v>486</v>
      </c>
      <c r="D496" s="52" t="s">
        <v>2872</v>
      </c>
      <c r="E496" s="52" t="s">
        <v>2875</v>
      </c>
      <c r="F496" s="53" t="s">
        <v>715</v>
      </c>
      <c r="G496" s="179" t="s">
        <v>1429</v>
      </c>
      <c r="H496" s="180" t="s">
        <v>486</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29" t="s">
        <v>486</v>
      </c>
      <c r="AR496" s="5"/>
      <c r="AS496" s="5"/>
      <c r="AT496" s="5"/>
      <c r="AU496" s="5"/>
      <c r="AV496" s="5"/>
      <c r="AW496" s="5"/>
      <c r="AX496" s="284"/>
      <c r="AY496" s="5"/>
      <c r="AZ496" s="5"/>
      <c r="BA496" s="230"/>
      <c r="BB496" s="5"/>
      <c r="BC496" s="232" t="s">
        <v>3535</v>
      </c>
      <c r="BD496" s="257"/>
      <c r="BE496" s="249"/>
      <c r="BF496" s="249"/>
      <c r="BG496" s="249"/>
      <c r="BH496" s="249"/>
      <c r="BI496" s="249"/>
      <c r="BJ496" s="249"/>
      <c r="BK496" s="249"/>
      <c r="BL496" s="249"/>
      <c r="BM496" s="249"/>
      <c r="BN496" s="249"/>
      <c r="BO496" s="249"/>
      <c r="BP496" s="249"/>
      <c r="BQ496" s="249"/>
      <c r="BR496" s="249"/>
      <c r="BS496" s="249"/>
      <c r="BT496" s="249"/>
      <c r="BU496" s="249"/>
      <c r="BV496" s="249"/>
      <c r="BW496" s="249"/>
      <c r="BX496" s="249"/>
      <c r="BY496" s="249"/>
      <c r="BZ496" s="249"/>
      <c r="CA496" s="249"/>
      <c r="CB496" s="249"/>
      <c r="CC496" s="249"/>
      <c r="CD496" s="249"/>
      <c r="CE496" s="249"/>
    </row>
    <row r="497" spans="1:83" s="84" customFormat="1" ht="12.95" customHeight="1">
      <c r="A497" s="1"/>
      <c r="B497" s="1"/>
      <c r="C497" s="18" t="s">
        <v>487</v>
      </c>
      <c r="D497" s="52" t="s">
        <v>2853</v>
      </c>
      <c r="E497" s="52" t="s">
        <v>2877</v>
      </c>
      <c r="F497" s="53" t="s">
        <v>716</v>
      </c>
      <c r="G497" s="179" t="s">
        <v>1429</v>
      </c>
      <c r="H497" s="180" t="s">
        <v>487</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29" t="s">
        <v>487</v>
      </c>
      <c r="AR497" s="5"/>
      <c r="AS497" s="5"/>
      <c r="AT497" s="5"/>
      <c r="AU497" s="5"/>
      <c r="AV497" s="5"/>
      <c r="AW497" s="5"/>
      <c r="AX497" s="284"/>
      <c r="AY497" s="5"/>
      <c r="AZ497" s="5"/>
      <c r="BA497" s="230"/>
      <c r="BB497" s="5"/>
      <c r="BC497" s="232" t="s">
        <v>3535</v>
      </c>
      <c r="BD497" s="257"/>
      <c r="BE497" s="249"/>
      <c r="BF497" s="249"/>
      <c r="BG497" s="249"/>
      <c r="BH497" s="249"/>
      <c r="BI497" s="249"/>
      <c r="BJ497" s="249"/>
      <c r="BK497" s="249"/>
      <c r="BL497" s="249"/>
      <c r="BM497" s="249"/>
      <c r="BN497" s="249"/>
      <c r="BO497" s="249"/>
      <c r="BP497" s="249"/>
      <c r="BQ497" s="249"/>
      <c r="BR497" s="249"/>
      <c r="BS497" s="249"/>
      <c r="BT497" s="249"/>
      <c r="BU497" s="249"/>
      <c r="BV497" s="249"/>
      <c r="BW497" s="249"/>
      <c r="BX497" s="249"/>
      <c r="BY497" s="249"/>
      <c r="BZ497" s="249"/>
      <c r="CA497" s="249"/>
      <c r="CB497" s="249"/>
      <c r="CC497" s="249"/>
      <c r="CD497" s="249"/>
      <c r="CE497" s="249"/>
    </row>
    <row r="498" spans="1:83" s="84" customFormat="1" ht="12.95" customHeight="1">
      <c r="A498" s="1"/>
      <c r="B498" s="1"/>
      <c r="C498" s="18" t="s">
        <v>488</v>
      </c>
      <c r="D498" s="52" t="s">
        <v>2879</v>
      </c>
      <c r="E498" s="52" t="s">
        <v>2880</v>
      </c>
      <c r="F498" s="53" t="s">
        <v>717</v>
      </c>
      <c r="G498" s="179" t="s">
        <v>1429</v>
      </c>
      <c r="H498" s="180" t="s">
        <v>488</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29" t="s">
        <v>488</v>
      </c>
      <c r="AR498" s="5"/>
      <c r="AS498" s="5"/>
      <c r="AT498" s="5"/>
      <c r="AU498" s="5"/>
      <c r="AV498" s="5"/>
      <c r="AW498" s="5"/>
      <c r="AX498" s="284"/>
      <c r="AY498" s="5"/>
      <c r="AZ498" s="5"/>
      <c r="BA498" s="230"/>
      <c r="BB498" s="5"/>
      <c r="BC498" s="232" t="s">
        <v>3535</v>
      </c>
      <c r="BD498" s="257"/>
      <c r="BE498" s="249"/>
      <c r="BF498" s="249"/>
      <c r="BG498" s="249"/>
      <c r="BH498" s="249"/>
      <c r="BI498" s="249"/>
      <c r="BJ498" s="249"/>
      <c r="BK498" s="249"/>
      <c r="BL498" s="249"/>
      <c r="BM498" s="249"/>
      <c r="BN498" s="249"/>
      <c r="BO498" s="249"/>
      <c r="BP498" s="249"/>
      <c r="BQ498" s="249"/>
      <c r="BR498" s="249"/>
      <c r="BS498" s="249"/>
      <c r="BT498" s="249"/>
      <c r="BU498" s="249"/>
      <c r="BV498" s="249"/>
      <c r="BW498" s="249"/>
      <c r="BX498" s="249"/>
      <c r="BY498" s="249"/>
      <c r="BZ498" s="249"/>
      <c r="CA498" s="249"/>
      <c r="CB498" s="249"/>
      <c r="CC498" s="249"/>
      <c r="CD498" s="249"/>
      <c r="CE498" s="249"/>
    </row>
    <row r="499" spans="1:83" s="84" customFormat="1" ht="12.95" customHeight="1">
      <c r="A499" s="1"/>
      <c r="B499" s="1"/>
      <c r="C499" s="18" t="s">
        <v>489</v>
      </c>
      <c r="D499" s="52" t="s">
        <v>2882</v>
      </c>
      <c r="E499" s="52" t="s">
        <v>2879</v>
      </c>
      <c r="F499" s="53" t="s">
        <v>718</v>
      </c>
      <c r="G499" s="179" t="s">
        <v>1429</v>
      </c>
      <c r="H499" s="180" t="s">
        <v>489</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29" t="s">
        <v>489</v>
      </c>
      <c r="AR499" s="5"/>
      <c r="AS499" s="5"/>
      <c r="AT499" s="5"/>
      <c r="AU499" s="5"/>
      <c r="AV499" s="5"/>
      <c r="AW499" s="5"/>
      <c r="AX499" s="284"/>
      <c r="AY499" s="5"/>
      <c r="AZ499" s="5"/>
      <c r="BA499" s="230"/>
      <c r="BB499" s="5"/>
      <c r="BC499" s="232" t="s">
        <v>3535</v>
      </c>
      <c r="BD499" s="257"/>
      <c r="BE499" s="249"/>
      <c r="BF499" s="249"/>
      <c r="BG499" s="249"/>
      <c r="BH499" s="249"/>
      <c r="BI499" s="249"/>
      <c r="BJ499" s="249"/>
      <c r="BK499" s="249"/>
      <c r="BL499" s="249"/>
      <c r="BM499" s="249"/>
      <c r="BN499" s="249"/>
      <c r="BO499" s="249"/>
      <c r="BP499" s="249"/>
      <c r="BQ499" s="249"/>
      <c r="BR499" s="249"/>
      <c r="BS499" s="249"/>
      <c r="BT499" s="249"/>
      <c r="BU499" s="249"/>
      <c r="BV499" s="249"/>
      <c r="BW499" s="249"/>
      <c r="BX499" s="249"/>
      <c r="BY499" s="249"/>
      <c r="BZ499" s="249"/>
      <c r="CA499" s="249"/>
      <c r="CB499" s="249"/>
      <c r="CC499" s="249"/>
      <c r="CD499" s="249"/>
      <c r="CE499" s="249"/>
    </row>
    <row r="500" spans="1:83" s="84" customFormat="1" ht="12.95" customHeight="1">
      <c r="A500" s="1"/>
      <c r="B500" s="1"/>
      <c r="C500" s="18" t="s">
        <v>490</v>
      </c>
      <c r="D500" s="52" t="s">
        <v>2884</v>
      </c>
      <c r="E500" s="52" t="s">
        <v>2885</v>
      </c>
      <c r="F500" s="53" t="s">
        <v>719</v>
      </c>
      <c r="G500" s="179" t="s">
        <v>1429</v>
      </c>
      <c r="H500" s="180" t="s">
        <v>490</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29" t="s">
        <v>490</v>
      </c>
      <c r="AR500" s="5"/>
      <c r="AS500" s="5"/>
      <c r="AT500" s="5"/>
      <c r="AU500" s="5"/>
      <c r="AV500" s="5"/>
      <c r="AW500" s="5"/>
      <c r="AX500" s="284"/>
      <c r="AY500" s="5"/>
      <c r="AZ500" s="5"/>
      <c r="BA500" s="230"/>
      <c r="BB500" s="5"/>
      <c r="BC500" s="232" t="s">
        <v>3535</v>
      </c>
      <c r="BD500" s="257"/>
      <c r="BE500" s="249"/>
      <c r="BF500" s="249"/>
      <c r="BG500" s="249"/>
      <c r="BH500" s="249"/>
      <c r="BI500" s="249"/>
      <c r="BJ500" s="249"/>
      <c r="BK500" s="249"/>
      <c r="BL500" s="249"/>
      <c r="BM500" s="249"/>
      <c r="BN500" s="249"/>
      <c r="BO500" s="249"/>
      <c r="BP500" s="249"/>
      <c r="BQ500" s="249"/>
      <c r="BR500" s="249"/>
      <c r="BS500" s="249"/>
      <c r="BT500" s="249"/>
      <c r="BU500" s="249"/>
      <c r="BV500" s="249"/>
      <c r="BW500" s="249"/>
      <c r="BX500" s="249"/>
      <c r="BY500" s="249"/>
      <c r="BZ500" s="249"/>
      <c r="CA500" s="249"/>
      <c r="CB500" s="249"/>
      <c r="CC500" s="249"/>
      <c r="CD500" s="249"/>
      <c r="CE500" s="249"/>
    </row>
    <row r="501" spans="1:83" s="84" customFormat="1" ht="12.95" customHeight="1">
      <c r="A501" s="1"/>
      <c r="B501" s="1"/>
      <c r="C501" s="18" t="s">
        <v>491</v>
      </c>
      <c r="D501" s="52" t="s">
        <v>2887</v>
      </c>
      <c r="E501" s="52" t="s">
        <v>2882</v>
      </c>
      <c r="F501" s="53" t="s">
        <v>720</v>
      </c>
      <c r="G501" s="179" t="s">
        <v>1429</v>
      </c>
      <c r="H501" s="180" t="s">
        <v>491</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29" t="s">
        <v>491</v>
      </c>
      <c r="AR501" s="5"/>
      <c r="AS501" s="5"/>
      <c r="AT501" s="5"/>
      <c r="AU501" s="5"/>
      <c r="AV501" s="5"/>
      <c r="AW501" s="5"/>
      <c r="AX501" s="284"/>
      <c r="AY501" s="5"/>
      <c r="AZ501" s="5"/>
      <c r="BA501" s="230"/>
      <c r="BB501" s="5"/>
      <c r="BC501" s="232" t="s">
        <v>3535</v>
      </c>
      <c r="BD501" s="257"/>
      <c r="BE501" s="249"/>
      <c r="BF501" s="249"/>
      <c r="BG501" s="249"/>
      <c r="BH501" s="249"/>
      <c r="BI501" s="249"/>
      <c r="BJ501" s="249"/>
      <c r="BK501" s="249"/>
      <c r="BL501" s="249"/>
      <c r="BM501" s="249"/>
      <c r="BN501" s="249"/>
      <c r="BO501" s="249"/>
      <c r="BP501" s="249"/>
      <c r="BQ501" s="249"/>
      <c r="BR501" s="249"/>
      <c r="BS501" s="249"/>
      <c r="BT501" s="249"/>
      <c r="BU501" s="249"/>
      <c r="BV501" s="249"/>
      <c r="BW501" s="249"/>
      <c r="BX501" s="249"/>
      <c r="BY501" s="249"/>
      <c r="BZ501" s="249"/>
      <c r="CA501" s="249"/>
      <c r="CB501" s="249"/>
      <c r="CC501" s="249"/>
      <c r="CD501" s="249"/>
      <c r="CE501" s="249"/>
    </row>
    <row r="502" spans="1:83" s="84" customFormat="1" ht="12.95" customHeight="1">
      <c r="A502" s="1"/>
      <c r="B502" s="1"/>
      <c r="C502" s="18" t="s">
        <v>492</v>
      </c>
      <c r="D502" s="52" t="s">
        <v>2889</v>
      </c>
      <c r="E502" s="52" t="s">
        <v>2890</v>
      </c>
      <c r="F502" s="53" t="s">
        <v>721</v>
      </c>
      <c r="G502" s="179" t="s">
        <v>1429</v>
      </c>
      <c r="H502" s="180" t="s">
        <v>492</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29" t="s">
        <v>492</v>
      </c>
      <c r="AR502" s="5"/>
      <c r="AS502" s="5"/>
      <c r="AT502" s="5"/>
      <c r="AU502" s="5"/>
      <c r="AV502" s="5"/>
      <c r="AW502" s="5"/>
      <c r="AX502" s="284"/>
      <c r="AY502" s="5"/>
      <c r="AZ502" s="5"/>
      <c r="BA502" s="230"/>
      <c r="BB502" s="5"/>
      <c r="BC502" s="232" t="s">
        <v>3535</v>
      </c>
      <c r="BD502" s="257"/>
      <c r="BE502" s="249"/>
      <c r="BF502" s="249"/>
      <c r="BG502" s="249"/>
      <c r="BH502" s="249"/>
      <c r="BI502" s="249"/>
      <c r="BJ502" s="249"/>
      <c r="BK502" s="249"/>
      <c r="BL502" s="249"/>
      <c r="BM502" s="249"/>
      <c r="BN502" s="249"/>
      <c r="BO502" s="249"/>
      <c r="BP502" s="249"/>
      <c r="BQ502" s="249"/>
      <c r="BR502" s="249"/>
      <c r="BS502" s="249"/>
      <c r="BT502" s="249"/>
      <c r="BU502" s="249"/>
      <c r="BV502" s="249"/>
      <c r="BW502" s="249"/>
      <c r="BX502" s="249"/>
      <c r="BY502" s="249"/>
      <c r="BZ502" s="249"/>
      <c r="CA502" s="249"/>
      <c r="CB502" s="249"/>
      <c r="CC502" s="249"/>
      <c r="CD502" s="249"/>
      <c r="CE502" s="249"/>
    </row>
    <row r="503" spans="1:83" s="84" customFormat="1" ht="12.95" customHeight="1">
      <c r="A503" s="1"/>
      <c r="B503" s="1"/>
      <c r="C503" s="18" t="s">
        <v>493</v>
      </c>
      <c r="D503" s="52" t="s">
        <v>2892</v>
      </c>
      <c r="E503" s="52" t="s">
        <v>2884</v>
      </c>
      <c r="F503" s="53" t="s">
        <v>722</v>
      </c>
      <c r="G503" s="179" t="s">
        <v>1429</v>
      </c>
      <c r="H503" s="180" t="s">
        <v>493</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29" t="s">
        <v>493</v>
      </c>
      <c r="AR503" s="5"/>
      <c r="AS503" s="5"/>
      <c r="AT503" s="5"/>
      <c r="AU503" s="5"/>
      <c r="AV503" s="5"/>
      <c r="AW503" s="5"/>
      <c r="AX503" s="284"/>
      <c r="AY503" s="5"/>
      <c r="AZ503" s="5"/>
      <c r="BA503" s="230"/>
      <c r="BB503" s="5"/>
      <c r="BC503" s="232" t="s">
        <v>3535</v>
      </c>
      <c r="BD503" s="257"/>
      <c r="BE503" s="249"/>
      <c r="BF503" s="249"/>
      <c r="BG503" s="249"/>
      <c r="BH503" s="249"/>
      <c r="BI503" s="249"/>
      <c r="BJ503" s="249"/>
      <c r="BK503" s="249"/>
      <c r="BL503" s="249"/>
      <c r="BM503" s="249"/>
      <c r="BN503" s="249"/>
      <c r="BO503" s="249"/>
      <c r="BP503" s="249"/>
      <c r="BQ503" s="249"/>
      <c r="BR503" s="249"/>
      <c r="BS503" s="249"/>
      <c r="BT503" s="249"/>
      <c r="BU503" s="249"/>
      <c r="BV503" s="249"/>
      <c r="BW503" s="249"/>
      <c r="BX503" s="249"/>
      <c r="BY503" s="249"/>
      <c r="BZ503" s="249"/>
      <c r="CA503" s="249"/>
      <c r="CB503" s="249"/>
      <c r="CC503" s="249"/>
      <c r="CD503" s="249"/>
      <c r="CE503" s="249"/>
    </row>
    <row r="504" spans="1:83" s="84" customFormat="1" ht="12.95" customHeight="1">
      <c r="A504" s="1"/>
      <c r="B504" s="1"/>
      <c r="C504" s="18" t="s">
        <v>494</v>
      </c>
      <c r="D504" s="52" t="s">
        <v>2894</v>
      </c>
      <c r="E504" s="52" t="s">
        <v>2892</v>
      </c>
      <c r="F504" s="53" t="s">
        <v>723</v>
      </c>
      <c r="G504" s="179" t="s">
        <v>1429</v>
      </c>
      <c r="H504" s="180" t="s">
        <v>494</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29" t="s">
        <v>494</v>
      </c>
      <c r="AR504" s="5"/>
      <c r="AS504" s="5"/>
      <c r="AT504" s="5"/>
      <c r="AU504" s="5"/>
      <c r="AV504" s="5"/>
      <c r="AW504" s="5"/>
      <c r="AX504" s="284"/>
      <c r="AY504" s="5"/>
      <c r="AZ504" s="5"/>
      <c r="BA504" s="230"/>
      <c r="BB504" s="5"/>
      <c r="BC504" s="232" t="s">
        <v>3535</v>
      </c>
      <c r="BD504" s="257"/>
      <c r="BE504" s="249"/>
      <c r="BF504" s="249"/>
      <c r="BG504" s="249"/>
      <c r="BH504" s="249"/>
      <c r="BI504" s="249"/>
      <c r="BJ504" s="249"/>
      <c r="BK504" s="249"/>
      <c r="BL504" s="249"/>
      <c r="BM504" s="249"/>
      <c r="BN504" s="249"/>
      <c r="BO504" s="249"/>
      <c r="BP504" s="249"/>
      <c r="BQ504" s="249"/>
      <c r="BR504" s="249"/>
      <c r="BS504" s="249"/>
      <c r="BT504" s="249"/>
      <c r="BU504" s="249"/>
      <c r="BV504" s="249"/>
      <c r="BW504" s="249"/>
      <c r="BX504" s="249"/>
      <c r="BY504" s="249"/>
      <c r="BZ504" s="249"/>
      <c r="CA504" s="249"/>
      <c r="CB504" s="249"/>
      <c r="CC504" s="249"/>
      <c r="CD504" s="249"/>
      <c r="CE504" s="249"/>
    </row>
    <row r="505" spans="1:83" s="84" customFormat="1" ht="12.95" customHeight="1">
      <c r="A505" s="1"/>
      <c r="B505" s="1"/>
      <c r="C505" s="18" t="s">
        <v>495</v>
      </c>
      <c r="D505" s="52" t="s">
        <v>2896</v>
      </c>
      <c r="E505" s="52" t="s">
        <v>2887</v>
      </c>
      <c r="F505" s="53" t="s">
        <v>724</v>
      </c>
      <c r="G505" s="179" t="s">
        <v>1429</v>
      </c>
      <c r="H505" s="180" t="s">
        <v>495</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29" t="s">
        <v>495</v>
      </c>
      <c r="AR505" s="5"/>
      <c r="AS505" s="5"/>
      <c r="AT505" s="5"/>
      <c r="AU505" s="5"/>
      <c r="AV505" s="5"/>
      <c r="AW505" s="5"/>
      <c r="AX505" s="284"/>
      <c r="AY505" s="5"/>
      <c r="AZ505" s="5"/>
      <c r="BA505" s="230"/>
      <c r="BB505" s="5"/>
      <c r="BC505" s="232" t="s">
        <v>3535</v>
      </c>
      <c r="BD505" s="257"/>
      <c r="BE505" s="249"/>
      <c r="BF505" s="249"/>
      <c r="BG505" s="249"/>
      <c r="BH505" s="249"/>
      <c r="BI505" s="249"/>
      <c r="BJ505" s="249"/>
      <c r="BK505" s="249"/>
      <c r="BL505" s="249"/>
      <c r="BM505" s="249"/>
      <c r="BN505" s="249"/>
      <c r="BO505" s="249"/>
      <c r="BP505" s="249"/>
      <c r="BQ505" s="249"/>
      <c r="BR505" s="249"/>
      <c r="BS505" s="249"/>
      <c r="BT505" s="249"/>
      <c r="BU505" s="249"/>
      <c r="BV505" s="249"/>
      <c r="BW505" s="249"/>
      <c r="BX505" s="249"/>
      <c r="BY505" s="249"/>
      <c r="BZ505" s="249"/>
      <c r="CA505" s="249"/>
      <c r="CB505" s="249"/>
      <c r="CC505" s="249"/>
      <c r="CD505" s="249"/>
      <c r="CE505" s="249"/>
    </row>
    <row r="506" spans="1:83" s="84" customFormat="1" ht="12.95" customHeight="1">
      <c r="A506" s="1"/>
      <c r="B506" s="1"/>
      <c r="C506" s="18" t="s">
        <v>496</v>
      </c>
      <c r="D506" s="52" t="s">
        <v>2898</v>
      </c>
      <c r="E506" s="52" t="s">
        <v>2899</v>
      </c>
      <c r="F506" s="53" t="s">
        <v>725</v>
      </c>
      <c r="G506" s="179" t="s">
        <v>1429</v>
      </c>
      <c r="H506" s="180" t="s">
        <v>496</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29" t="s">
        <v>496</v>
      </c>
      <c r="AR506" s="5"/>
      <c r="AS506" s="5"/>
      <c r="AT506" s="5"/>
      <c r="AU506" s="5"/>
      <c r="AV506" s="5"/>
      <c r="AW506" s="5"/>
      <c r="AX506" s="284"/>
      <c r="AY506" s="5"/>
      <c r="AZ506" s="5"/>
      <c r="BA506" s="230"/>
      <c r="BB506" s="5"/>
      <c r="BC506" s="232" t="s">
        <v>3535</v>
      </c>
      <c r="BD506" s="257"/>
      <c r="BE506" s="249"/>
      <c r="BF506" s="249"/>
      <c r="BG506" s="249"/>
      <c r="BH506" s="249"/>
      <c r="BI506" s="249"/>
      <c r="BJ506" s="249"/>
      <c r="BK506" s="249"/>
      <c r="BL506" s="249"/>
      <c r="BM506" s="249"/>
      <c r="BN506" s="249"/>
      <c r="BO506" s="249"/>
      <c r="BP506" s="249"/>
      <c r="BQ506" s="249"/>
      <c r="BR506" s="249"/>
      <c r="BS506" s="249"/>
      <c r="BT506" s="249"/>
      <c r="BU506" s="249"/>
      <c r="BV506" s="249"/>
      <c r="BW506" s="249"/>
      <c r="BX506" s="249"/>
      <c r="BY506" s="249"/>
      <c r="BZ506" s="249"/>
      <c r="CA506" s="249"/>
      <c r="CB506" s="249"/>
      <c r="CC506" s="249"/>
      <c r="CD506" s="249"/>
      <c r="CE506" s="249"/>
    </row>
    <row r="507" spans="1:83" s="84" customFormat="1" ht="12.95" customHeight="1">
      <c r="A507" s="1"/>
      <c r="B507" s="1"/>
      <c r="C507" s="21" t="s">
        <v>497</v>
      </c>
      <c r="D507" s="52" t="s">
        <v>2901</v>
      </c>
      <c r="E507" s="52" t="s">
        <v>2902</v>
      </c>
      <c r="F507" s="53" t="s">
        <v>726</v>
      </c>
      <c r="G507" s="179" t="s">
        <v>1429</v>
      </c>
      <c r="H507" s="180" t="s">
        <v>497</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29" t="s">
        <v>497</v>
      </c>
      <c r="AR507" s="5"/>
      <c r="AS507" s="5"/>
      <c r="AT507" s="5"/>
      <c r="AU507" s="5"/>
      <c r="AV507" s="5"/>
      <c r="AW507" s="5"/>
      <c r="AX507" s="284"/>
      <c r="AY507" s="5"/>
      <c r="AZ507" s="5"/>
      <c r="BA507" s="230"/>
      <c r="BB507" s="5"/>
      <c r="BC507" s="232" t="s">
        <v>3535</v>
      </c>
      <c r="BD507" s="257"/>
      <c r="BE507" s="249"/>
      <c r="BF507" s="249"/>
      <c r="BG507" s="249"/>
      <c r="BH507" s="249"/>
      <c r="BI507" s="249"/>
      <c r="BJ507" s="249"/>
      <c r="BK507" s="249"/>
      <c r="BL507" s="249"/>
      <c r="BM507" s="249"/>
      <c r="BN507" s="249"/>
      <c r="BO507" s="249"/>
      <c r="BP507" s="249"/>
      <c r="BQ507" s="249"/>
      <c r="BR507" s="249"/>
      <c r="BS507" s="249"/>
      <c r="BT507" s="249"/>
      <c r="BU507" s="249"/>
      <c r="BV507" s="249"/>
      <c r="BW507" s="249"/>
      <c r="BX507" s="249"/>
      <c r="BY507" s="249"/>
      <c r="BZ507" s="249"/>
      <c r="CA507" s="249"/>
      <c r="CB507" s="249"/>
      <c r="CC507" s="249"/>
      <c r="CD507" s="249"/>
      <c r="CE507" s="249"/>
    </row>
    <row r="508" spans="1:83" s="84" customFormat="1" ht="12.95" customHeight="1">
      <c r="A508" s="1"/>
      <c r="B508" s="1"/>
      <c r="C508" s="21" t="s">
        <v>498</v>
      </c>
      <c r="D508" s="52" t="s">
        <v>2904</v>
      </c>
      <c r="E508" s="52" t="s">
        <v>2905</v>
      </c>
      <c r="F508" s="53" t="s">
        <v>727</v>
      </c>
      <c r="G508" s="179" t="s">
        <v>1429</v>
      </c>
      <c r="H508" s="180" t="s">
        <v>498</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29" t="s">
        <v>498</v>
      </c>
      <c r="AR508" s="5"/>
      <c r="AS508" s="5"/>
      <c r="AT508" s="5"/>
      <c r="AU508" s="5"/>
      <c r="AV508" s="5"/>
      <c r="AW508" s="5"/>
      <c r="AX508" s="284"/>
      <c r="AY508" s="5"/>
      <c r="AZ508" s="5"/>
      <c r="BA508" s="230"/>
      <c r="BB508" s="5"/>
      <c r="BC508" s="232" t="s">
        <v>3535</v>
      </c>
      <c r="BD508" s="257"/>
      <c r="BE508" s="249"/>
      <c r="BF508" s="249"/>
      <c r="BG508" s="249"/>
      <c r="BH508" s="249"/>
      <c r="BI508" s="249"/>
      <c r="BJ508" s="249"/>
      <c r="BK508" s="249"/>
      <c r="BL508" s="249"/>
      <c r="BM508" s="249"/>
      <c r="BN508" s="249"/>
      <c r="BO508" s="249"/>
      <c r="BP508" s="249"/>
      <c r="BQ508" s="249"/>
      <c r="BR508" s="249"/>
      <c r="BS508" s="249"/>
      <c r="BT508" s="249"/>
      <c r="BU508" s="249"/>
      <c r="BV508" s="249"/>
      <c r="BW508" s="249"/>
      <c r="BX508" s="249"/>
      <c r="BY508" s="249"/>
      <c r="BZ508" s="249"/>
      <c r="CA508" s="249"/>
      <c r="CB508" s="249"/>
      <c r="CC508" s="249"/>
      <c r="CD508" s="249"/>
      <c r="CE508" s="249"/>
    </row>
    <row r="509" spans="1:83" s="84" customFormat="1" ht="12.95" customHeight="1">
      <c r="A509" s="1"/>
      <c r="B509" s="1"/>
      <c r="C509" s="18" t="s">
        <v>499</v>
      </c>
      <c r="D509" s="52" t="s">
        <v>2902</v>
      </c>
      <c r="E509" s="52" t="s">
        <v>2907</v>
      </c>
      <c r="F509" s="53" t="s">
        <v>728</v>
      </c>
      <c r="G509" s="179" t="s">
        <v>1429</v>
      </c>
      <c r="H509" s="180" t="s">
        <v>499</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29" t="s">
        <v>499</v>
      </c>
      <c r="AR509" s="5"/>
      <c r="AS509" s="5"/>
      <c r="AT509" s="5"/>
      <c r="AU509" s="5"/>
      <c r="AV509" s="5"/>
      <c r="AW509" s="5"/>
      <c r="AX509" s="284"/>
      <c r="AY509" s="5"/>
      <c r="AZ509" s="5"/>
      <c r="BA509" s="230"/>
      <c r="BB509" s="5"/>
      <c r="BC509" s="232" t="s">
        <v>3535</v>
      </c>
      <c r="BD509" s="257"/>
      <c r="BE509" s="249"/>
      <c r="BF509" s="249"/>
      <c r="BG509" s="249"/>
      <c r="BH509" s="249"/>
      <c r="BI509" s="249"/>
      <c r="BJ509" s="249"/>
      <c r="BK509" s="249"/>
      <c r="BL509" s="249"/>
      <c r="BM509" s="249"/>
      <c r="BN509" s="249"/>
      <c r="BO509" s="249"/>
      <c r="BP509" s="249"/>
      <c r="BQ509" s="249"/>
      <c r="BR509" s="249"/>
      <c r="BS509" s="249"/>
      <c r="BT509" s="249"/>
      <c r="BU509" s="249"/>
      <c r="BV509" s="249"/>
      <c r="BW509" s="249"/>
      <c r="BX509" s="249"/>
      <c r="BY509" s="249"/>
      <c r="BZ509" s="249"/>
      <c r="CA509" s="249"/>
      <c r="CB509" s="249"/>
      <c r="CC509" s="249"/>
      <c r="CD509" s="249"/>
      <c r="CE509" s="249"/>
    </row>
    <row r="510" spans="1:83" s="84" customFormat="1" ht="12.95" customHeight="1">
      <c r="A510" s="1"/>
      <c r="B510" s="1"/>
      <c r="C510" s="18" t="s">
        <v>500</v>
      </c>
      <c r="D510" s="52" t="s">
        <v>2909</v>
      </c>
      <c r="E510" s="52" t="s">
        <v>2904</v>
      </c>
      <c r="F510" s="53" t="s">
        <v>729</v>
      </c>
      <c r="G510" s="179" t="s">
        <v>1429</v>
      </c>
      <c r="H510" s="180" t="s">
        <v>500</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29" t="s">
        <v>500</v>
      </c>
      <c r="AR510" s="5"/>
      <c r="AS510" s="5"/>
      <c r="AT510" s="5"/>
      <c r="AU510" s="5"/>
      <c r="AV510" s="5"/>
      <c r="AW510" s="5"/>
      <c r="AX510" s="284"/>
      <c r="AY510" s="5"/>
      <c r="AZ510" s="5"/>
      <c r="BA510" s="230"/>
      <c r="BB510" s="5"/>
      <c r="BC510" s="232" t="s">
        <v>3535</v>
      </c>
      <c r="BD510" s="257"/>
      <c r="BE510" s="249"/>
      <c r="BF510" s="249"/>
      <c r="BG510" s="249"/>
      <c r="BH510" s="249"/>
      <c r="BI510" s="249"/>
      <c r="BJ510" s="249"/>
      <c r="BK510" s="249"/>
      <c r="BL510" s="249"/>
      <c r="BM510" s="249"/>
      <c r="BN510" s="249"/>
      <c r="BO510" s="249"/>
      <c r="BP510" s="249"/>
      <c r="BQ510" s="249"/>
      <c r="BR510" s="249"/>
      <c r="BS510" s="249"/>
      <c r="BT510" s="249"/>
      <c r="BU510" s="249"/>
      <c r="BV510" s="249"/>
      <c r="BW510" s="249"/>
      <c r="BX510" s="249"/>
      <c r="BY510" s="249"/>
      <c r="BZ510" s="249"/>
      <c r="CA510" s="249"/>
      <c r="CB510" s="249"/>
      <c r="CC510" s="249"/>
      <c r="CD510" s="249"/>
      <c r="CE510" s="249"/>
    </row>
    <row r="511" spans="1:83" s="84" customFormat="1" ht="12.95" customHeight="1">
      <c r="A511" s="1"/>
      <c r="B511" s="1"/>
      <c r="C511" s="18" t="s">
        <v>501</v>
      </c>
      <c r="D511" s="52" t="s">
        <v>2911</v>
      </c>
      <c r="E511" s="52" t="s">
        <v>2901</v>
      </c>
      <c r="F511" s="53" t="s">
        <v>730</v>
      </c>
      <c r="G511" s="179" t="s">
        <v>1429</v>
      </c>
      <c r="H511" s="180" t="s">
        <v>501</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29" t="s">
        <v>501</v>
      </c>
      <c r="AR511" s="5"/>
      <c r="AS511" s="5"/>
      <c r="AT511" s="5"/>
      <c r="AU511" s="5"/>
      <c r="AV511" s="5"/>
      <c r="AW511" s="5"/>
      <c r="AX511" s="284"/>
      <c r="AY511" s="5"/>
      <c r="AZ511" s="5"/>
      <c r="BA511" s="230"/>
      <c r="BB511" s="5"/>
      <c r="BC511" s="232" t="s">
        <v>3535</v>
      </c>
      <c r="BD511" s="257"/>
      <c r="BE511" s="249"/>
      <c r="BF511" s="249"/>
      <c r="BG511" s="249"/>
      <c r="BH511" s="249"/>
      <c r="BI511" s="249"/>
      <c r="BJ511" s="249"/>
      <c r="BK511" s="249"/>
      <c r="BL511" s="249"/>
      <c r="BM511" s="249"/>
      <c r="BN511" s="249"/>
      <c r="BO511" s="249"/>
      <c r="BP511" s="249"/>
      <c r="BQ511" s="249"/>
      <c r="BR511" s="249"/>
      <c r="BS511" s="249"/>
      <c r="BT511" s="249"/>
      <c r="BU511" s="249"/>
      <c r="BV511" s="249"/>
      <c r="BW511" s="249"/>
      <c r="BX511" s="249"/>
      <c r="BY511" s="249"/>
      <c r="BZ511" s="249"/>
      <c r="CA511" s="249"/>
      <c r="CB511" s="249"/>
      <c r="CC511" s="249"/>
      <c r="CD511" s="249"/>
      <c r="CE511" s="249"/>
    </row>
    <row r="512" spans="1:83" s="84" customFormat="1" ht="12.95" customHeight="1">
      <c r="A512" s="1"/>
      <c r="B512" s="1"/>
      <c r="C512" s="18" t="s">
        <v>502</v>
      </c>
      <c r="D512" s="52" t="s">
        <v>2913</v>
      </c>
      <c r="E512" s="52" t="s">
        <v>2896</v>
      </c>
      <c r="F512" s="53" t="s">
        <v>731</v>
      </c>
      <c r="G512" s="179" t="s">
        <v>1429</v>
      </c>
      <c r="H512" s="180" t="s">
        <v>502</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29" t="s">
        <v>502</v>
      </c>
      <c r="AR512" s="5"/>
      <c r="AS512" s="5"/>
      <c r="AT512" s="5"/>
      <c r="AU512" s="5"/>
      <c r="AV512" s="5"/>
      <c r="AW512" s="5"/>
      <c r="AX512" s="284"/>
      <c r="AY512" s="5"/>
      <c r="AZ512" s="5"/>
      <c r="BA512" s="230"/>
      <c r="BB512" s="5"/>
      <c r="BC512" s="232" t="s">
        <v>3535</v>
      </c>
      <c r="BD512" s="257"/>
      <c r="BE512" s="249"/>
      <c r="BF512" s="249"/>
      <c r="BG512" s="249"/>
      <c r="BH512" s="249"/>
      <c r="BI512" s="249"/>
      <c r="BJ512" s="249"/>
      <c r="BK512" s="249"/>
      <c r="BL512" s="249"/>
      <c r="BM512" s="249"/>
      <c r="BN512" s="249"/>
      <c r="BO512" s="249"/>
      <c r="BP512" s="249"/>
      <c r="BQ512" s="249"/>
      <c r="BR512" s="249"/>
      <c r="BS512" s="249"/>
      <c r="BT512" s="249"/>
      <c r="BU512" s="249"/>
      <c r="BV512" s="249"/>
      <c r="BW512" s="249"/>
      <c r="BX512" s="249"/>
      <c r="BY512" s="249"/>
      <c r="BZ512" s="249"/>
      <c r="CA512" s="249"/>
      <c r="CB512" s="249"/>
      <c r="CC512" s="249"/>
      <c r="CD512" s="249"/>
      <c r="CE512" s="249"/>
    </row>
    <row r="513" spans="1:83" s="84" customFormat="1" ht="12.95" customHeight="1">
      <c r="A513" s="1"/>
      <c r="B513" s="1"/>
      <c r="C513" s="18" t="s">
        <v>503</v>
      </c>
      <c r="D513" s="52" t="s">
        <v>2915</v>
      </c>
      <c r="E513" s="52" t="s">
        <v>2916</v>
      </c>
      <c r="F513" s="53" t="s">
        <v>732</v>
      </c>
      <c r="G513" s="179" t="s">
        <v>1429</v>
      </c>
      <c r="H513" s="180" t="s">
        <v>503</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29" t="s">
        <v>503</v>
      </c>
      <c r="AR513" s="5"/>
      <c r="AS513" s="5"/>
      <c r="AT513" s="5"/>
      <c r="AU513" s="5"/>
      <c r="AV513" s="5"/>
      <c r="AW513" s="5"/>
      <c r="AX513" s="284"/>
      <c r="AY513" s="5"/>
      <c r="AZ513" s="5"/>
      <c r="BA513" s="230"/>
      <c r="BB513" s="5"/>
      <c r="BC513" s="232" t="s">
        <v>3535</v>
      </c>
      <c r="BD513" s="257"/>
      <c r="BE513" s="249"/>
      <c r="BF513" s="249"/>
      <c r="BG513" s="249"/>
      <c r="BH513" s="249"/>
      <c r="BI513" s="249"/>
      <c r="BJ513" s="249"/>
      <c r="BK513" s="249"/>
      <c r="BL513" s="249"/>
      <c r="BM513" s="249"/>
      <c r="BN513" s="249"/>
      <c r="BO513" s="249"/>
      <c r="BP513" s="249"/>
      <c r="BQ513" s="249"/>
      <c r="BR513" s="249"/>
      <c r="BS513" s="249"/>
      <c r="BT513" s="249"/>
      <c r="BU513" s="249"/>
      <c r="BV513" s="249"/>
      <c r="BW513" s="249"/>
      <c r="BX513" s="249"/>
      <c r="BY513" s="249"/>
      <c r="BZ513" s="249"/>
      <c r="CA513" s="249"/>
      <c r="CB513" s="249"/>
      <c r="CC513" s="249"/>
      <c r="CD513" s="249"/>
      <c r="CE513" s="249"/>
    </row>
    <row r="514" spans="1:83" s="84" customFormat="1" ht="12.95" customHeight="1">
      <c r="A514" s="1"/>
      <c r="B514" s="1"/>
      <c r="C514" s="18" t="s">
        <v>504</v>
      </c>
      <c r="D514" s="52" t="s">
        <v>2265</v>
      </c>
      <c r="E514" s="52" t="s">
        <v>2889</v>
      </c>
      <c r="F514" s="53" t="s">
        <v>733</v>
      </c>
      <c r="G514" s="179" t="s">
        <v>1429</v>
      </c>
      <c r="H514" s="180" t="s">
        <v>504</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29" t="s">
        <v>504</v>
      </c>
      <c r="AR514" s="5"/>
      <c r="AS514" s="5"/>
      <c r="AT514" s="5"/>
      <c r="AU514" s="5"/>
      <c r="AV514" s="5"/>
      <c r="AW514" s="5"/>
      <c r="AX514" s="284"/>
      <c r="AY514" s="5"/>
      <c r="AZ514" s="5"/>
      <c r="BA514" s="230"/>
      <c r="BB514" s="5"/>
      <c r="BC514" s="232" t="s">
        <v>3535</v>
      </c>
      <c r="BD514" s="257"/>
      <c r="BE514" s="249"/>
      <c r="BF514" s="249"/>
      <c r="BG514" s="249"/>
      <c r="BH514" s="249"/>
      <c r="BI514" s="249"/>
      <c r="BJ514" s="249"/>
      <c r="BK514" s="249"/>
      <c r="BL514" s="249"/>
      <c r="BM514" s="249"/>
      <c r="BN514" s="249"/>
      <c r="BO514" s="249"/>
      <c r="BP514" s="249"/>
      <c r="BQ514" s="249"/>
      <c r="BR514" s="249"/>
      <c r="BS514" s="249"/>
      <c r="BT514" s="249"/>
      <c r="BU514" s="249"/>
      <c r="BV514" s="249"/>
      <c r="BW514" s="249"/>
      <c r="BX514" s="249"/>
      <c r="BY514" s="249"/>
      <c r="BZ514" s="249"/>
      <c r="CA514" s="249"/>
      <c r="CB514" s="249"/>
      <c r="CC514" s="249"/>
      <c r="CD514" s="249"/>
      <c r="CE514" s="249"/>
    </row>
    <row r="515" spans="1:83" s="84" customFormat="1" ht="12.95" customHeight="1">
      <c r="A515" s="1"/>
      <c r="B515" s="1"/>
      <c r="C515" s="18" t="s">
        <v>505</v>
      </c>
      <c r="D515" s="52" t="s">
        <v>2275</v>
      </c>
      <c r="E515" s="52" t="s">
        <v>2909</v>
      </c>
      <c r="F515" s="53" t="s">
        <v>734</v>
      </c>
      <c r="G515" s="179" t="s">
        <v>1429</v>
      </c>
      <c r="H515" s="180" t="s">
        <v>505</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29" t="s">
        <v>505</v>
      </c>
      <c r="AR515" s="5"/>
      <c r="AS515" s="5"/>
      <c r="AT515" s="5"/>
      <c r="AU515" s="5"/>
      <c r="AV515" s="5"/>
      <c r="AW515" s="5"/>
      <c r="AX515" s="284"/>
      <c r="AY515" s="5"/>
      <c r="AZ515" s="5"/>
      <c r="BA515" s="230"/>
      <c r="BB515" s="5"/>
      <c r="BC515" s="232" t="s">
        <v>3535</v>
      </c>
      <c r="BD515" s="257"/>
      <c r="BE515" s="249"/>
      <c r="BF515" s="249"/>
      <c r="BG515" s="249"/>
      <c r="BH515" s="249"/>
      <c r="BI515" s="249"/>
      <c r="BJ515" s="249"/>
      <c r="BK515" s="249"/>
      <c r="BL515" s="249"/>
      <c r="BM515" s="249"/>
      <c r="BN515" s="249"/>
      <c r="BO515" s="249"/>
      <c r="BP515" s="249"/>
      <c r="BQ515" s="249"/>
      <c r="BR515" s="249"/>
      <c r="BS515" s="249"/>
      <c r="BT515" s="249"/>
      <c r="BU515" s="249"/>
      <c r="BV515" s="249"/>
      <c r="BW515" s="249"/>
      <c r="BX515" s="249"/>
      <c r="BY515" s="249"/>
      <c r="BZ515" s="249"/>
      <c r="CA515" s="249"/>
      <c r="CB515" s="249"/>
      <c r="CC515" s="249"/>
      <c r="CD515" s="249"/>
      <c r="CE515" s="249"/>
    </row>
    <row r="516" spans="1:83" s="84" customFormat="1" ht="12.95" customHeight="1">
      <c r="A516" s="1"/>
      <c r="B516" s="1"/>
      <c r="C516" s="18" t="s">
        <v>506</v>
      </c>
      <c r="D516" s="52" t="s">
        <v>2252</v>
      </c>
      <c r="E516" s="52" t="s">
        <v>2911</v>
      </c>
      <c r="F516" s="53" t="s">
        <v>735</v>
      </c>
      <c r="G516" s="179" t="s">
        <v>1429</v>
      </c>
      <c r="H516" s="180" t="s">
        <v>506</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29" t="s">
        <v>506</v>
      </c>
      <c r="AR516" s="5"/>
      <c r="AS516" s="5"/>
      <c r="AT516" s="5"/>
      <c r="AU516" s="5"/>
      <c r="AV516" s="5"/>
      <c r="AW516" s="5"/>
      <c r="AX516" s="284"/>
      <c r="AY516" s="5"/>
      <c r="AZ516" s="5"/>
      <c r="BA516" s="230"/>
      <c r="BB516" s="5"/>
      <c r="BC516" s="232" t="s">
        <v>3535</v>
      </c>
      <c r="BD516" s="257"/>
      <c r="BE516" s="249"/>
      <c r="BF516" s="249"/>
      <c r="BG516" s="249"/>
      <c r="BH516" s="249"/>
      <c r="BI516" s="249"/>
      <c r="BJ516" s="249"/>
      <c r="BK516" s="249"/>
      <c r="BL516" s="249"/>
      <c r="BM516" s="249"/>
      <c r="BN516" s="249"/>
      <c r="BO516" s="249"/>
      <c r="BP516" s="249"/>
      <c r="BQ516" s="249"/>
      <c r="BR516" s="249"/>
      <c r="BS516" s="249"/>
      <c r="BT516" s="249"/>
      <c r="BU516" s="249"/>
      <c r="BV516" s="249"/>
      <c r="BW516" s="249"/>
      <c r="BX516" s="249"/>
      <c r="BY516" s="249"/>
      <c r="BZ516" s="249"/>
      <c r="CA516" s="249"/>
      <c r="CB516" s="249"/>
      <c r="CC516" s="249"/>
      <c r="CD516" s="249"/>
      <c r="CE516" s="249"/>
    </row>
    <row r="517" spans="1:83" s="84" customFormat="1" ht="12.95" customHeight="1">
      <c r="A517" s="1"/>
      <c r="B517" s="1"/>
      <c r="C517" s="18" t="s">
        <v>507</v>
      </c>
      <c r="D517" s="52" t="s">
        <v>2271</v>
      </c>
      <c r="E517" s="52" t="s">
        <v>2915</v>
      </c>
      <c r="F517" s="53" t="s">
        <v>736</v>
      </c>
      <c r="G517" s="179" t="s">
        <v>1429</v>
      </c>
      <c r="H517" s="180" t="s">
        <v>507</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29" t="s">
        <v>507</v>
      </c>
      <c r="AR517" s="5"/>
      <c r="AS517" s="5"/>
      <c r="AT517" s="5"/>
      <c r="AU517" s="5"/>
      <c r="AV517" s="5"/>
      <c r="AW517" s="5"/>
      <c r="AX517" s="284"/>
      <c r="AY517" s="5"/>
      <c r="AZ517" s="5"/>
      <c r="BA517" s="230"/>
      <c r="BB517" s="5"/>
      <c r="BC517" s="232" t="s">
        <v>3535</v>
      </c>
      <c r="BD517" s="257"/>
      <c r="BE517" s="249"/>
      <c r="BF517" s="249"/>
      <c r="BG517" s="249"/>
      <c r="BH517" s="249"/>
      <c r="BI517" s="249"/>
      <c r="BJ517" s="249"/>
      <c r="BK517" s="249"/>
      <c r="BL517" s="249"/>
      <c r="BM517" s="249"/>
      <c r="BN517" s="249"/>
      <c r="BO517" s="249"/>
      <c r="BP517" s="249"/>
      <c r="BQ517" s="249"/>
      <c r="BR517" s="249"/>
      <c r="BS517" s="249"/>
      <c r="BT517" s="249"/>
      <c r="BU517" s="249"/>
      <c r="BV517" s="249"/>
      <c r="BW517" s="249"/>
      <c r="BX517" s="249"/>
      <c r="BY517" s="249"/>
      <c r="BZ517" s="249"/>
      <c r="CA517" s="249"/>
      <c r="CB517" s="249"/>
      <c r="CC517" s="249"/>
      <c r="CD517" s="249"/>
      <c r="CE517" s="249"/>
    </row>
    <row r="518" spans="1:83" s="84" customFormat="1" ht="12.95" customHeight="1">
      <c r="A518" s="1"/>
      <c r="B518" s="1"/>
      <c r="C518" s="18" t="s">
        <v>508</v>
      </c>
      <c r="D518" s="52" t="s">
        <v>2255</v>
      </c>
      <c r="E518" s="52" t="s">
        <v>2922</v>
      </c>
      <c r="F518" s="53" t="s">
        <v>737</v>
      </c>
      <c r="G518" s="179" t="s">
        <v>1429</v>
      </c>
      <c r="H518" s="180" t="s">
        <v>508</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29" t="s">
        <v>508</v>
      </c>
      <c r="AR518" s="5"/>
      <c r="AS518" s="5"/>
      <c r="AT518" s="5"/>
      <c r="AU518" s="5"/>
      <c r="AV518" s="5"/>
      <c r="AW518" s="5"/>
      <c r="AX518" s="284"/>
      <c r="AY518" s="5"/>
      <c r="AZ518" s="5"/>
      <c r="BA518" s="230"/>
      <c r="BB518" s="5"/>
      <c r="BC518" s="232" t="s">
        <v>3535</v>
      </c>
      <c r="BD518" s="257"/>
      <c r="BE518" s="249"/>
      <c r="BF518" s="249"/>
      <c r="BG518" s="249"/>
      <c r="BH518" s="249"/>
      <c r="BI518" s="249"/>
      <c r="BJ518" s="249"/>
      <c r="BK518" s="249"/>
      <c r="BL518" s="249"/>
      <c r="BM518" s="249"/>
      <c r="BN518" s="249"/>
      <c r="BO518" s="249"/>
      <c r="BP518" s="249"/>
      <c r="BQ518" s="249"/>
      <c r="BR518" s="249"/>
      <c r="BS518" s="249"/>
      <c r="BT518" s="249"/>
      <c r="BU518" s="249"/>
      <c r="BV518" s="249"/>
      <c r="BW518" s="249"/>
      <c r="BX518" s="249"/>
      <c r="BY518" s="249"/>
      <c r="BZ518" s="249"/>
      <c r="CA518" s="249"/>
      <c r="CB518" s="249"/>
      <c r="CC518" s="249"/>
      <c r="CD518" s="249"/>
      <c r="CE518" s="249"/>
    </row>
    <row r="519" spans="1:83" s="84" customFormat="1" ht="12.95" customHeight="1">
      <c r="A519" s="1"/>
      <c r="B519" s="1"/>
      <c r="C519" s="21" t="s">
        <v>509</v>
      </c>
      <c r="D519" s="52" t="s">
        <v>2924</v>
      </c>
      <c r="E519" s="52" t="s">
        <v>2898</v>
      </c>
      <c r="F519" s="53" t="s">
        <v>738</v>
      </c>
      <c r="G519" s="179" t="s">
        <v>1429</v>
      </c>
      <c r="H519" s="180" t="s">
        <v>509</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29" t="s">
        <v>509</v>
      </c>
      <c r="AR519" s="5"/>
      <c r="AS519" s="5"/>
      <c r="AT519" s="5"/>
      <c r="AU519" s="5"/>
      <c r="AV519" s="5"/>
      <c r="AW519" s="5"/>
      <c r="AX519" s="284"/>
      <c r="AY519" s="5"/>
      <c r="AZ519" s="5"/>
      <c r="BA519" s="230"/>
      <c r="BB519" s="5"/>
      <c r="BC519" s="232" t="s">
        <v>3535</v>
      </c>
      <c r="BD519" s="257"/>
      <c r="BE519" s="249"/>
      <c r="BF519" s="249"/>
      <c r="BG519" s="249"/>
      <c r="BH519" s="249"/>
      <c r="BI519" s="249"/>
      <c r="BJ519" s="249"/>
      <c r="BK519" s="249"/>
      <c r="BL519" s="249"/>
      <c r="BM519" s="249"/>
      <c r="BN519" s="249"/>
      <c r="BO519" s="249"/>
      <c r="BP519" s="249"/>
      <c r="BQ519" s="249"/>
      <c r="BR519" s="249"/>
      <c r="BS519" s="249"/>
      <c r="BT519" s="249"/>
      <c r="BU519" s="249"/>
      <c r="BV519" s="249"/>
      <c r="BW519" s="249"/>
      <c r="BX519" s="249"/>
      <c r="BY519" s="249"/>
      <c r="BZ519" s="249"/>
      <c r="CA519" s="249"/>
      <c r="CB519" s="249"/>
      <c r="CC519" s="249"/>
      <c r="CD519" s="249"/>
      <c r="CE519" s="249"/>
    </row>
    <row r="520" spans="1:83" s="84" customFormat="1" ht="12.95" customHeight="1">
      <c r="A520" s="1"/>
      <c r="B520" s="1"/>
      <c r="C520" s="21" t="s">
        <v>510</v>
      </c>
      <c r="D520" s="52" t="s">
        <v>2236</v>
      </c>
      <c r="E520" s="52" t="s">
        <v>2894</v>
      </c>
      <c r="F520" s="53" t="s">
        <v>739</v>
      </c>
      <c r="G520" s="179" t="s">
        <v>1429</v>
      </c>
      <c r="H520" s="180" t="s">
        <v>510</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29" t="s">
        <v>510</v>
      </c>
      <c r="AR520" s="5"/>
      <c r="AS520" s="5"/>
      <c r="AT520" s="5"/>
      <c r="AU520" s="5"/>
      <c r="AV520" s="5"/>
      <c r="AW520" s="5"/>
      <c r="AX520" s="284"/>
      <c r="AY520" s="5"/>
      <c r="AZ520" s="5"/>
      <c r="BA520" s="230"/>
      <c r="BB520" s="5"/>
      <c r="BC520" s="232" t="s">
        <v>3535</v>
      </c>
      <c r="BD520" s="257"/>
      <c r="BE520" s="249"/>
      <c r="BF520" s="249"/>
      <c r="BG520" s="249"/>
      <c r="BH520" s="249"/>
      <c r="BI520" s="249"/>
      <c r="BJ520" s="249"/>
      <c r="BK520" s="249"/>
      <c r="BL520" s="249"/>
      <c r="BM520" s="249"/>
      <c r="BN520" s="249"/>
      <c r="BO520" s="249"/>
      <c r="BP520" s="249"/>
      <c r="BQ520" s="249"/>
      <c r="BR520" s="249"/>
      <c r="BS520" s="249"/>
      <c r="BT520" s="249"/>
      <c r="BU520" s="249"/>
      <c r="BV520" s="249"/>
      <c r="BW520" s="249"/>
      <c r="BX520" s="249"/>
      <c r="BY520" s="249"/>
      <c r="BZ520" s="249"/>
      <c r="CA520" s="249"/>
      <c r="CB520" s="249"/>
      <c r="CC520" s="249"/>
      <c r="CD520" s="249"/>
      <c r="CE520" s="249"/>
    </row>
    <row r="521" spans="1:83" s="84" customFormat="1" ht="12.95" customHeight="1">
      <c r="A521" s="1"/>
      <c r="B521" s="1"/>
      <c r="C521" s="195" t="s">
        <v>1436</v>
      </c>
      <c r="D521" s="52" t="s">
        <v>2242</v>
      </c>
      <c r="E521" s="52" t="s">
        <v>2924</v>
      </c>
      <c r="F521" s="53" t="s">
        <v>2927</v>
      </c>
      <c r="G521" s="179" t="s">
        <v>1429</v>
      </c>
      <c r="H521" s="180"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29" t="s">
        <v>1436</v>
      </c>
      <c r="AR521" s="5"/>
      <c r="AS521" s="5"/>
      <c r="AT521" s="5"/>
      <c r="AU521" s="5"/>
      <c r="AV521" s="5"/>
      <c r="AW521" s="5"/>
      <c r="AX521" s="284"/>
      <c r="AY521" s="5"/>
      <c r="AZ521" s="5"/>
      <c r="BA521" s="230"/>
      <c r="BB521" s="5"/>
      <c r="BC521" s="232" t="s">
        <v>3535</v>
      </c>
      <c r="BD521" s="257"/>
      <c r="BE521" s="249"/>
      <c r="BF521" s="249"/>
      <c r="BG521" s="249"/>
      <c r="BH521" s="249"/>
      <c r="BI521" s="249"/>
      <c r="BJ521" s="249"/>
      <c r="BK521" s="249"/>
      <c r="BL521" s="249"/>
      <c r="BM521" s="249"/>
      <c r="BN521" s="249"/>
      <c r="BO521" s="249"/>
      <c r="BP521" s="249"/>
      <c r="BQ521" s="249"/>
      <c r="BR521" s="249"/>
      <c r="BS521" s="249"/>
      <c r="BT521" s="249"/>
      <c r="BU521" s="249"/>
      <c r="BV521" s="249"/>
      <c r="BW521" s="249"/>
      <c r="BX521" s="249"/>
      <c r="BY521" s="249"/>
      <c r="BZ521" s="249"/>
      <c r="CA521" s="249"/>
      <c r="CB521" s="249"/>
      <c r="CC521" s="249"/>
      <c r="CD521" s="249"/>
      <c r="CE521" s="249"/>
    </row>
    <row r="522" spans="1:83" s="94" customFormat="1" ht="18"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1"/>
      <c r="AR522" s="251"/>
      <c r="AS522" s="252"/>
      <c r="AT522" s="252"/>
      <c r="AU522" s="252"/>
      <c r="AV522" s="252"/>
      <c r="AW522" s="252"/>
      <c r="AX522" s="291"/>
      <c r="AY522" s="252"/>
      <c r="AZ522" s="252"/>
      <c r="BA522" s="252"/>
      <c r="BB522" s="168" t="s">
        <v>512</v>
      </c>
      <c r="BC522" s="253"/>
      <c r="BD522" s="253"/>
      <c r="BE522" s="254"/>
      <c r="BF522" s="254"/>
      <c r="BG522" s="254"/>
      <c r="BH522" s="254"/>
      <c r="BI522" s="254"/>
      <c r="BJ522" s="254"/>
      <c r="BK522" s="254"/>
      <c r="BL522" s="254"/>
      <c r="BM522" s="254"/>
      <c r="BN522" s="254"/>
      <c r="BO522" s="254"/>
      <c r="BP522" s="254"/>
      <c r="BQ522" s="254"/>
      <c r="BR522" s="254"/>
      <c r="BS522" s="254"/>
      <c r="BT522" s="254"/>
      <c r="BU522" s="254"/>
      <c r="BV522" s="254"/>
      <c r="BW522" s="254"/>
      <c r="BX522" s="254"/>
      <c r="BY522" s="254"/>
      <c r="BZ522" s="254"/>
      <c r="CA522" s="254"/>
      <c r="CB522" s="254"/>
      <c r="CC522" s="254"/>
      <c r="CD522" s="254"/>
      <c r="CE522" s="254"/>
    </row>
    <row r="523" spans="1:83" s="84" customFormat="1" ht="12.95" customHeight="1">
      <c r="A523" s="1"/>
      <c r="B523" s="1"/>
      <c r="C523" s="18" t="s">
        <v>768</v>
      </c>
      <c r="D523" s="52" t="s">
        <v>2929</v>
      </c>
      <c r="E523" s="52" t="s">
        <v>2930</v>
      </c>
      <c r="F523" s="53" t="s">
        <v>1062</v>
      </c>
      <c r="G523" s="179" t="s">
        <v>1429</v>
      </c>
      <c r="H523" s="180"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29" t="s">
        <v>768</v>
      </c>
      <c r="AR523" s="5"/>
      <c r="AS523" s="5"/>
      <c r="AT523" s="5"/>
      <c r="AU523" s="5"/>
      <c r="AV523" s="5"/>
      <c r="AW523" s="5"/>
      <c r="AX523" s="284"/>
      <c r="AY523" s="5"/>
      <c r="AZ523" s="5"/>
      <c r="BA523" s="230"/>
      <c r="BB523" s="215"/>
      <c r="BC523" s="231" t="s">
        <v>3536</v>
      </c>
      <c r="BD523" s="256"/>
      <c r="BE523" s="249"/>
      <c r="BF523" s="249"/>
      <c r="BG523" s="249"/>
      <c r="BH523" s="249"/>
      <c r="BI523" s="249"/>
      <c r="BJ523" s="249"/>
      <c r="BK523" s="249"/>
      <c r="BL523" s="249"/>
      <c r="BM523" s="249"/>
      <c r="BN523" s="249"/>
      <c r="BO523" s="249"/>
      <c r="BP523" s="249"/>
      <c r="BQ523" s="249"/>
      <c r="BR523" s="249"/>
      <c r="BS523" s="249"/>
      <c r="BT523" s="249"/>
      <c r="BU523" s="249"/>
      <c r="BV523" s="249"/>
      <c r="BW523" s="249"/>
      <c r="BX523" s="249"/>
      <c r="BY523" s="249"/>
      <c r="BZ523" s="249"/>
      <c r="CA523" s="249"/>
      <c r="CB523" s="249"/>
      <c r="CC523" s="249"/>
      <c r="CD523" s="249"/>
      <c r="CE523" s="249"/>
    </row>
    <row r="524" spans="1:83" s="84" customFormat="1" ht="12.95" customHeight="1">
      <c r="A524" s="1"/>
      <c r="B524" s="1"/>
      <c r="C524" s="18" t="s">
        <v>769</v>
      </c>
      <c r="D524" s="52" t="s">
        <v>2933</v>
      </c>
      <c r="E524" s="52" t="s">
        <v>2933</v>
      </c>
      <c r="F524" s="53" t="s">
        <v>1063</v>
      </c>
      <c r="G524" s="179" t="s">
        <v>1429</v>
      </c>
      <c r="H524" s="180"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29" t="s">
        <v>769</v>
      </c>
      <c r="AR524" s="5"/>
      <c r="AS524" s="5"/>
      <c r="AT524" s="5"/>
      <c r="AU524" s="5"/>
      <c r="AV524" s="5"/>
      <c r="AW524" s="5"/>
      <c r="AX524" s="284"/>
      <c r="AY524" s="5"/>
      <c r="AZ524" s="5"/>
      <c r="BA524" s="230"/>
      <c r="BB524" s="5"/>
      <c r="BC524" s="232" t="s">
        <v>3536</v>
      </c>
      <c r="BD524" s="257"/>
      <c r="BE524" s="249"/>
      <c r="BF524" s="249"/>
      <c r="BG524" s="249"/>
      <c r="BH524" s="249"/>
      <c r="BI524" s="249"/>
      <c r="BJ524" s="249"/>
      <c r="BK524" s="249"/>
      <c r="BL524" s="249"/>
      <c r="BM524" s="249"/>
      <c r="BN524" s="249"/>
      <c r="BO524" s="249"/>
      <c r="BP524" s="249"/>
      <c r="BQ524" s="249"/>
      <c r="BR524" s="249"/>
      <c r="BS524" s="249"/>
      <c r="BT524" s="249"/>
      <c r="BU524" s="249"/>
      <c r="BV524" s="249"/>
      <c r="BW524" s="249"/>
      <c r="BX524" s="249"/>
      <c r="BY524" s="249"/>
      <c r="BZ524" s="249"/>
      <c r="CA524" s="249"/>
      <c r="CB524" s="249"/>
      <c r="CC524" s="249"/>
      <c r="CD524" s="249"/>
      <c r="CE524" s="249"/>
    </row>
    <row r="525" spans="1:83" s="84" customFormat="1" ht="12.95" customHeight="1">
      <c r="A525" s="1"/>
      <c r="B525" s="1"/>
      <c r="C525" s="18" t="s">
        <v>770</v>
      </c>
      <c r="D525" s="52" t="s">
        <v>2930</v>
      </c>
      <c r="E525" s="52" t="s">
        <v>2935</v>
      </c>
      <c r="F525" s="53" t="s">
        <v>1064</v>
      </c>
      <c r="G525" s="179" t="s">
        <v>1429</v>
      </c>
      <c r="H525" s="180"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29" t="s">
        <v>770</v>
      </c>
      <c r="AR525" s="5"/>
      <c r="AS525" s="5"/>
      <c r="AT525" s="5"/>
      <c r="AU525" s="5"/>
      <c r="AV525" s="5"/>
      <c r="AW525" s="5"/>
      <c r="AX525" s="284"/>
      <c r="AY525" s="5"/>
      <c r="AZ525" s="5"/>
      <c r="BA525" s="230"/>
      <c r="BB525" s="5"/>
      <c r="BC525" s="232" t="s">
        <v>3536</v>
      </c>
      <c r="BD525" s="257"/>
      <c r="BE525" s="249"/>
      <c r="BF525" s="249"/>
      <c r="BG525" s="249"/>
      <c r="BH525" s="249"/>
      <c r="BI525" s="249"/>
      <c r="BJ525" s="249"/>
      <c r="BK525" s="249"/>
      <c r="BL525" s="249"/>
      <c r="BM525" s="249"/>
      <c r="BN525" s="249"/>
      <c r="BO525" s="249"/>
      <c r="BP525" s="249"/>
      <c r="BQ525" s="249"/>
      <c r="BR525" s="249"/>
      <c r="BS525" s="249"/>
      <c r="BT525" s="249"/>
      <c r="BU525" s="249"/>
      <c r="BV525" s="249"/>
      <c r="BW525" s="249"/>
      <c r="BX525" s="249"/>
      <c r="BY525" s="249"/>
      <c r="BZ525" s="249"/>
      <c r="CA525" s="249"/>
      <c r="CB525" s="249"/>
      <c r="CC525" s="249"/>
      <c r="CD525" s="249"/>
      <c r="CE525" s="249"/>
    </row>
    <row r="526" spans="1:83" s="84" customFormat="1" ht="12.95" customHeight="1">
      <c r="A526" s="1"/>
      <c r="B526" s="1"/>
      <c r="C526" s="18" t="s">
        <v>771</v>
      </c>
      <c r="D526" s="52" t="s">
        <v>2937</v>
      </c>
      <c r="E526" s="52" t="s">
        <v>2938</v>
      </c>
      <c r="F526" s="53" t="s">
        <v>1065</v>
      </c>
      <c r="G526" s="179" t="s">
        <v>1429</v>
      </c>
      <c r="H526" s="180"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29" t="s">
        <v>771</v>
      </c>
      <c r="AR526" s="5"/>
      <c r="AS526" s="5"/>
      <c r="AT526" s="5"/>
      <c r="AU526" s="5"/>
      <c r="AV526" s="5"/>
      <c r="AW526" s="5"/>
      <c r="AX526" s="284"/>
      <c r="AY526" s="5"/>
      <c r="AZ526" s="5"/>
      <c r="BA526" s="230"/>
      <c r="BB526" s="5"/>
      <c r="BC526" s="232" t="s">
        <v>3536</v>
      </c>
      <c r="BD526" s="257"/>
      <c r="BE526" s="249"/>
      <c r="BF526" s="249"/>
      <c r="BG526" s="249"/>
      <c r="BH526" s="249"/>
      <c r="BI526" s="249"/>
      <c r="BJ526" s="249"/>
      <c r="BK526" s="249"/>
      <c r="BL526" s="249"/>
      <c r="BM526" s="249"/>
      <c r="BN526" s="249"/>
      <c r="BO526" s="249"/>
      <c r="BP526" s="249"/>
      <c r="BQ526" s="249"/>
      <c r="BR526" s="249"/>
      <c r="BS526" s="249"/>
      <c r="BT526" s="249"/>
      <c r="BU526" s="249"/>
      <c r="BV526" s="249"/>
      <c r="BW526" s="249"/>
      <c r="BX526" s="249"/>
      <c r="BY526" s="249"/>
      <c r="BZ526" s="249"/>
      <c r="CA526" s="249"/>
      <c r="CB526" s="249"/>
      <c r="CC526" s="249"/>
      <c r="CD526" s="249"/>
      <c r="CE526" s="249"/>
    </row>
    <row r="527" spans="1:83" s="84" customFormat="1" ht="12.95" customHeight="1">
      <c r="A527" s="1"/>
      <c r="B527" s="1"/>
      <c r="C527" s="18" t="s">
        <v>772</v>
      </c>
      <c r="D527" s="52" t="s">
        <v>2940</v>
      </c>
      <c r="E527" s="52" t="s">
        <v>2941</v>
      </c>
      <c r="F527" s="53" t="s">
        <v>1066</v>
      </c>
      <c r="G527" s="179" t="s">
        <v>1429</v>
      </c>
      <c r="H527" s="180"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29" t="s">
        <v>772</v>
      </c>
      <c r="AR527" s="5"/>
      <c r="AS527" s="5"/>
      <c r="AT527" s="5"/>
      <c r="AU527" s="5"/>
      <c r="AV527" s="5"/>
      <c r="AW527" s="5"/>
      <c r="AX527" s="284"/>
      <c r="AY527" s="5"/>
      <c r="AZ527" s="5"/>
      <c r="BA527" s="230"/>
      <c r="BB527" s="5"/>
      <c r="BC527" s="232" t="s">
        <v>3536</v>
      </c>
      <c r="BD527" s="257"/>
      <c r="BE527" s="249"/>
      <c r="BF527" s="249"/>
      <c r="BG527" s="249"/>
      <c r="BH527" s="249"/>
      <c r="BI527" s="249"/>
      <c r="BJ527" s="249"/>
      <c r="BK527" s="249"/>
      <c r="BL527" s="249"/>
      <c r="BM527" s="249"/>
      <c r="BN527" s="249"/>
      <c r="BO527" s="249"/>
      <c r="BP527" s="249"/>
      <c r="BQ527" s="249"/>
      <c r="BR527" s="249"/>
      <c r="BS527" s="249"/>
      <c r="BT527" s="249"/>
      <c r="BU527" s="249"/>
      <c r="BV527" s="249"/>
      <c r="BW527" s="249"/>
      <c r="BX527" s="249"/>
      <c r="BY527" s="249"/>
      <c r="BZ527" s="249"/>
      <c r="CA527" s="249"/>
      <c r="CB527" s="249"/>
      <c r="CC527" s="249"/>
      <c r="CD527" s="249"/>
      <c r="CE527" s="249"/>
    </row>
    <row r="528" spans="1:83" s="84" customFormat="1" ht="12.95" customHeight="1">
      <c r="A528" s="1"/>
      <c r="B528" s="1"/>
      <c r="C528" s="18" t="s">
        <v>773</v>
      </c>
      <c r="D528" s="52" t="s">
        <v>2943</v>
      </c>
      <c r="E528" s="52" t="s">
        <v>2944</v>
      </c>
      <c r="F528" s="53" t="s">
        <v>1067</v>
      </c>
      <c r="G528" s="179" t="s">
        <v>1429</v>
      </c>
      <c r="H528" s="180"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29" t="s">
        <v>773</v>
      </c>
      <c r="AR528" s="5"/>
      <c r="AS528" s="5"/>
      <c r="AT528" s="5"/>
      <c r="AU528" s="5"/>
      <c r="AV528" s="5"/>
      <c r="AW528" s="5"/>
      <c r="AX528" s="284"/>
      <c r="AY528" s="5"/>
      <c r="AZ528" s="5"/>
      <c r="BA528" s="230"/>
      <c r="BB528" s="5"/>
      <c r="BC528" s="232" t="s">
        <v>3536</v>
      </c>
      <c r="BD528" s="257"/>
      <c r="BE528" s="249"/>
      <c r="BF528" s="249"/>
      <c r="BG528" s="249"/>
      <c r="BH528" s="249"/>
      <c r="BI528" s="249"/>
      <c r="BJ528" s="249"/>
      <c r="BK528" s="249"/>
      <c r="BL528" s="249"/>
      <c r="BM528" s="249"/>
      <c r="BN528" s="249"/>
      <c r="BO528" s="249"/>
      <c r="BP528" s="249"/>
      <c r="BQ528" s="249"/>
      <c r="BR528" s="249"/>
      <c r="BS528" s="249"/>
      <c r="BT528" s="249"/>
      <c r="BU528" s="249"/>
      <c r="BV528" s="249"/>
      <c r="BW528" s="249"/>
      <c r="BX528" s="249"/>
      <c r="BY528" s="249"/>
      <c r="BZ528" s="249"/>
      <c r="CA528" s="249"/>
      <c r="CB528" s="249"/>
      <c r="CC528" s="249"/>
      <c r="CD528" s="249"/>
      <c r="CE528" s="249"/>
    </row>
    <row r="529" spans="1:83" s="84" customFormat="1" ht="12.95" customHeight="1">
      <c r="A529" s="1"/>
      <c r="B529" s="1"/>
      <c r="C529" s="18" t="s">
        <v>774</v>
      </c>
      <c r="D529" s="52" t="s">
        <v>2935</v>
      </c>
      <c r="E529" s="52" t="s">
        <v>2946</v>
      </c>
      <c r="F529" s="53" t="s">
        <v>1068</v>
      </c>
      <c r="G529" s="179" t="s">
        <v>1429</v>
      </c>
      <c r="H529" s="180"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29" t="s">
        <v>774</v>
      </c>
      <c r="AR529" s="5"/>
      <c r="AS529" s="5"/>
      <c r="AT529" s="5"/>
      <c r="AU529" s="5"/>
      <c r="AV529" s="5"/>
      <c r="AW529" s="5"/>
      <c r="AX529" s="284"/>
      <c r="AY529" s="5"/>
      <c r="AZ529" s="5"/>
      <c r="BA529" s="230"/>
      <c r="BB529" s="5"/>
      <c r="BC529" s="232" t="s">
        <v>3536</v>
      </c>
      <c r="BD529" s="257"/>
      <c r="BE529" s="249"/>
      <c r="BF529" s="249"/>
      <c r="BG529" s="249"/>
      <c r="BH529" s="249"/>
      <c r="BI529" s="249"/>
      <c r="BJ529" s="249"/>
      <c r="BK529" s="249"/>
      <c r="BL529" s="249"/>
      <c r="BM529" s="249"/>
      <c r="BN529" s="249"/>
      <c r="BO529" s="249"/>
      <c r="BP529" s="249"/>
      <c r="BQ529" s="249"/>
      <c r="BR529" s="249"/>
      <c r="BS529" s="249"/>
      <c r="BT529" s="249"/>
      <c r="BU529" s="249"/>
      <c r="BV529" s="249"/>
      <c r="BW529" s="249"/>
      <c r="BX529" s="249"/>
      <c r="BY529" s="249"/>
      <c r="BZ529" s="249"/>
      <c r="CA529" s="249"/>
      <c r="CB529" s="249"/>
      <c r="CC529" s="249"/>
      <c r="CD529" s="249"/>
      <c r="CE529" s="249"/>
    </row>
    <row r="530" spans="1:83" s="84" customFormat="1" ht="12.95" customHeight="1">
      <c r="A530" s="1"/>
      <c r="B530" s="1"/>
      <c r="C530" s="18" t="s">
        <v>775</v>
      </c>
      <c r="D530" s="52" t="s">
        <v>2948</v>
      </c>
      <c r="E530" s="52" t="s">
        <v>2949</v>
      </c>
      <c r="F530" s="53" t="s">
        <v>1069</v>
      </c>
      <c r="G530" s="179" t="s">
        <v>1429</v>
      </c>
      <c r="H530" s="180"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29" t="s">
        <v>775</v>
      </c>
      <c r="AR530" s="5"/>
      <c r="AS530" s="5"/>
      <c r="AT530" s="5"/>
      <c r="AU530" s="5"/>
      <c r="AV530" s="5"/>
      <c r="AW530" s="5"/>
      <c r="AX530" s="284"/>
      <c r="AY530" s="5"/>
      <c r="AZ530" s="5"/>
      <c r="BA530" s="230"/>
      <c r="BB530" s="5"/>
      <c r="BC530" s="232" t="s">
        <v>3536</v>
      </c>
      <c r="BD530" s="257"/>
      <c r="BE530" s="249"/>
      <c r="BF530" s="249"/>
      <c r="BG530" s="249"/>
      <c r="BH530" s="249"/>
      <c r="BI530" s="249"/>
      <c r="BJ530" s="249"/>
      <c r="BK530" s="249"/>
      <c r="BL530" s="249"/>
      <c r="BM530" s="249"/>
      <c r="BN530" s="249"/>
      <c r="BO530" s="249"/>
      <c r="BP530" s="249"/>
      <c r="BQ530" s="249"/>
      <c r="BR530" s="249"/>
      <c r="BS530" s="249"/>
      <c r="BT530" s="249"/>
      <c r="BU530" s="249"/>
      <c r="BV530" s="249"/>
      <c r="BW530" s="249"/>
      <c r="BX530" s="249"/>
      <c r="BY530" s="249"/>
      <c r="BZ530" s="249"/>
      <c r="CA530" s="249"/>
      <c r="CB530" s="249"/>
      <c r="CC530" s="249"/>
      <c r="CD530" s="249"/>
      <c r="CE530" s="249"/>
    </row>
    <row r="531" spans="1:83" s="84" customFormat="1" ht="12.95" customHeight="1">
      <c r="A531" s="1"/>
      <c r="B531" s="1"/>
      <c r="C531" s="18" t="s">
        <v>776</v>
      </c>
      <c r="D531" s="52" t="s">
        <v>2938</v>
      </c>
      <c r="E531" s="52" t="s">
        <v>2948</v>
      </c>
      <c r="F531" s="53" t="s">
        <v>1070</v>
      </c>
      <c r="G531" s="179" t="s">
        <v>1429</v>
      </c>
      <c r="H531" s="180"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29" t="s">
        <v>776</v>
      </c>
      <c r="AR531" s="5"/>
      <c r="AS531" s="5"/>
      <c r="AT531" s="5"/>
      <c r="AU531" s="5"/>
      <c r="AV531" s="5"/>
      <c r="AW531" s="5"/>
      <c r="AX531" s="284"/>
      <c r="AY531" s="5"/>
      <c r="AZ531" s="5"/>
      <c r="BA531" s="230"/>
      <c r="BB531" s="5"/>
      <c r="BC531" s="232" t="s">
        <v>3536</v>
      </c>
      <c r="BD531" s="257"/>
      <c r="BE531" s="249"/>
      <c r="BF531" s="249"/>
      <c r="BG531" s="249"/>
      <c r="BH531" s="249"/>
      <c r="BI531" s="249"/>
      <c r="BJ531" s="249"/>
      <c r="BK531" s="249"/>
      <c r="BL531" s="249"/>
      <c r="BM531" s="249"/>
      <c r="BN531" s="249"/>
      <c r="BO531" s="249"/>
      <c r="BP531" s="249"/>
      <c r="BQ531" s="249"/>
      <c r="BR531" s="249"/>
      <c r="BS531" s="249"/>
      <c r="BT531" s="249"/>
      <c r="BU531" s="249"/>
      <c r="BV531" s="249"/>
      <c r="BW531" s="249"/>
      <c r="BX531" s="249"/>
      <c r="BY531" s="249"/>
      <c r="BZ531" s="249"/>
      <c r="CA531" s="249"/>
      <c r="CB531" s="249"/>
      <c r="CC531" s="249"/>
      <c r="CD531" s="249"/>
      <c r="CE531" s="249"/>
    </row>
    <row r="532" spans="1:83" s="84" customFormat="1" ht="12.95" customHeight="1">
      <c r="A532" s="1"/>
      <c r="B532" s="1"/>
      <c r="C532" s="21" t="s">
        <v>777</v>
      </c>
      <c r="D532" s="52" t="s">
        <v>2952</v>
      </c>
      <c r="E532" s="52" t="s">
        <v>2953</v>
      </c>
      <c r="F532" s="53" t="s">
        <v>1071</v>
      </c>
      <c r="G532" s="179" t="s">
        <v>1429</v>
      </c>
      <c r="H532" s="180"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29" t="s">
        <v>777</v>
      </c>
      <c r="AR532" s="5"/>
      <c r="AS532" s="5"/>
      <c r="AT532" s="5"/>
      <c r="AU532" s="5"/>
      <c r="AV532" s="5"/>
      <c r="AW532" s="5"/>
      <c r="AX532" s="284"/>
      <c r="AY532" s="5"/>
      <c r="AZ532" s="5"/>
      <c r="BA532" s="230"/>
      <c r="BB532" s="5"/>
      <c r="BC532" s="232" t="s">
        <v>3536</v>
      </c>
      <c r="BD532" s="257"/>
      <c r="BE532" s="249"/>
      <c r="BF532" s="249"/>
      <c r="BG532" s="249"/>
      <c r="BH532" s="249"/>
      <c r="BI532" s="249"/>
      <c r="BJ532" s="249"/>
      <c r="BK532" s="249"/>
      <c r="BL532" s="249"/>
      <c r="BM532" s="249"/>
      <c r="BN532" s="249"/>
      <c r="BO532" s="249"/>
      <c r="BP532" s="249"/>
      <c r="BQ532" s="249"/>
      <c r="BR532" s="249"/>
      <c r="BS532" s="249"/>
      <c r="BT532" s="249"/>
      <c r="BU532" s="249"/>
      <c r="BV532" s="249"/>
      <c r="BW532" s="249"/>
      <c r="BX532" s="249"/>
      <c r="BY532" s="249"/>
      <c r="BZ532" s="249"/>
      <c r="CA532" s="249"/>
      <c r="CB532" s="249"/>
      <c r="CC532" s="249"/>
      <c r="CD532" s="249"/>
      <c r="CE532" s="249"/>
    </row>
    <row r="533" spans="1:83" s="84" customFormat="1" ht="12.95" customHeight="1">
      <c r="A533" s="1"/>
      <c r="B533" s="1"/>
      <c r="C533" s="21" t="s">
        <v>778</v>
      </c>
      <c r="D533" s="52" t="s">
        <v>2955</v>
      </c>
      <c r="E533" s="52" t="s">
        <v>2956</v>
      </c>
      <c r="F533" s="53" t="s">
        <v>1072</v>
      </c>
      <c r="G533" s="179" t="s">
        <v>1429</v>
      </c>
      <c r="H533" s="180"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29" t="s">
        <v>778</v>
      </c>
      <c r="AR533" s="5"/>
      <c r="AS533" s="5"/>
      <c r="AT533" s="5"/>
      <c r="AU533" s="5"/>
      <c r="AV533" s="5"/>
      <c r="AW533" s="5"/>
      <c r="AX533" s="284"/>
      <c r="AY533" s="5"/>
      <c r="AZ533" s="5"/>
      <c r="BA533" s="230"/>
      <c r="BB533" s="5"/>
      <c r="BC533" s="232" t="s">
        <v>3536</v>
      </c>
      <c r="BD533" s="257"/>
      <c r="BE533" s="249"/>
      <c r="BF533" s="249"/>
      <c r="BG533" s="249"/>
      <c r="BH533" s="249"/>
      <c r="BI533" s="249"/>
      <c r="BJ533" s="249"/>
      <c r="BK533" s="249"/>
      <c r="BL533" s="249"/>
      <c r="BM533" s="249"/>
      <c r="BN533" s="249"/>
      <c r="BO533" s="249"/>
      <c r="BP533" s="249"/>
      <c r="BQ533" s="249"/>
      <c r="BR533" s="249"/>
      <c r="BS533" s="249"/>
      <c r="BT533" s="249"/>
      <c r="BU533" s="249"/>
      <c r="BV533" s="249"/>
      <c r="BW533" s="249"/>
      <c r="BX533" s="249"/>
      <c r="BY533" s="249"/>
      <c r="BZ533" s="249"/>
      <c r="CA533" s="249"/>
      <c r="CB533" s="249"/>
      <c r="CC533" s="249"/>
      <c r="CD533" s="249"/>
      <c r="CE533" s="249"/>
    </row>
    <row r="534" spans="1:83" s="84" customFormat="1" ht="12.95" customHeight="1">
      <c r="A534" s="1"/>
      <c r="B534" s="1"/>
      <c r="C534" s="18" t="s">
        <v>779</v>
      </c>
      <c r="D534" s="52" t="s">
        <v>2949</v>
      </c>
      <c r="E534" s="52" t="s">
        <v>2958</v>
      </c>
      <c r="F534" s="53" t="s">
        <v>1073</v>
      </c>
      <c r="G534" s="179" t="s">
        <v>1429</v>
      </c>
      <c r="H534" s="180"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29" t="s">
        <v>779</v>
      </c>
      <c r="AR534" s="5"/>
      <c r="AS534" s="5"/>
      <c r="AT534" s="5"/>
      <c r="AU534" s="5"/>
      <c r="AV534" s="5"/>
      <c r="AW534" s="5"/>
      <c r="AX534" s="284"/>
      <c r="AY534" s="5"/>
      <c r="AZ534" s="5"/>
      <c r="BA534" s="230"/>
      <c r="BB534" s="5"/>
      <c r="BC534" s="232" t="s">
        <v>3536</v>
      </c>
      <c r="BD534" s="257"/>
      <c r="BE534" s="249"/>
      <c r="BF534" s="249"/>
      <c r="BG534" s="249"/>
      <c r="BH534" s="249"/>
      <c r="BI534" s="249"/>
      <c r="BJ534" s="249"/>
      <c r="BK534" s="249"/>
      <c r="BL534" s="249"/>
      <c r="BM534" s="249"/>
      <c r="BN534" s="249"/>
      <c r="BO534" s="249"/>
      <c r="BP534" s="249"/>
      <c r="BQ534" s="249"/>
      <c r="BR534" s="249"/>
      <c r="BS534" s="249"/>
      <c r="BT534" s="249"/>
      <c r="BU534" s="249"/>
      <c r="BV534" s="249"/>
      <c r="BW534" s="249"/>
      <c r="BX534" s="249"/>
      <c r="BY534" s="249"/>
      <c r="BZ534" s="249"/>
      <c r="CA534" s="249"/>
      <c r="CB534" s="249"/>
      <c r="CC534" s="249"/>
      <c r="CD534" s="249"/>
      <c r="CE534" s="249"/>
    </row>
    <row r="535" spans="1:83" s="84" customFormat="1" ht="12.95" customHeight="1">
      <c r="A535" s="1"/>
      <c r="B535" s="1"/>
      <c r="C535" s="18" t="s">
        <v>780</v>
      </c>
      <c r="D535" s="52" t="s">
        <v>2960</v>
      </c>
      <c r="E535" s="52" t="s">
        <v>2961</v>
      </c>
      <c r="F535" s="53" t="s">
        <v>1074</v>
      </c>
      <c r="G535" s="179" t="s">
        <v>1429</v>
      </c>
      <c r="H535" s="180"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29" t="s">
        <v>780</v>
      </c>
      <c r="AR535" s="5"/>
      <c r="AS535" s="5"/>
      <c r="AT535" s="5"/>
      <c r="AU535" s="5"/>
      <c r="AV535" s="5"/>
      <c r="AW535" s="5"/>
      <c r="AX535" s="284"/>
      <c r="AY535" s="5"/>
      <c r="AZ535" s="5"/>
      <c r="BA535" s="230"/>
      <c r="BB535" s="5"/>
      <c r="BC535" s="232" t="s">
        <v>3536</v>
      </c>
      <c r="BD535" s="257"/>
      <c r="BE535" s="249"/>
      <c r="BF535" s="249"/>
      <c r="BG535" s="249"/>
      <c r="BH535" s="249"/>
      <c r="BI535" s="249"/>
      <c r="BJ535" s="249"/>
      <c r="BK535" s="249"/>
      <c r="BL535" s="249"/>
      <c r="BM535" s="249"/>
      <c r="BN535" s="249"/>
      <c r="BO535" s="249"/>
      <c r="BP535" s="249"/>
      <c r="BQ535" s="249"/>
      <c r="BR535" s="249"/>
      <c r="BS535" s="249"/>
      <c r="BT535" s="249"/>
      <c r="BU535" s="249"/>
      <c r="BV535" s="249"/>
      <c r="BW535" s="249"/>
      <c r="BX535" s="249"/>
      <c r="BY535" s="249"/>
      <c r="BZ535" s="249"/>
      <c r="CA535" s="249"/>
      <c r="CB535" s="249"/>
      <c r="CC535" s="249"/>
      <c r="CD535" s="249"/>
      <c r="CE535" s="249"/>
    </row>
    <row r="536" spans="1:83" s="84" customFormat="1" ht="12.95" customHeight="1">
      <c r="A536" s="1"/>
      <c r="B536" s="1"/>
      <c r="C536" s="18" t="s">
        <v>781</v>
      </c>
      <c r="D536" s="52" t="s">
        <v>2963</v>
      </c>
      <c r="E536" s="52" t="s">
        <v>2964</v>
      </c>
      <c r="F536" s="53" t="s">
        <v>1075</v>
      </c>
      <c r="G536" s="179" t="s">
        <v>1429</v>
      </c>
      <c r="H536" s="180"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29" t="s">
        <v>781</v>
      </c>
      <c r="AR536" s="5"/>
      <c r="AS536" s="5"/>
      <c r="AT536" s="5"/>
      <c r="AU536" s="5"/>
      <c r="AV536" s="5"/>
      <c r="AW536" s="5"/>
      <c r="AX536" s="284"/>
      <c r="AY536" s="5"/>
      <c r="AZ536" s="5"/>
      <c r="BA536" s="230"/>
      <c r="BB536" s="5"/>
      <c r="BC536" s="232" t="s">
        <v>3536</v>
      </c>
      <c r="BD536" s="257"/>
      <c r="BE536" s="249"/>
      <c r="BF536" s="249"/>
      <c r="BG536" s="249"/>
      <c r="BH536" s="249"/>
      <c r="BI536" s="249"/>
      <c r="BJ536" s="249"/>
      <c r="BK536" s="249"/>
      <c r="BL536" s="249"/>
      <c r="BM536" s="249"/>
      <c r="BN536" s="249"/>
      <c r="BO536" s="249"/>
      <c r="BP536" s="249"/>
      <c r="BQ536" s="249"/>
      <c r="BR536" s="249"/>
      <c r="BS536" s="249"/>
      <c r="BT536" s="249"/>
      <c r="BU536" s="249"/>
      <c r="BV536" s="249"/>
      <c r="BW536" s="249"/>
      <c r="BX536" s="249"/>
      <c r="BY536" s="249"/>
      <c r="BZ536" s="249"/>
      <c r="CA536" s="249"/>
      <c r="CB536" s="249"/>
      <c r="CC536" s="249"/>
      <c r="CD536" s="249"/>
      <c r="CE536" s="249"/>
    </row>
    <row r="537" spans="1:83" s="84" customFormat="1" ht="12.95" customHeight="1">
      <c r="A537" s="1"/>
      <c r="B537" s="1"/>
      <c r="C537" s="18" t="s">
        <v>782</v>
      </c>
      <c r="D537" s="52" t="s">
        <v>2966</v>
      </c>
      <c r="E537" s="52" t="s">
        <v>2967</v>
      </c>
      <c r="F537" s="53" t="s">
        <v>1076</v>
      </c>
      <c r="G537" s="179" t="s">
        <v>1429</v>
      </c>
      <c r="H537" s="180"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29" t="s">
        <v>782</v>
      </c>
      <c r="AR537" s="5"/>
      <c r="AS537" s="5"/>
      <c r="AT537" s="5"/>
      <c r="AU537" s="5"/>
      <c r="AV537" s="5"/>
      <c r="AW537" s="5"/>
      <c r="AX537" s="284"/>
      <c r="AY537" s="5"/>
      <c r="AZ537" s="5"/>
      <c r="BA537" s="230"/>
      <c r="BB537" s="5"/>
      <c r="BC537" s="232" t="s">
        <v>3536</v>
      </c>
      <c r="BD537" s="257"/>
      <c r="BE537" s="249"/>
      <c r="BF537" s="249"/>
      <c r="BG537" s="249"/>
      <c r="BH537" s="249"/>
      <c r="BI537" s="249"/>
      <c r="BJ537" s="249"/>
      <c r="BK537" s="249"/>
      <c r="BL537" s="249"/>
      <c r="BM537" s="249"/>
      <c r="BN537" s="249"/>
      <c r="BO537" s="249"/>
      <c r="BP537" s="249"/>
      <c r="BQ537" s="249"/>
      <c r="BR537" s="249"/>
      <c r="BS537" s="249"/>
      <c r="BT537" s="249"/>
      <c r="BU537" s="249"/>
      <c r="BV537" s="249"/>
      <c r="BW537" s="249"/>
      <c r="BX537" s="249"/>
      <c r="BY537" s="249"/>
      <c r="BZ537" s="249"/>
      <c r="CA537" s="249"/>
      <c r="CB537" s="249"/>
      <c r="CC537" s="249"/>
      <c r="CD537" s="249"/>
      <c r="CE537" s="249"/>
    </row>
    <row r="538" spans="1:83" s="84" customFormat="1" ht="12.95" customHeight="1">
      <c r="A538" s="1"/>
      <c r="B538" s="1"/>
      <c r="C538" s="18" t="s">
        <v>783</v>
      </c>
      <c r="D538" s="52" t="s">
        <v>2944</v>
      </c>
      <c r="E538" s="52" t="s">
        <v>2969</v>
      </c>
      <c r="F538" s="53" t="s">
        <v>1077</v>
      </c>
      <c r="G538" s="179" t="s">
        <v>1429</v>
      </c>
      <c r="H538" s="180"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29" t="s">
        <v>783</v>
      </c>
      <c r="AR538" s="5"/>
      <c r="AS538" s="5"/>
      <c r="AT538" s="5"/>
      <c r="AU538" s="5"/>
      <c r="AV538" s="5"/>
      <c r="AW538" s="5"/>
      <c r="AX538" s="284"/>
      <c r="AY538" s="5"/>
      <c r="AZ538" s="5"/>
      <c r="BA538" s="230"/>
      <c r="BB538" s="5"/>
      <c r="BC538" s="232" t="s">
        <v>3536</v>
      </c>
      <c r="BD538" s="257"/>
      <c r="BE538" s="249"/>
      <c r="BF538" s="249"/>
      <c r="BG538" s="249"/>
      <c r="BH538" s="249"/>
      <c r="BI538" s="249"/>
      <c r="BJ538" s="249"/>
      <c r="BK538" s="249"/>
      <c r="BL538" s="249"/>
      <c r="BM538" s="249"/>
      <c r="BN538" s="249"/>
      <c r="BO538" s="249"/>
      <c r="BP538" s="249"/>
      <c r="BQ538" s="249"/>
      <c r="BR538" s="249"/>
      <c r="BS538" s="249"/>
      <c r="BT538" s="249"/>
      <c r="BU538" s="249"/>
      <c r="BV538" s="249"/>
      <c r="BW538" s="249"/>
      <c r="BX538" s="249"/>
      <c r="BY538" s="249"/>
      <c r="BZ538" s="249"/>
      <c r="CA538" s="249"/>
      <c r="CB538" s="249"/>
      <c r="CC538" s="249"/>
      <c r="CD538" s="249"/>
      <c r="CE538" s="249"/>
    </row>
    <row r="539" spans="1:83" s="84" customFormat="1" ht="12.95" customHeight="1">
      <c r="A539" s="1"/>
      <c r="B539" s="1"/>
      <c r="C539" s="18" t="s">
        <v>784</v>
      </c>
      <c r="D539" s="52" t="s">
        <v>2971</v>
      </c>
      <c r="E539" s="52" t="s">
        <v>2972</v>
      </c>
      <c r="F539" s="53" t="s">
        <v>1078</v>
      </c>
      <c r="G539" s="179" t="s">
        <v>1429</v>
      </c>
      <c r="H539" s="180"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29" t="s">
        <v>784</v>
      </c>
      <c r="AR539" s="5"/>
      <c r="AS539" s="5"/>
      <c r="AT539" s="5"/>
      <c r="AU539" s="5"/>
      <c r="AV539" s="5"/>
      <c r="AW539" s="5"/>
      <c r="AX539" s="284"/>
      <c r="AY539" s="5"/>
      <c r="AZ539" s="5"/>
      <c r="BA539" s="230"/>
      <c r="BB539" s="5"/>
      <c r="BC539" s="232" t="s">
        <v>3536</v>
      </c>
      <c r="BD539" s="257"/>
      <c r="BE539" s="249"/>
      <c r="BF539" s="249"/>
      <c r="BG539" s="249"/>
      <c r="BH539" s="249"/>
      <c r="BI539" s="249"/>
      <c r="BJ539" s="249"/>
      <c r="BK539" s="249"/>
      <c r="BL539" s="249"/>
      <c r="BM539" s="249"/>
      <c r="BN539" s="249"/>
      <c r="BO539" s="249"/>
      <c r="BP539" s="249"/>
      <c r="BQ539" s="249"/>
      <c r="BR539" s="249"/>
      <c r="BS539" s="249"/>
      <c r="BT539" s="249"/>
      <c r="BU539" s="249"/>
      <c r="BV539" s="249"/>
      <c r="BW539" s="249"/>
      <c r="BX539" s="249"/>
      <c r="BY539" s="249"/>
      <c r="BZ539" s="249"/>
      <c r="CA539" s="249"/>
      <c r="CB539" s="249"/>
      <c r="CC539" s="249"/>
      <c r="CD539" s="249"/>
      <c r="CE539" s="249"/>
    </row>
    <row r="540" spans="1:83" s="84" customFormat="1" ht="12.95" customHeight="1">
      <c r="A540" s="1"/>
      <c r="B540" s="1"/>
      <c r="C540" s="18" t="s">
        <v>785</v>
      </c>
      <c r="D540" s="52" t="s">
        <v>2974</v>
      </c>
      <c r="E540" s="52" t="s">
        <v>2975</v>
      </c>
      <c r="F540" s="53" t="s">
        <v>1079</v>
      </c>
      <c r="G540" s="179" t="s">
        <v>1429</v>
      </c>
      <c r="H540" s="180"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29" t="s">
        <v>785</v>
      </c>
      <c r="AR540" s="5"/>
      <c r="AS540" s="5"/>
      <c r="AT540" s="5"/>
      <c r="AU540" s="5"/>
      <c r="AV540" s="5"/>
      <c r="AW540" s="5"/>
      <c r="AX540" s="284"/>
      <c r="AY540" s="5"/>
      <c r="AZ540" s="5"/>
      <c r="BA540" s="230"/>
      <c r="BB540" s="5"/>
      <c r="BC540" s="232" t="s">
        <v>3536</v>
      </c>
      <c r="BD540" s="257"/>
      <c r="BE540" s="249"/>
      <c r="BF540" s="249"/>
      <c r="BG540" s="249"/>
      <c r="BH540" s="249"/>
      <c r="BI540" s="249"/>
      <c r="BJ540" s="249"/>
      <c r="BK540" s="249"/>
      <c r="BL540" s="249"/>
      <c r="BM540" s="249"/>
      <c r="BN540" s="249"/>
      <c r="BO540" s="249"/>
      <c r="BP540" s="249"/>
      <c r="BQ540" s="249"/>
      <c r="BR540" s="249"/>
      <c r="BS540" s="249"/>
      <c r="BT540" s="249"/>
      <c r="BU540" s="249"/>
      <c r="BV540" s="249"/>
      <c r="BW540" s="249"/>
      <c r="BX540" s="249"/>
      <c r="BY540" s="249"/>
      <c r="BZ540" s="249"/>
      <c r="CA540" s="249"/>
      <c r="CB540" s="249"/>
      <c r="CC540" s="249"/>
      <c r="CD540" s="249"/>
      <c r="CE540" s="249"/>
    </row>
    <row r="541" spans="1:83" s="84" customFormat="1" ht="12.95" customHeight="1">
      <c r="A541" s="1"/>
      <c r="B541" s="1"/>
      <c r="C541" s="18" t="s">
        <v>786</v>
      </c>
      <c r="D541" s="52" t="s">
        <v>2977</v>
      </c>
      <c r="E541" s="52" t="s">
        <v>2978</v>
      </c>
      <c r="F541" s="53" t="s">
        <v>1080</v>
      </c>
      <c r="G541" s="179" t="s">
        <v>1429</v>
      </c>
      <c r="H541" s="180"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29" t="s">
        <v>786</v>
      </c>
      <c r="AR541" s="5"/>
      <c r="AS541" s="5"/>
      <c r="AT541" s="5"/>
      <c r="AU541" s="5"/>
      <c r="AV541" s="5"/>
      <c r="AW541" s="5"/>
      <c r="AX541" s="284"/>
      <c r="AY541" s="5"/>
      <c r="AZ541" s="5"/>
      <c r="BA541" s="230"/>
      <c r="BB541" s="5"/>
      <c r="BC541" s="232" t="s">
        <v>3536</v>
      </c>
      <c r="BD541" s="257"/>
      <c r="BE541" s="249"/>
      <c r="BF541" s="249"/>
      <c r="BG541" s="249"/>
      <c r="BH541" s="249"/>
      <c r="BI541" s="249"/>
      <c r="BJ541" s="249"/>
      <c r="BK541" s="249"/>
      <c r="BL541" s="249"/>
      <c r="BM541" s="249"/>
      <c r="BN541" s="249"/>
      <c r="BO541" s="249"/>
      <c r="BP541" s="249"/>
      <c r="BQ541" s="249"/>
      <c r="BR541" s="249"/>
      <c r="BS541" s="249"/>
      <c r="BT541" s="249"/>
      <c r="BU541" s="249"/>
      <c r="BV541" s="249"/>
      <c r="BW541" s="249"/>
      <c r="BX541" s="249"/>
      <c r="BY541" s="249"/>
      <c r="BZ541" s="249"/>
      <c r="CA541" s="249"/>
      <c r="CB541" s="249"/>
      <c r="CC541" s="249"/>
      <c r="CD541" s="249"/>
      <c r="CE541" s="249"/>
    </row>
    <row r="542" spans="1:83" s="84" customFormat="1" ht="12.95" customHeight="1">
      <c r="A542" s="1"/>
      <c r="B542" s="1"/>
      <c r="C542" s="18" t="s">
        <v>787</v>
      </c>
      <c r="D542" s="52" t="s">
        <v>2980</v>
      </c>
      <c r="E542" s="52" t="s">
        <v>2981</v>
      </c>
      <c r="F542" s="53" t="s">
        <v>1081</v>
      </c>
      <c r="G542" s="179" t="s">
        <v>1429</v>
      </c>
      <c r="H542" s="180"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29" t="s">
        <v>787</v>
      </c>
      <c r="AR542" s="5"/>
      <c r="AS542" s="5"/>
      <c r="AT542" s="5"/>
      <c r="AU542" s="5"/>
      <c r="AV542" s="5"/>
      <c r="AW542" s="5"/>
      <c r="AX542" s="284"/>
      <c r="AY542" s="5"/>
      <c r="AZ542" s="5"/>
      <c r="BA542" s="230"/>
      <c r="BB542" s="5"/>
      <c r="BC542" s="232" t="s">
        <v>3536</v>
      </c>
      <c r="BD542" s="257"/>
      <c r="BE542" s="249"/>
      <c r="BF542" s="249"/>
      <c r="BG542" s="249"/>
      <c r="BH542" s="249"/>
      <c r="BI542" s="249"/>
      <c r="BJ542" s="249"/>
      <c r="BK542" s="249"/>
      <c r="BL542" s="249"/>
      <c r="BM542" s="249"/>
      <c r="BN542" s="249"/>
      <c r="BO542" s="249"/>
      <c r="BP542" s="249"/>
      <c r="BQ542" s="249"/>
      <c r="BR542" s="249"/>
      <c r="BS542" s="249"/>
      <c r="BT542" s="249"/>
      <c r="BU542" s="249"/>
      <c r="BV542" s="249"/>
      <c r="BW542" s="249"/>
      <c r="BX542" s="249"/>
      <c r="BY542" s="249"/>
      <c r="BZ542" s="249"/>
      <c r="CA542" s="249"/>
      <c r="CB542" s="249"/>
      <c r="CC542" s="249"/>
      <c r="CD542" s="249"/>
      <c r="CE542" s="249"/>
    </row>
    <row r="543" spans="1:83" s="84" customFormat="1" ht="12.95" customHeight="1">
      <c r="A543" s="1"/>
      <c r="B543" s="1"/>
      <c r="C543" s="18" t="s">
        <v>788</v>
      </c>
      <c r="D543" s="52" t="s">
        <v>2981</v>
      </c>
      <c r="E543" s="52" t="s">
        <v>2983</v>
      </c>
      <c r="F543" s="53" t="s">
        <v>1082</v>
      </c>
      <c r="G543" s="179" t="s">
        <v>1429</v>
      </c>
      <c r="H543" s="180"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29" t="s">
        <v>788</v>
      </c>
      <c r="AR543" s="5"/>
      <c r="AS543" s="5"/>
      <c r="AT543" s="5"/>
      <c r="AU543" s="5"/>
      <c r="AV543" s="5"/>
      <c r="AW543" s="5"/>
      <c r="AX543" s="284"/>
      <c r="AY543" s="5"/>
      <c r="AZ543" s="5"/>
      <c r="BA543" s="230"/>
      <c r="BB543" s="5"/>
      <c r="BC543" s="232" t="s">
        <v>3536</v>
      </c>
      <c r="BD543" s="257"/>
      <c r="BE543" s="249"/>
      <c r="BF543" s="249"/>
      <c r="BG543" s="249"/>
      <c r="BH543" s="249"/>
      <c r="BI543" s="249"/>
      <c r="BJ543" s="249"/>
      <c r="BK543" s="249"/>
      <c r="BL543" s="249"/>
      <c r="BM543" s="249"/>
      <c r="BN543" s="249"/>
      <c r="BO543" s="249"/>
      <c r="BP543" s="249"/>
      <c r="BQ543" s="249"/>
      <c r="BR543" s="249"/>
      <c r="BS543" s="249"/>
      <c r="BT543" s="249"/>
      <c r="BU543" s="249"/>
      <c r="BV543" s="249"/>
      <c r="BW543" s="249"/>
      <c r="BX543" s="249"/>
      <c r="BY543" s="249"/>
      <c r="BZ543" s="249"/>
      <c r="CA543" s="249"/>
      <c r="CB543" s="249"/>
      <c r="CC543" s="249"/>
      <c r="CD543" s="249"/>
      <c r="CE543" s="249"/>
    </row>
    <row r="544" spans="1:83" s="84" customFormat="1" ht="12.95" customHeight="1">
      <c r="A544" s="1"/>
      <c r="B544" s="1"/>
      <c r="C544" s="21" t="s">
        <v>789</v>
      </c>
      <c r="D544" s="52" t="s">
        <v>2958</v>
      </c>
      <c r="E544" s="52" t="s">
        <v>2985</v>
      </c>
      <c r="F544" s="53" t="s">
        <v>1083</v>
      </c>
      <c r="G544" s="179" t="s">
        <v>1429</v>
      </c>
      <c r="H544" s="180"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29" t="s">
        <v>789</v>
      </c>
      <c r="AR544" s="5"/>
      <c r="AS544" s="5"/>
      <c r="AT544" s="5"/>
      <c r="AU544" s="5"/>
      <c r="AV544" s="5"/>
      <c r="AW544" s="5"/>
      <c r="AX544" s="284"/>
      <c r="AY544" s="5"/>
      <c r="AZ544" s="5"/>
      <c r="BA544" s="230"/>
      <c r="BB544" s="5"/>
      <c r="BC544" s="232" t="s">
        <v>3536</v>
      </c>
      <c r="BD544" s="257"/>
      <c r="BE544" s="249"/>
      <c r="BF544" s="249"/>
      <c r="BG544" s="249"/>
      <c r="BH544" s="249"/>
      <c r="BI544" s="249"/>
      <c r="BJ544" s="249"/>
      <c r="BK544" s="249"/>
      <c r="BL544" s="249"/>
      <c r="BM544" s="249"/>
      <c r="BN544" s="249"/>
      <c r="BO544" s="249"/>
      <c r="BP544" s="249"/>
      <c r="BQ544" s="249"/>
      <c r="BR544" s="249"/>
      <c r="BS544" s="249"/>
      <c r="BT544" s="249"/>
      <c r="BU544" s="249"/>
      <c r="BV544" s="249"/>
      <c r="BW544" s="249"/>
      <c r="BX544" s="249"/>
      <c r="BY544" s="249"/>
      <c r="BZ544" s="249"/>
      <c r="CA544" s="249"/>
      <c r="CB544" s="249"/>
      <c r="CC544" s="249"/>
      <c r="CD544" s="249"/>
      <c r="CE544" s="249"/>
    </row>
    <row r="545" spans="1:83" s="84" customFormat="1" ht="12.95" customHeight="1">
      <c r="A545" s="1"/>
      <c r="B545" s="1"/>
      <c r="C545" s="21" t="s">
        <v>790</v>
      </c>
      <c r="D545" s="52" t="s">
        <v>2946</v>
      </c>
      <c r="E545" s="52" t="s">
        <v>2987</v>
      </c>
      <c r="F545" s="53" t="s">
        <v>1084</v>
      </c>
      <c r="G545" s="179" t="s">
        <v>1429</v>
      </c>
      <c r="H545" s="180"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29" t="s">
        <v>790</v>
      </c>
      <c r="AR545" s="5"/>
      <c r="AS545" s="5"/>
      <c r="AT545" s="5"/>
      <c r="AU545" s="5"/>
      <c r="AV545" s="5"/>
      <c r="AW545" s="5"/>
      <c r="AX545" s="284"/>
      <c r="AY545" s="5"/>
      <c r="AZ545" s="5"/>
      <c r="BA545" s="230"/>
      <c r="BB545" s="5"/>
      <c r="BC545" s="232" t="s">
        <v>3536</v>
      </c>
      <c r="BD545" s="257"/>
      <c r="BE545" s="249"/>
      <c r="BF545" s="249"/>
      <c r="BG545" s="249"/>
      <c r="BH545" s="249"/>
      <c r="BI545" s="249"/>
      <c r="BJ545" s="249"/>
      <c r="BK545" s="249"/>
      <c r="BL545" s="249"/>
      <c r="BM545" s="249"/>
      <c r="BN545" s="249"/>
      <c r="BO545" s="249"/>
      <c r="BP545" s="249"/>
      <c r="BQ545" s="249"/>
      <c r="BR545" s="249"/>
      <c r="BS545" s="249"/>
      <c r="BT545" s="249"/>
      <c r="BU545" s="249"/>
      <c r="BV545" s="249"/>
      <c r="BW545" s="249"/>
      <c r="BX545" s="249"/>
      <c r="BY545" s="249"/>
      <c r="BZ545" s="249"/>
      <c r="CA545" s="249"/>
      <c r="CB545" s="249"/>
      <c r="CC545" s="249"/>
      <c r="CD545" s="249"/>
      <c r="CE545" s="249"/>
    </row>
    <row r="546" spans="1:83" s="84" customFormat="1" ht="12.95" customHeight="1">
      <c r="A546" s="1"/>
      <c r="B546" s="1"/>
      <c r="C546" s="18" t="s">
        <v>791</v>
      </c>
      <c r="D546" s="52" t="s">
        <v>2989</v>
      </c>
      <c r="E546" s="52" t="s">
        <v>2990</v>
      </c>
      <c r="F546" s="53" t="s">
        <v>1085</v>
      </c>
      <c r="G546" s="179" t="s">
        <v>1429</v>
      </c>
      <c r="H546" s="180"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29" t="s">
        <v>791</v>
      </c>
      <c r="AR546" s="5"/>
      <c r="AS546" s="5"/>
      <c r="AT546" s="5"/>
      <c r="AU546" s="5"/>
      <c r="AV546" s="5"/>
      <c r="AW546" s="5"/>
      <c r="AX546" s="284"/>
      <c r="AY546" s="5"/>
      <c r="AZ546" s="5"/>
      <c r="BA546" s="230"/>
      <c r="BB546" s="5"/>
      <c r="BC546" s="232" t="s">
        <v>3536</v>
      </c>
      <c r="BD546" s="257"/>
      <c r="BE546" s="249"/>
      <c r="BF546" s="249"/>
      <c r="BG546" s="249"/>
      <c r="BH546" s="249"/>
      <c r="BI546" s="249"/>
      <c r="BJ546" s="249"/>
      <c r="BK546" s="249"/>
      <c r="BL546" s="249"/>
      <c r="BM546" s="249"/>
      <c r="BN546" s="249"/>
      <c r="BO546" s="249"/>
      <c r="BP546" s="249"/>
      <c r="BQ546" s="249"/>
      <c r="BR546" s="249"/>
      <c r="BS546" s="249"/>
      <c r="BT546" s="249"/>
      <c r="BU546" s="249"/>
      <c r="BV546" s="249"/>
      <c r="BW546" s="249"/>
      <c r="BX546" s="249"/>
      <c r="BY546" s="249"/>
      <c r="BZ546" s="249"/>
      <c r="CA546" s="249"/>
      <c r="CB546" s="249"/>
      <c r="CC546" s="249"/>
      <c r="CD546" s="249"/>
      <c r="CE546" s="249"/>
    </row>
    <row r="547" spans="1:83" s="84" customFormat="1" ht="12.95" customHeight="1">
      <c r="A547" s="1"/>
      <c r="B547" s="1"/>
      <c r="C547" s="18" t="s">
        <v>792</v>
      </c>
      <c r="D547" s="52" t="s">
        <v>2992</v>
      </c>
      <c r="E547" s="52" t="s">
        <v>2993</v>
      </c>
      <c r="F547" s="53" t="s">
        <v>1086</v>
      </c>
      <c r="G547" s="179" t="s">
        <v>1429</v>
      </c>
      <c r="H547" s="180"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29" t="s">
        <v>792</v>
      </c>
      <c r="AR547" s="5"/>
      <c r="AS547" s="5"/>
      <c r="AT547" s="5"/>
      <c r="AU547" s="5"/>
      <c r="AV547" s="5"/>
      <c r="AW547" s="5"/>
      <c r="AX547" s="284"/>
      <c r="AY547" s="5"/>
      <c r="AZ547" s="5"/>
      <c r="BA547" s="230"/>
      <c r="BB547" s="5"/>
      <c r="BC547" s="232" t="s">
        <v>3536</v>
      </c>
      <c r="BD547" s="257"/>
      <c r="BE547" s="249"/>
      <c r="BF547" s="249"/>
      <c r="BG547" s="249"/>
      <c r="BH547" s="249"/>
      <c r="BI547" s="249"/>
      <c r="BJ547" s="249"/>
      <c r="BK547" s="249"/>
      <c r="BL547" s="249"/>
      <c r="BM547" s="249"/>
      <c r="BN547" s="249"/>
      <c r="BO547" s="249"/>
      <c r="BP547" s="249"/>
      <c r="BQ547" s="249"/>
      <c r="BR547" s="249"/>
      <c r="BS547" s="249"/>
      <c r="BT547" s="249"/>
      <c r="BU547" s="249"/>
      <c r="BV547" s="249"/>
      <c r="BW547" s="249"/>
      <c r="BX547" s="249"/>
      <c r="BY547" s="249"/>
      <c r="BZ547" s="249"/>
      <c r="CA547" s="249"/>
      <c r="CB547" s="249"/>
      <c r="CC547" s="249"/>
      <c r="CD547" s="249"/>
      <c r="CE547" s="249"/>
    </row>
    <row r="548" spans="1:83" s="84" customFormat="1" ht="12.95" customHeight="1">
      <c r="A548" s="1"/>
      <c r="B548" s="1"/>
      <c r="C548" s="18" t="s">
        <v>793</v>
      </c>
      <c r="D548" s="52" t="s">
        <v>2995</v>
      </c>
      <c r="E548" s="52" t="s">
        <v>2996</v>
      </c>
      <c r="F548" s="53" t="s">
        <v>1087</v>
      </c>
      <c r="G548" s="179" t="s">
        <v>1429</v>
      </c>
      <c r="H548" s="180"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29" t="s">
        <v>793</v>
      </c>
      <c r="AR548" s="5"/>
      <c r="AS548" s="5"/>
      <c r="AT548" s="5"/>
      <c r="AU548" s="5"/>
      <c r="AV548" s="5"/>
      <c r="AW548" s="5"/>
      <c r="AX548" s="284"/>
      <c r="AY548" s="5"/>
      <c r="AZ548" s="5"/>
      <c r="BA548" s="230"/>
      <c r="BB548" s="5"/>
      <c r="BC548" s="232" t="s">
        <v>3536</v>
      </c>
      <c r="BD548" s="257"/>
      <c r="BE548" s="249"/>
      <c r="BF548" s="249"/>
      <c r="BG548" s="249"/>
      <c r="BH548" s="249"/>
      <c r="BI548" s="249"/>
      <c r="BJ548" s="249"/>
      <c r="BK548" s="249"/>
      <c r="BL548" s="249"/>
      <c r="BM548" s="249"/>
      <c r="BN548" s="249"/>
      <c r="BO548" s="249"/>
      <c r="BP548" s="249"/>
      <c r="BQ548" s="249"/>
      <c r="BR548" s="249"/>
      <c r="BS548" s="249"/>
      <c r="BT548" s="249"/>
      <c r="BU548" s="249"/>
      <c r="BV548" s="249"/>
      <c r="BW548" s="249"/>
      <c r="BX548" s="249"/>
      <c r="BY548" s="249"/>
      <c r="BZ548" s="249"/>
      <c r="CA548" s="249"/>
      <c r="CB548" s="249"/>
      <c r="CC548" s="249"/>
      <c r="CD548" s="249"/>
      <c r="CE548" s="249"/>
    </row>
    <row r="549" spans="1:83" s="84" customFormat="1" ht="12.95" customHeight="1">
      <c r="A549" s="1"/>
      <c r="B549" s="1"/>
      <c r="C549" s="18" t="s">
        <v>794</v>
      </c>
      <c r="D549" s="52" t="s">
        <v>2998</v>
      </c>
      <c r="E549" s="52" t="s">
        <v>2999</v>
      </c>
      <c r="F549" s="53" t="s">
        <v>1088</v>
      </c>
      <c r="G549" s="179" t="s">
        <v>1429</v>
      </c>
      <c r="H549" s="180"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29" t="s">
        <v>794</v>
      </c>
      <c r="AR549" s="5"/>
      <c r="AS549" s="5"/>
      <c r="AT549" s="5"/>
      <c r="AU549" s="5"/>
      <c r="AV549" s="5"/>
      <c r="AW549" s="5"/>
      <c r="AX549" s="284"/>
      <c r="AY549" s="5"/>
      <c r="AZ549" s="5"/>
      <c r="BA549" s="230"/>
      <c r="BB549" s="5"/>
      <c r="BC549" s="232" t="s">
        <v>3536</v>
      </c>
      <c r="BD549" s="257"/>
      <c r="BE549" s="249"/>
      <c r="BF549" s="249"/>
      <c r="BG549" s="249"/>
      <c r="BH549" s="249"/>
      <c r="BI549" s="249"/>
      <c r="BJ549" s="249"/>
      <c r="BK549" s="249"/>
      <c r="BL549" s="249"/>
      <c r="BM549" s="249"/>
      <c r="BN549" s="249"/>
      <c r="BO549" s="249"/>
      <c r="BP549" s="249"/>
      <c r="BQ549" s="249"/>
      <c r="BR549" s="249"/>
      <c r="BS549" s="249"/>
      <c r="BT549" s="249"/>
      <c r="BU549" s="249"/>
      <c r="BV549" s="249"/>
      <c r="BW549" s="249"/>
      <c r="BX549" s="249"/>
      <c r="BY549" s="249"/>
      <c r="BZ549" s="249"/>
      <c r="CA549" s="249"/>
      <c r="CB549" s="249"/>
      <c r="CC549" s="249"/>
      <c r="CD549" s="249"/>
      <c r="CE549" s="249"/>
    </row>
    <row r="550" spans="1:83" s="84" customFormat="1" ht="12.95" customHeight="1">
      <c r="A550" s="1"/>
      <c r="B550" s="1"/>
      <c r="C550" s="18" t="s">
        <v>795</v>
      </c>
      <c r="D550" s="52" t="s">
        <v>3001</v>
      </c>
      <c r="E550" s="52" t="s">
        <v>3002</v>
      </c>
      <c r="F550" s="53" t="s">
        <v>1089</v>
      </c>
      <c r="G550" s="179" t="s">
        <v>1429</v>
      </c>
      <c r="H550" s="180"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29" t="s">
        <v>795</v>
      </c>
      <c r="AR550" s="5"/>
      <c r="AS550" s="5"/>
      <c r="AT550" s="5"/>
      <c r="AU550" s="5"/>
      <c r="AV550" s="5"/>
      <c r="AW550" s="5"/>
      <c r="AX550" s="284"/>
      <c r="AY550" s="5"/>
      <c r="AZ550" s="5"/>
      <c r="BA550" s="230"/>
      <c r="BB550" s="5"/>
      <c r="BC550" s="232" t="s">
        <v>3536</v>
      </c>
      <c r="BD550" s="257"/>
      <c r="BE550" s="249"/>
      <c r="BF550" s="249"/>
      <c r="BG550" s="249"/>
      <c r="BH550" s="249"/>
      <c r="BI550" s="249"/>
      <c r="BJ550" s="249"/>
      <c r="BK550" s="249"/>
      <c r="BL550" s="249"/>
      <c r="BM550" s="249"/>
      <c r="BN550" s="249"/>
      <c r="BO550" s="249"/>
      <c r="BP550" s="249"/>
      <c r="BQ550" s="249"/>
      <c r="BR550" s="249"/>
      <c r="BS550" s="249"/>
      <c r="BT550" s="249"/>
      <c r="BU550" s="249"/>
      <c r="BV550" s="249"/>
      <c r="BW550" s="249"/>
      <c r="BX550" s="249"/>
      <c r="BY550" s="249"/>
      <c r="BZ550" s="249"/>
      <c r="CA550" s="249"/>
      <c r="CB550" s="249"/>
      <c r="CC550" s="249"/>
      <c r="CD550" s="249"/>
      <c r="CE550" s="249"/>
    </row>
    <row r="551" spans="1:83" s="84" customFormat="1" ht="12.95" customHeight="1">
      <c r="A551" s="1"/>
      <c r="B551" s="1"/>
      <c r="C551" s="18" t="s">
        <v>796</v>
      </c>
      <c r="D551" s="52" t="s">
        <v>3004</v>
      </c>
      <c r="E551" s="52" t="s">
        <v>3005</v>
      </c>
      <c r="F551" s="53" t="s">
        <v>1090</v>
      </c>
      <c r="G551" s="179" t="s">
        <v>1429</v>
      </c>
      <c r="H551" s="180"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29" t="s">
        <v>796</v>
      </c>
      <c r="AR551" s="5"/>
      <c r="AS551" s="5"/>
      <c r="AT551" s="5"/>
      <c r="AU551" s="5"/>
      <c r="AV551" s="5"/>
      <c r="AW551" s="5"/>
      <c r="AX551" s="284"/>
      <c r="AY551" s="5"/>
      <c r="AZ551" s="5"/>
      <c r="BA551" s="230"/>
      <c r="BB551" s="5"/>
      <c r="BC551" s="232" t="s">
        <v>3536</v>
      </c>
      <c r="BD551" s="257"/>
      <c r="BE551" s="249"/>
      <c r="BF551" s="249"/>
      <c r="BG551" s="249"/>
      <c r="BH551" s="249"/>
      <c r="BI551" s="249"/>
      <c r="BJ551" s="249"/>
      <c r="BK551" s="249"/>
      <c r="BL551" s="249"/>
      <c r="BM551" s="249"/>
      <c r="BN551" s="249"/>
      <c r="BO551" s="249"/>
      <c r="BP551" s="249"/>
      <c r="BQ551" s="249"/>
      <c r="BR551" s="249"/>
      <c r="BS551" s="249"/>
      <c r="BT551" s="249"/>
      <c r="BU551" s="249"/>
      <c r="BV551" s="249"/>
      <c r="BW551" s="249"/>
      <c r="BX551" s="249"/>
      <c r="BY551" s="249"/>
      <c r="BZ551" s="249"/>
      <c r="CA551" s="249"/>
      <c r="CB551" s="249"/>
      <c r="CC551" s="249"/>
      <c r="CD551" s="249"/>
      <c r="CE551" s="249"/>
    </row>
    <row r="552" spans="1:83" s="84" customFormat="1" ht="12.95" customHeight="1">
      <c r="A552" s="1"/>
      <c r="B552" s="1"/>
      <c r="C552" s="18" t="s">
        <v>797</v>
      </c>
      <c r="D552" s="52" t="s">
        <v>3007</v>
      </c>
      <c r="E552" s="52" t="s">
        <v>3007</v>
      </c>
      <c r="F552" s="53" t="s">
        <v>1091</v>
      </c>
      <c r="G552" s="179" t="s">
        <v>1429</v>
      </c>
      <c r="H552" s="180"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29" t="s">
        <v>797</v>
      </c>
      <c r="AR552" s="5"/>
      <c r="AS552" s="5"/>
      <c r="AT552" s="5"/>
      <c r="AU552" s="5"/>
      <c r="AV552" s="5"/>
      <c r="AW552" s="5"/>
      <c r="AX552" s="284"/>
      <c r="AY552" s="5"/>
      <c r="AZ552" s="5"/>
      <c r="BA552" s="230"/>
      <c r="BB552" s="5"/>
      <c r="BC552" s="232" t="s">
        <v>3536</v>
      </c>
      <c r="BD552" s="257"/>
      <c r="BE552" s="249"/>
      <c r="BF552" s="249"/>
      <c r="BG552" s="249"/>
      <c r="BH552" s="249"/>
      <c r="BI552" s="249"/>
      <c r="BJ552" s="249"/>
      <c r="BK552" s="249"/>
      <c r="BL552" s="249"/>
      <c r="BM552" s="249"/>
      <c r="BN552" s="249"/>
      <c r="BO552" s="249"/>
      <c r="BP552" s="249"/>
      <c r="BQ552" s="249"/>
      <c r="BR552" s="249"/>
      <c r="BS552" s="249"/>
      <c r="BT552" s="249"/>
      <c r="BU552" s="249"/>
      <c r="BV552" s="249"/>
      <c r="BW552" s="249"/>
      <c r="BX552" s="249"/>
      <c r="BY552" s="249"/>
      <c r="BZ552" s="249"/>
      <c r="CA552" s="249"/>
      <c r="CB552" s="249"/>
      <c r="CC552" s="249"/>
      <c r="CD552" s="249"/>
      <c r="CE552" s="249"/>
    </row>
    <row r="553" spans="1:83" s="84" customFormat="1" ht="12.95" customHeight="1">
      <c r="A553" s="1"/>
      <c r="B553" s="1"/>
      <c r="C553" s="18" t="s">
        <v>798</v>
      </c>
      <c r="D553" s="52" t="s">
        <v>3002</v>
      </c>
      <c r="E553" s="52" t="s">
        <v>3009</v>
      </c>
      <c r="F553" s="53" t="s">
        <v>1092</v>
      </c>
      <c r="G553" s="179" t="s">
        <v>1429</v>
      </c>
      <c r="H553" s="180"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29" t="s">
        <v>798</v>
      </c>
      <c r="AR553" s="5"/>
      <c r="AS553" s="5"/>
      <c r="AT553" s="5"/>
      <c r="AU553" s="5"/>
      <c r="AV553" s="5"/>
      <c r="AW553" s="5"/>
      <c r="AX553" s="284"/>
      <c r="AY553" s="5"/>
      <c r="AZ553" s="5"/>
      <c r="BA553" s="230"/>
      <c r="BB553" s="5"/>
      <c r="BC553" s="232" t="s">
        <v>3536</v>
      </c>
      <c r="BD553" s="257"/>
      <c r="BE553" s="249"/>
      <c r="BF553" s="249"/>
      <c r="BG553" s="249"/>
      <c r="BH553" s="249"/>
      <c r="BI553" s="249"/>
      <c r="BJ553" s="249"/>
      <c r="BK553" s="249"/>
      <c r="BL553" s="249"/>
      <c r="BM553" s="249"/>
      <c r="BN553" s="249"/>
      <c r="BO553" s="249"/>
      <c r="BP553" s="249"/>
      <c r="BQ553" s="249"/>
      <c r="BR553" s="249"/>
      <c r="BS553" s="249"/>
      <c r="BT553" s="249"/>
      <c r="BU553" s="249"/>
      <c r="BV553" s="249"/>
      <c r="BW553" s="249"/>
      <c r="BX553" s="249"/>
      <c r="BY553" s="249"/>
      <c r="BZ553" s="249"/>
      <c r="CA553" s="249"/>
      <c r="CB553" s="249"/>
      <c r="CC553" s="249"/>
      <c r="CD553" s="249"/>
      <c r="CE553" s="249"/>
    </row>
    <row r="554" spans="1:83" s="84" customFormat="1" ht="12.95" customHeight="1">
      <c r="A554" s="1"/>
      <c r="B554" s="1"/>
      <c r="C554" s="18" t="s">
        <v>799</v>
      </c>
      <c r="D554" s="52" t="s">
        <v>3011</v>
      </c>
      <c r="E554" s="52" t="s">
        <v>3012</v>
      </c>
      <c r="F554" s="53" t="s">
        <v>1093</v>
      </c>
      <c r="G554" s="179" t="s">
        <v>1429</v>
      </c>
      <c r="H554" s="180"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29" t="s">
        <v>799</v>
      </c>
      <c r="AR554" s="5"/>
      <c r="AS554" s="5"/>
      <c r="AT554" s="5"/>
      <c r="AU554" s="5"/>
      <c r="AV554" s="5"/>
      <c r="AW554" s="5"/>
      <c r="AX554" s="284"/>
      <c r="AY554" s="5"/>
      <c r="AZ554" s="5"/>
      <c r="BA554" s="230"/>
      <c r="BB554" s="5"/>
      <c r="BC554" s="232" t="s">
        <v>3536</v>
      </c>
      <c r="BD554" s="257"/>
      <c r="BE554" s="249"/>
      <c r="BF554" s="249"/>
      <c r="BG554" s="249"/>
      <c r="BH554" s="249"/>
      <c r="BI554" s="249"/>
      <c r="BJ554" s="249"/>
      <c r="BK554" s="249"/>
      <c r="BL554" s="249"/>
      <c r="BM554" s="249"/>
      <c r="BN554" s="249"/>
      <c r="BO554" s="249"/>
      <c r="BP554" s="249"/>
      <c r="BQ554" s="249"/>
      <c r="BR554" s="249"/>
      <c r="BS554" s="249"/>
      <c r="BT554" s="249"/>
      <c r="BU554" s="249"/>
      <c r="BV554" s="249"/>
      <c r="BW554" s="249"/>
      <c r="BX554" s="249"/>
      <c r="BY554" s="249"/>
      <c r="BZ554" s="249"/>
      <c r="CA554" s="249"/>
      <c r="CB554" s="249"/>
      <c r="CC554" s="249"/>
      <c r="CD554" s="249"/>
      <c r="CE554" s="249"/>
    </row>
    <row r="555" spans="1:83" s="84" customFormat="1" ht="12.95" customHeight="1">
      <c r="A555" s="1"/>
      <c r="B555" s="1"/>
      <c r="C555" s="18" t="s">
        <v>800</v>
      </c>
      <c r="D555" s="52" t="s">
        <v>3014</v>
      </c>
      <c r="E555" s="52" t="s">
        <v>3015</v>
      </c>
      <c r="F555" s="53" t="s">
        <v>1094</v>
      </c>
      <c r="G555" s="179" t="s">
        <v>1429</v>
      </c>
      <c r="H555" s="180"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29" t="s">
        <v>800</v>
      </c>
      <c r="AR555" s="5"/>
      <c r="AS555" s="5"/>
      <c r="AT555" s="5"/>
      <c r="AU555" s="5"/>
      <c r="AV555" s="5"/>
      <c r="AW555" s="5"/>
      <c r="AX555" s="284"/>
      <c r="AY555" s="5"/>
      <c r="AZ555" s="5"/>
      <c r="BA555" s="230"/>
      <c r="BB555" s="5"/>
      <c r="BC555" s="232" t="s">
        <v>3536</v>
      </c>
      <c r="BD555" s="257"/>
      <c r="BE555" s="249"/>
      <c r="BF555" s="249"/>
      <c r="BG555" s="249"/>
      <c r="BH555" s="249"/>
      <c r="BI555" s="249"/>
      <c r="BJ555" s="249"/>
      <c r="BK555" s="249"/>
      <c r="BL555" s="249"/>
      <c r="BM555" s="249"/>
      <c r="BN555" s="249"/>
      <c r="BO555" s="249"/>
      <c r="BP555" s="249"/>
      <c r="BQ555" s="249"/>
      <c r="BR555" s="249"/>
      <c r="BS555" s="249"/>
      <c r="BT555" s="249"/>
      <c r="BU555" s="249"/>
      <c r="BV555" s="249"/>
      <c r="BW555" s="249"/>
      <c r="BX555" s="249"/>
      <c r="BY555" s="249"/>
      <c r="BZ555" s="249"/>
      <c r="CA555" s="249"/>
      <c r="CB555" s="249"/>
      <c r="CC555" s="249"/>
      <c r="CD555" s="249"/>
      <c r="CE555" s="249"/>
    </row>
    <row r="556" spans="1:83" s="84" customFormat="1" ht="12.95" customHeight="1">
      <c r="A556" s="1"/>
      <c r="B556" s="1"/>
      <c r="C556" s="21" t="s">
        <v>801</v>
      </c>
      <c r="D556" s="52" t="s">
        <v>2969</v>
      </c>
      <c r="E556" s="52" t="s">
        <v>3017</v>
      </c>
      <c r="F556" s="53" t="s">
        <v>1095</v>
      </c>
      <c r="G556" s="179" t="s">
        <v>1429</v>
      </c>
      <c r="H556" s="180"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29" t="s">
        <v>801</v>
      </c>
      <c r="AR556" s="5"/>
      <c r="AS556" s="5"/>
      <c r="AT556" s="5"/>
      <c r="AU556" s="5"/>
      <c r="AV556" s="5"/>
      <c r="AW556" s="5"/>
      <c r="AX556" s="284"/>
      <c r="AY556" s="5"/>
      <c r="AZ556" s="5"/>
      <c r="BA556" s="230"/>
      <c r="BB556" s="5"/>
      <c r="BC556" s="232" t="s">
        <v>3536</v>
      </c>
      <c r="BD556" s="257"/>
      <c r="BE556" s="249"/>
      <c r="BF556" s="249"/>
      <c r="BG556" s="249"/>
      <c r="BH556" s="249"/>
      <c r="BI556" s="249"/>
      <c r="BJ556" s="249"/>
      <c r="BK556" s="249"/>
      <c r="BL556" s="249"/>
      <c r="BM556" s="249"/>
      <c r="BN556" s="249"/>
      <c r="BO556" s="249"/>
      <c r="BP556" s="249"/>
      <c r="BQ556" s="249"/>
      <c r="BR556" s="249"/>
      <c r="BS556" s="249"/>
      <c r="BT556" s="249"/>
      <c r="BU556" s="249"/>
      <c r="BV556" s="249"/>
      <c r="BW556" s="249"/>
      <c r="BX556" s="249"/>
      <c r="BY556" s="249"/>
      <c r="BZ556" s="249"/>
      <c r="CA556" s="249"/>
      <c r="CB556" s="249"/>
      <c r="CC556" s="249"/>
      <c r="CD556" s="249"/>
      <c r="CE556" s="249"/>
    </row>
    <row r="557" spans="1:83" s="84" customFormat="1" ht="12.95" customHeight="1">
      <c r="A557" s="1"/>
      <c r="B557" s="1"/>
      <c r="C557" s="21" t="s">
        <v>802</v>
      </c>
      <c r="D557" s="52" t="s">
        <v>2967</v>
      </c>
      <c r="E557" s="52" t="s">
        <v>3019</v>
      </c>
      <c r="F557" s="53" t="s">
        <v>1096</v>
      </c>
      <c r="G557" s="179" t="s">
        <v>1429</v>
      </c>
      <c r="H557" s="180"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29" t="s">
        <v>802</v>
      </c>
      <c r="AR557" s="5"/>
      <c r="AS557" s="5"/>
      <c r="AT557" s="5"/>
      <c r="AU557" s="5"/>
      <c r="AV557" s="5"/>
      <c r="AW557" s="5"/>
      <c r="AX557" s="284"/>
      <c r="AY557" s="5"/>
      <c r="AZ557" s="5"/>
      <c r="BA557" s="230"/>
      <c r="BB557" s="5"/>
      <c r="BC557" s="232" t="s">
        <v>3536</v>
      </c>
      <c r="BD557" s="257"/>
      <c r="BE557" s="249"/>
      <c r="BF557" s="249"/>
      <c r="BG557" s="249"/>
      <c r="BH557" s="249"/>
      <c r="BI557" s="249"/>
      <c r="BJ557" s="249"/>
      <c r="BK557" s="249"/>
      <c r="BL557" s="249"/>
      <c r="BM557" s="249"/>
      <c r="BN557" s="249"/>
      <c r="BO557" s="249"/>
      <c r="BP557" s="249"/>
      <c r="BQ557" s="249"/>
      <c r="BR557" s="249"/>
      <c r="BS557" s="249"/>
      <c r="BT557" s="249"/>
      <c r="BU557" s="249"/>
      <c r="BV557" s="249"/>
      <c r="BW557" s="249"/>
      <c r="BX557" s="249"/>
      <c r="BY557" s="249"/>
      <c r="BZ557" s="249"/>
      <c r="CA557" s="249"/>
      <c r="CB557" s="249"/>
      <c r="CC557" s="249"/>
      <c r="CD557" s="249"/>
      <c r="CE557" s="249"/>
    </row>
    <row r="558" spans="1:83" s="84" customFormat="1" ht="12.95" customHeight="1">
      <c r="A558" s="1"/>
      <c r="B558" s="1"/>
      <c r="C558" s="18" t="s">
        <v>803</v>
      </c>
      <c r="D558" s="52" t="s">
        <v>3015</v>
      </c>
      <c r="E558" s="52" t="s">
        <v>3021</v>
      </c>
      <c r="F558" s="53" t="s">
        <v>1097</v>
      </c>
      <c r="G558" s="179" t="s">
        <v>1429</v>
      </c>
      <c r="H558" s="180"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29" t="s">
        <v>803</v>
      </c>
      <c r="AR558" s="5"/>
      <c r="AS558" s="5"/>
      <c r="AT558" s="5"/>
      <c r="AU558" s="5"/>
      <c r="AV558" s="5"/>
      <c r="AW558" s="5"/>
      <c r="AX558" s="284"/>
      <c r="AY558" s="5"/>
      <c r="AZ558" s="5"/>
      <c r="BA558" s="230"/>
      <c r="BB558" s="5"/>
      <c r="BC558" s="232" t="s">
        <v>3536</v>
      </c>
      <c r="BD558" s="257"/>
      <c r="BE558" s="249"/>
      <c r="BF558" s="249"/>
      <c r="BG558" s="249"/>
      <c r="BH558" s="249"/>
      <c r="BI558" s="249"/>
      <c r="BJ558" s="249"/>
      <c r="BK558" s="249"/>
      <c r="BL558" s="249"/>
      <c r="BM558" s="249"/>
      <c r="BN558" s="249"/>
      <c r="BO558" s="249"/>
      <c r="BP558" s="249"/>
      <c r="BQ558" s="249"/>
      <c r="BR558" s="249"/>
      <c r="BS558" s="249"/>
      <c r="BT558" s="249"/>
      <c r="BU558" s="249"/>
      <c r="BV558" s="249"/>
      <c r="BW558" s="249"/>
      <c r="BX558" s="249"/>
      <c r="BY558" s="249"/>
      <c r="BZ558" s="249"/>
      <c r="CA558" s="249"/>
      <c r="CB558" s="249"/>
      <c r="CC558" s="249"/>
      <c r="CD558" s="249"/>
      <c r="CE558" s="249"/>
    </row>
    <row r="559" spans="1:83" s="84" customFormat="1" ht="12.95" customHeight="1">
      <c r="A559" s="1"/>
      <c r="B559" s="1"/>
      <c r="C559" s="18" t="s">
        <v>804</v>
      </c>
      <c r="D559" s="52" t="s">
        <v>3023</v>
      </c>
      <c r="E559" s="52" t="s">
        <v>3024</v>
      </c>
      <c r="F559" s="53" t="s">
        <v>1098</v>
      </c>
      <c r="G559" s="179" t="s">
        <v>1429</v>
      </c>
      <c r="H559" s="180"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29" t="s">
        <v>804</v>
      </c>
      <c r="AR559" s="5"/>
      <c r="AS559" s="5"/>
      <c r="AT559" s="5"/>
      <c r="AU559" s="5"/>
      <c r="AV559" s="5"/>
      <c r="AW559" s="5"/>
      <c r="AX559" s="284"/>
      <c r="AY559" s="5"/>
      <c r="AZ559" s="5"/>
      <c r="BA559" s="230"/>
      <c r="BB559" s="5"/>
      <c r="BC559" s="232" t="s">
        <v>3536</v>
      </c>
      <c r="BD559" s="257"/>
      <c r="BE559" s="249"/>
      <c r="BF559" s="249"/>
      <c r="BG559" s="249"/>
      <c r="BH559" s="249"/>
      <c r="BI559" s="249"/>
      <c r="BJ559" s="249"/>
      <c r="BK559" s="249"/>
      <c r="BL559" s="249"/>
      <c r="BM559" s="249"/>
      <c r="BN559" s="249"/>
      <c r="BO559" s="249"/>
      <c r="BP559" s="249"/>
      <c r="BQ559" s="249"/>
      <c r="BR559" s="249"/>
      <c r="BS559" s="249"/>
      <c r="BT559" s="249"/>
      <c r="BU559" s="249"/>
      <c r="BV559" s="249"/>
      <c r="BW559" s="249"/>
      <c r="BX559" s="249"/>
      <c r="BY559" s="249"/>
      <c r="BZ559" s="249"/>
      <c r="CA559" s="249"/>
      <c r="CB559" s="249"/>
      <c r="CC559" s="249"/>
      <c r="CD559" s="249"/>
      <c r="CE559" s="249"/>
    </row>
    <row r="560" spans="1:83" s="84" customFormat="1" ht="12.95" customHeight="1">
      <c r="A560" s="1"/>
      <c r="B560" s="1"/>
      <c r="C560" s="18" t="s">
        <v>805</v>
      </c>
      <c r="D560" s="52" t="s">
        <v>3026</v>
      </c>
      <c r="E560" s="52" t="s">
        <v>3027</v>
      </c>
      <c r="F560" s="53" t="s">
        <v>1099</v>
      </c>
      <c r="G560" s="179" t="s">
        <v>1429</v>
      </c>
      <c r="H560" s="180"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29" t="s">
        <v>805</v>
      </c>
      <c r="AR560" s="5"/>
      <c r="AS560" s="5"/>
      <c r="AT560" s="5"/>
      <c r="AU560" s="5"/>
      <c r="AV560" s="5"/>
      <c r="AW560" s="5"/>
      <c r="AX560" s="284"/>
      <c r="AY560" s="5"/>
      <c r="AZ560" s="5"/>
      <c r="BA560" s="230"/>
      <c r="BB560" s="5"/>
      <c r="BC560" s="232" t="s">
        <v>3536</v>
      </c>
      <c r="BD560" s="257"/>
      <c r="BE560" s="249"/>
      <c r="BF560" s="249"/>
      <c r="BG560" s="249"/>
      <c r="BH560" s="249"/>
      <c r="BI560" s="249"/>
      <c r="BJ560" s="249"/>
      <c r="BK560" s="249"/>
      <c r="BL560" s="249"/>
      <c r="BM560" s="249"/>
      <c r="BN560" s="249"/>
      <c r="BO560" s="249"/>
      <c r="BP560" s="249"/>
      <c r="BQ560" s="249"/>
      <c r="BR560" s="249"/>
      <c r="BS560" s="249"/>
      <c r="BT560" s="249"/>
      <c r="BU560" s="249"/>
      <c r="BV560" s="249"/>
      <c r="BW560" s="249"/>
      <c r="BX560" s="249"/>
      <c r="BY560" s="249"/>
      <c r="BZ560" s="249"/>
      <c r="CA560" s="249"/>
      <c r="CB560" s="249"/>
      <c r="CC560" s="249"/>
      <c r="CD560" s="249"/>
      <c r="CE560" s="249"/>
    </row>
    <row r="561" spans="1:83" s="84" customFormat="1" ht="12.95" customHeight="1">
      <c r="A561" s="1"/>
      <c r="B561" s="1"/>
      <c r="C561" s="18" t="s">
        <v>806</v>
      </c>
      <c r="D561" s="52" t="s">
        <v>3029</v>
      </c>
      <c r="E561" s="52" t="s">
        <v>3030</v>
      </c>
      <c r="F561" s="53" t="s">
        <v>1100</v>
      </c>
      <c r="G561" s="179" t="s">
        <v>1429</v>
      </c>
      <c r="H561" s="180"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29" t="s">
        <v>806</v>
      </c>
      <c r="AR561" s="5"/>
      <c r="AS561" s="5"/>
      <c r="AT561" s="5"/>
      <c r="AU561" s="5"/>
      <c r="AV561" s="5"/>
      <c r="AW561" s="5"/>
      <c r="AX561" s="284"/>
      <c r="AY561" s="5"/>
      <c r="AZ561" s="5"/>
      <c r="BA561" s="230"/>
      <c r="BB561" s="5"/>
      <c r="BC561" s="232" t="s">
        <v>3536</v>
      </c>
      <c r="BD561" s="257"/>
      <c r="BE561" s="249"/>
      <c r="BF561" s="249"/>
      <c r="BG561" s="249"/>
      <c r="BH561" s="249"/>
      <c r="BI561" s="249"/>
      <c r="BJ561" s="249"/>
      <c r="BK561" s="249"/>
      <c r="BL561" s="249"/>
      <c r="BM561" s="249"/>
      <c r="BN561" s="249"/>
      <c r="BO561" s="249"/>
      <c r="BP561" s="249"/>
      <c r="BQ561" s="249"/>
      <c r="BR561" s="249"/>
      <c r="BS561" s="249"/>
      <c r="BT561" s="249"/>
      <c r="BU561" s="249"/>
      <c r="BV561" s="249"/>
      <c r="BW561" s="249"/>
      <c r="BX561" s="249"/>
      <c r="BY561" s="249"/>
      <c r="BZ561" s="249"/>
      <c r="CA561" s="249"/>
      <c r="CB561" s="249"/>
      <c r="CC561" s="249"/>
      <c r="CD561" s="249"/>
      <c r="CE561" s="249"/>
    </row>
    <row r="562" spans="1:83" s="84" customFormat="1" ht="12.95" customHeight="1">
      <c r="A562" s="1"/>
      <c r="B562" s="1"/>
      <c r="C562" s="18" t="s">
        <v>807</v>
      </c>
      <c r="D562" s="52" t="s">
        <v>3032</v>
      </c>
      <c r="E562" s="52" t="s">
        <v>3033</v>
      </c>
      <c r="F562" s="53" t="s">
        <v>1101</v>
      </c>
      <c r="G562" s="179" t="s">
        <v>1429</v>
      </c>
      <c r="H562" s="180"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29" t="s">
        <v>807</v>
      </c>
      <c r="AR562" s="5"/>
      <c r="AS562" s="5"/>
      <c r="AT562" s="5"/>
      <c r="AU562" s="5"/>
      <c r="AV562" s="5"/>
      <c r="AW562" s="5"/>
      <c r="AX562" s="284"/>
      <c r="AY562" s="5"/>
      <c r="AZ562" s="5"/>
      <c r="BA562" s="230"/>
      <c r="BB562" s="5"/>
      <c r="BC562" s="232" t="s">
        <v>3536</v>
      </c>
      <c r="BD562" s="257"/>
      <c r="BE562" s="249"/>
      <c r="BF562" s="249"/>
      <c r="BG562" s="249"/>
      <c r="BH562" s="249"/>
      <c r="BI562" s="249"/>
      <c r="BJ562" s="249"/>
      <c r="BK562" s="249"/>
      <c r="BL562" s="249"/>
      <c r="BM562" s="249"/>
      <c r="BN562" s="249"/>
      <c r="BO562" s="249"/>
      <c r="BP562" s="249"/>
      <c r="BQ562" s="249"/>
      <c r="BR562" s="249"/>
      <c r="BS562" s="249"/>
      <c r="BT562" s="249"/>
      <c r="BU562" s="249"/>
      <c r="BV562" s="249"/>
      <c r="BW562" s="249"/>
      <c r="BX562" s="249"/>
      <c r="BY562" s="249"/>
      <c r="BZ562" s="249"/>
      <c r="CA562" s="249"/>
      <c r="CB562" s="249"/>
      <c r="CC562" s="249"/>
      <c r="CD562" s="249"/>
      <c r="CE562" s="249"/>
    </row>
    <row r="563" spans="1:83" s="84" customFormat="1" ht="12.95" customHeight="1">
      <c r="A563" s="1"/>
      <c r="B563" s="1"/>
      <c r="C563" s="18" t="s">
        <v>808</v>
      </c>
      <c r="D563" s="52" t="s">
        <v>3035</v>
      </c>
      <c r="E563" s="52" t="s">
        <v>3036</v>
      </c>
      <c r="F563" s="53" t="s">
        <v>1102</v>
      </c>
      <c r="G563" s="179" t="s">
        <v>1429</v>
      </c>
      <c r="H563" s="180"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29" t="s">
        <v>808</v>
      </c>
      <c r="AR563" s="5"/>
      <c r="AS563" s="5"/>
      <c r="AT563" s="5"/>
      <c r="AU563" s="5"/>
      <c r="AV563" s="5"/>
      <c r="AW563" s="5"/>
      <c r="AX563" s="284"/>
      <c r="AY563" s="5"/>
      <c r="AZ563" s="5"/>
      <c r="BA563" s="230"/>
      <c r="BB563" s="5"/>
      <c r="BC563" s="232" t="s">
        <v>3536</v>
      </c>
      <c r="BD563" s="257"/>
      <c r="BE563" s="249"/>
      <c r="BF563" s="249"/>
      <c r="BG563" s="249"/>
      <c r="BH563" s="249"/>
      <c r="BI563" s="249"/>
      <c r="BJ563" s="249"/>
      <c r="BK563" s="249"/>
      <c r="BL563" s="249"/>
      <c r="BM563" s="249"/>
      <c r="BN563" s="249"/>
      <c r="BO563" s="249"/>
      <c r="BP563" s="249"/>
      <c r="BQ563" s="249"/>
      <c r="BR563" s="249"/>
      <c r="BS563" s="249"/>
      <c r="BT563" s="249"/>
      <c r="BU563" s="249"/>
      <c r="BV563" s="249"/>
      <c r="BW563" s="249"/>
      <c r="BX563" s="249"/>
      <c r="BY563" s="249"/>
      <c r="BZ563" s="249"/>
      <c r="CA563" s="249"/>
      <c r="CB563" s="249"/>
      <c r="CC563" s="249"/>
      <c r="CD563" s="249"/>
      <c r="CE563" s="249"/>
    </row>
    <row r="564" spans="1:83" s="84" customFormat="1" ht="12.95" customHeight="1">
      <c r="A564" s="1"/>
      <c r="B564" s="1"/>
      <c r="C564" s="18" t="s">
        <v>809</v>
      </c>
      <c r="D564" s="52" t="s">
        <v>3038</v>
      </c>
      <c r="E564" s="52" t="s">
        <v>3039</v>
      </c>
      <c r="F564" s="53" t="s">
        <v>1103</v>
      </c>
      <c r="G564" s="179" t="s">
        <v>1429</v>
      </c>
      <c r="H564" s="180"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29" t="s">
        <v>809</v>
      </c>
      <c r="AR564" s="5"/>
      <c r="AS564" s="5"/>
      <c r="AT564" s="5"/>
      <c r="AU564" s="5"/>
      <c r="AV564" s="5"/>
      <c r="AW564" s="5"/>
      <c r="AX564" s="284"/>
      <c r="AY564" s="5"/>
      <c r="AZ564" s="5"/>
      <c r="BA564" s="230"/>
      <c r="BB564" s="5"/>
      <c r="BC564" s="232" t="s">
        <v>3536</v>
      </c>
      <c r="BD564" s="257"/>
      <c r="BE564" s="249"/>
      <c r="BF564" s="249"/>
      <c r="BG564" s="249"/>
      <c r="BH564" s="249"/>
      <c r="BI564" s="249"/>
      <c r="BJ564" s="249"/>
      <c r="BK564" s="249"/>
      <c r="BL564" s="249"/>
      <c r="BM564" s="249"/>
      <c r="BN564" s="249"/>
      <c r="BO564" s="249"/>
      <c r="BP564" s="249"/>
      <c r="BQ564" s="249"/>
      <c r="BR564" s="249"/>
      <c r="BS564" s="249"/>
      <c r="BT564" s="249"/>
      <c r="BU564" s="249"/>
      <c r="BV564" s="249"/>
      <c r="BW564" s="249"/>
      <c r="BX564" s="249"/>
      <c r="BY564" s="249"/>
      <c r="BZ564" s="249"/>
      <c r="CA564" s="249"/>
      <c r="CB564" s="249"/>
      <c r="CC564" s="249"/>
      <c r="CD564" s="249"/>
      <c r="CE564" s="249"/>
    </row>
    <row r="565" spans="1:83" s="84" customFormat="1" ht="12.95" customHeight="1">
      <c r="A565" s="1"/>
      <c r="B565" s="1"/>
      <c r="C565" s="18" t="s">
        <v>810</v>
      </c>
      <c r="D565" s="52" t="s">
        <v>3041</v>
      </c>
      <c r="E565" s="52" t="s">
        <v>3042</v>
      </c>
      <c r="F565" s="53" t="s">
        <v>1104</v>
      </c>
      <c r="G565" s="179" t="s">
        <v>1429</v>
      </c>
      <c r="H565" s="180"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29" t="s">
        <v>810</v>
      </c>
      <c r="AR565" s="5"/>
      <c r="AS565" s="5"/>
      <c r="AT565" s="5"/>
      <c r="AU565" s="5"/>
      <c r="AV565" s="5"/>
      <c r="AW565" s="5"/>
      <c r="AX565" s="284"/>
      <c r="AY565" s="5"/>
      <c r="AZ565" s="5"/>
      <c r="BA565" s="230"/>
      <c r="BB565" s="5"/>
      <c r="BC565" s="232" t="s">
        <v>3536</v>
      </c>
      <c r="BD565" s="257"/>
      <c r="BE565" s="249"/>
      <c r="BF565" s="249"/>
      <c r="BG565" s="249"/>
      <c r="BH565" s="249"/>
      <c r="BI565" s="249"/>
      <c r="BJ565" s="249"/>
      <c r="BK565" s="249"/>
      <c r="BL565" s="249"/>
      <c r="BM565" s="249"/>
      <c r="BN565" s="249"/>
      <c r="BO565" s="249"/>
      <c r="BP565" s="249"/>
      <c r="BQ565" s="249"/>
      <c r="BR565" s="249"/>
      <c r="BS565" s="249"/>
      <c r="BT565" s="249"/>
      <c r="BU565" s="249"/>
      <c r="BV565" s="249"/>
      <c r="BW565" s="249"/>
      <c r="BX565" s="249"/>
      <c r="BY565" s="249"/>
      <c r="BZ565" s="249"/>
      <c r="CA565" s="249"/>
      <c r="CB565" s="249"/>
      <c r="CC565" s="249"/>
      <c r="CD565" s="249"/>
      <c r="CE565" s="249"/>
    </row>
    <row r="566" spans="1:83" s="84" customFormat="1" ht="12.95" customHeight="1">
      <c r="A566" s="1"/>
      <c r="B566" s="1"/>
      <c r="C566" s="18" t="s">
        <v>811</v>
      </c>
      <c r="D566" s="52" t="s">
        <v>3033</v>
      </c>
      <c r="E566" s="52" t="s">
        <v>3044</v>
      </c>
      <c r="F566" s="53" t="s">
        <v>1105</v>
      </c>
      <c r="G566" s="179" t="s">
        <v>1429</v>
      </c>
      <c r="H566" s="180"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29" t="s">
        <v>811</v>
      </c>
      <c r="AR566" s="5"/>
      <c r="AS566" s="5"/>
      <c r="AT566" s="5"/>
      <c r="AU566" s="5"/>
      <c r="AV566" s="5"/>
      <c r="AW566" s="5"/>
      <c r="AX566" s="284"/>
      <c r="AY566" s="5"/>
      <c r="AZ566" s="5"/>
      <c r="BA566" s="230"/>
      <c r="BB566" s="5"/>
      <c r="BC566" s="232" t="s">
        <v>3536</v>
      </c>
      <c r="BD566" s="257"/>
      <c r="BE566" s="249"/>
      <c r="BF566" s="249"/>
      <c r="BG566" s="249"/>
      <c r="BH566" s="249"/>
      <c r="BI566" s="249"/>
      <c r="BJ566" s="249"/>
      <c r="BK566" s="249"/>
      <c r="BL566" s="249"/>
      <c r="BM566" s="249"/>
      <c r="BN566" s="249"/>
      <c r="BO566" s="249"/>
      <c r="BP566" s="249"/>
      <c r="BQ566" s="249"/>
      <c r="BR566" s="249"/>
      <c r="BS566" s="249"/>
      <c r="BT566" s="249"/>
      <c r="BU566" s="249"/>
      <c r="BV566" s="249"/>
      <c r="BW566" s="249"/>
      <c r="BX566" s="249"/>
      <c r="BY566" s="249"/>
      <c r="BZ566" s="249"/>
      <c r="CA566" s="249"/>
      <c r="CB566" s="249"/>
      <c r="CC566" s="249"/>
      <c r="CD566" s="249"/>
      <c r="CE566" s="249"/>
    </row>
    <row r="567" spans="1:83" s="84" customFormat="1" ht="12.95" customHeight="1">
      <c r="A567" s="1"/>
      <c r="B567" s="1"/>
      <c r="C567" s="18" t="s">
        <v>812</v>
      </c>
      <c r="D567" s="52" t="s">
        <v>3044</v>
      </c>
      <c r="E567" s="52" t="s">
        <v>3032</v>
      </c>
      <c r="F567" s="53" t="s">
        <v>1106</v>
      </c>
      <c r="G567" s="179" t="s">
        <v>1429</v>
      </c>
      <c r="H567" s="180"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29" t="s">
        <v>812</v>
      </c>
      <c r="AR567" s="5"/>
      <c r="AS567" s="5"/>
      <c r="AT567" s="5"/>
      <c r="AU567" s="5"/>
      <c r="AV567" s="5"/>
      <c r="AW567" s="5"/>
      <c r="AX567" s="284"/>
      <c r="AY567" s="5"/>
      <c r="AZ567" s="5"/>
      <c r="BA567" s="230"/>
      <c r="BB567" s="5"/>
      <c r="BC567" s="232" t="s">
        <v>3536</v>
      </c>
      <c r="BD567" s="257"/>
      <c r="BE567" s="249"/>
      <c r="BF567" s="249"/>
      <c r="BG567" s="249"/>
      <c r="BH567" s="249"/>
      <c r="BI567" s="249"/>
      <c r="BJ567" s="249"/>
      <c r="BK567" s="249"/>
      <c r="BL567" s="249"/>
      <c r="BM567" s="249"/>
      <c r="BN567" s="249"/>
      <c r="BO567" s="249"/>
      <c r="BP567" s="249"/>
      <c r="BQ567" s="249"/>
      <c r="BR567" s="249"/>
      <c r="BS567" s="249"/>
      <c r="BT567" s="249"/>
      <c r="BU567" s="249"/>
      <c r="BV567" s="249"/>
      <c r="BW567" s="249"/>
      <c r="BX567" s="249"/>
      <c r="BY567" s="249"/>
      <c r="BZ567" s="249"/>
      <c r="CA567" s="249"/>
      <c r="CB567" s="249"/>
      <c r="CC567" s="249"/>
      <c r="CD567" s="249"/>
      <c r="CE567" s="249"/>
    </row>
    <row r="568" spans="1:83" s="84" customFormat="1" ht="12.95" customHeight="1">
      <c r="A568" s="1"/>
      <c r="B568" s="1"/>
      <c r="C568" s="21" t="s">
        <v>813</v>
      </c>
      <c r="D568" s="52" t="s">
        <v>3047</v>
      </c>
      <c r="E568" s="52" t="s">
        <v>3048</v>
      </c>
      <c r="F568" s="53" t="s">
        <v>1107</v>
      </c>
      <c r="G568" s="179" t="s">
        <v>1429</v>
      </c>
      <c r="H568" s="180"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29" t="s">
        <v>813</v>
      </c>
      <c r="AR568" s="5"/>
      <c r="AS568" s="5"/>
      <c r="AT568" s="5"/>
      <c r="AU568" s="5"/>
      <c r="AV568" s="5"/>
      <c r="AW568" s="5"/>
      <c r="AX568" s="284"/>
      <c r="AY568" s="5"/>
      <c r="AZ568" s="5"/>
      <c r="BA568" s="230"/>
      <c r="BB568" s="5"/>
      <c r="BC568" s="232" t="s">
        <v>3536</v>
      </c>
      <c r="BD568" s="257"/>
      <c r="BE568" s="249"/>
      <c r="BF568" s="249"/>
      <c r="BG568" s="249"/>
      <c r="BH568" s="249"/>
      <c r="BI568" s="249"/>
      <c r="BJ568" s="249"/>
      <c r="BK568" s="249"/>
      <c r="BL568" s="249"/>
      <c r="BM568" s="249"/>
      <c r="BN568" s="249"/>
      <c r="BO568" s="249"/>
      <c r="BP568" s="249"/>
      <c r="BQ568" s="249"/>
      <c r="BR568" s="249"/>
      <c r="BS568" s="249"/>
      <c r="BT568" s="249"/>
      <c r="BU568" s="249"/>
      <c r="BV568" s="249"/>
      <c r="BW568" s="249"/>
      <c r="BX568" s="249"/>
      <c r="BY568" s="249"/>
      <c r="BZ568" s="249"/>
      <c r="CA568" s="249"/>
      <c r="CB568" s="249"/>
      <c r="CC568" s="249"/>
      <c r="CD568" s="249"/>
      <c r="CE568" s="249"/>
    </row>
    <row r="569" spans="1:83" s="84" customFormat="1" ht="12.95" customHeight="1">
      <c r="A569" s="1"/>
      <c r="B569" s="1"/>
      <c r="C569" s="21" t="s">
        <v>814</v>
      </c>
      <c r="D569" s="52" t="s">
        <v>3050</v>
      </c>
      <c r="E569" s="52" t="s">
        <v>3051</v>
      </c>
      <c r="F569" s="53" t="s">
        <v>1108</v>
      </c>
      <c r="G569" s="179" t="s">
        <v>1429</v>
      </c>
      <c r="H569" s="180"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29" t="s">
        <v>814</v>
      </c>
      <c r="AR569" s="5"/>
      <c r="AS569" s="5"/>
      <c r="AT569" s="5"/>
      <c r="AU569" s="5"/>
      <c r="AV569" s="5"/>
      <c r="AW569" s="5"/>
      <c r="AX569" s="284"/>
      <c r="AY569" s="5"/>
      <c r="AZ569" s="5"/>
      <c r="BA569" s="230"/>
      <c r="BB569" s="5"/>
      <c r="BC569" s="232" t="s">
        <v>3536</v>
      </c>
      <c r="BD569" s="257"/>
      <c r="BE569" s="249"/>
      <c r="BF569" s="249"/>
      <c r="BG569" s="249"/>
      <c r="BH569" s="249"/>
      <c r="BI569" s="249"/>
      <c r="BJ569" s="249"/>
      <c r="BK569" s="249"/>
      <c r="BL569" s="249"/>
      <c r="BM569" s="249"/>
      <c r="BN569" s="249"/>
      <c r="BO569" s="249"/>
      <c r="BP569" s="249"/>
      <c r="BQ569" s="249"/>
      <c r="BR569" s="249"/>
      <c r="BS569" s="249"/>
      <c r="BT569" s="249"/>
      <c r="BU569" s="249"/>
      <c r="BV569" s="249"/>
      <c r="BW569" s="249"/>
      <c r="BX569" s="249"/>
      <c r="BY569" s="249"/>
      <c r="BZ569" s="249"/>
      <c r="CA569" s="249"/>
      <c r="CB569" s="249"/>
      <c r="CC569" s="249"/>
      <c r="CD569" s="249"/>
      <c r="CE569" s="249"/>
    </row>
    <row r="570" spans="1:83" s="84" customFormat="1" ht="12.95" customHeight="1">
      <c r="A570" s="1"/>
      <c r="B570" s="1"/>
      <c r="C570" s="18" t="s">
        <v>815</v>
      </c>
      <c r="D570" s="52" t="s">
        <v>3053</v>
      </c>
      <c r="E570" s="52" t="s">
        <v>3054</v>
      </c>
      <c r="F570" s="53" t="s">
        <v>1109</v>
      </c>
      <c r="G570" s="179" t="s">
        <v>1429</v>
      </c>
      <c r="H570" s="180"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29" t="s">
        <v>815</v>
      </c>
      <c r="AR570" s="5"/>
      <c r="AS570" s="5"/>
      <c r="AT570" s="5"/>
      <c r="AU570" s="5"/>
      <c r="AV570" s="5"/>
      <c r="AW570" s="5"/>
      <c r="AX570" s="284"/>
      <c r="AY570" s="5"/>
      <c r="AZ570" s="5"/>
      <c r="BA570" s="230"/>
      <c r="BB570" s="5"/>
      <c r="BC570" s="232" t="s">
        <v>3536</v>
      </c>
      <c r="BD570" s="257"/>
      <c r="BE570" s="249"/>
      <c r="BF570" s="249"/>
      <c r="BG570" s="249"/>
      <c r="BH570" s="249"/>
      <c r="BI570" s="249"/>
      <c r="BJ570" s="249"/>
      <c r="BK570" s="249"/>
      <c r="BL570" s="249"/>
      <c r="BM570" s="249"/>
      <c r="BN570" s="249"/>
      <c r="BO570" s="249"/>
      <c r="BP570" s="249"/>
      <c r="BQ570" s="249"/>
      <c r="BR570" s="249"/>
      <c r="BS570" s="249"/>
      <c r="BT570" s="249"/>
      <c r="BU570" s="249"/>
      <c r="BV570" s="249"/>
      <c r="BW570" s="249"/>
      <c r="BX570" s="249"/>
      <c r="BY570" s="249"/>
      <c r="BZ570" s="249"/>
      <c r="CA570" s="249"/>
      <c r="CB570" s="249"/>
      <c r="CC570" s="249"/>
      <c r="CD570" s="249"/>
      <c r="CE570" s="249"/>
    </row>
    <row r="571" spans="1:83" s="84" customFormat="1" ht="12.95" customHeight="1">
      <c r="A571" s="1"/>
      <c r="B571" s="1"/>
      <c r="C571" s="18" t="s">
        <v>816</v>
      </c>
      <c r="D571" s="52" t="s">
        <v>3056</v>
      </c>
      <c r="E571" s="52" t="s">
        <v>3057</v>
      </c>
      <c r="F571" s="53" t="s">
        <v>1110</v>
      </c>
      <c r="G571" s="179" t="s">
        <v>1429</v>
      </c>
      <c r="H571" s="180"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29" t="s">
        <v>816</v>
      </c>
      <c r="AR571" s="5"/>
      <c r="AS571" s="5"/>
      <c r="AT571" s="5"/>
      <c r="AU571" s="5"/>
      <c r="AV571" s="5"/>
      <c r="AW571" s="5"/>
      <c r="AX571" s="284"/>
      <c r="AY571" s="5"/>
      <c r="AZ571" s="5"/>
      <c r="BA571" s="230"/>
      <c r="BB571" s="5"/>
      <c r="BC571" s="232" t="s">
        <v>3536</v>
      </c>
      <c r="BD571" s="257"/>
      <c r="BE571" s="249"/>
      <c r="BF571" s="249"/>
      <c r="BG571" s="249"/>
      <c r="BH571" s="249"/>
      <c r="BI571" s="249"/>
      <c r="BJ571" s="249"/>
      <c r="BK571" s="249"/>
      <c r="BL571" s="249"/>
      <c r="BM571" s="249"/>
      <c r="BN571" s="249"/>
      <c r="BO571" s="249"/>
      <c r="BP571" s="249"/>
      <c r="BQ571" s="249"/>
      <c r="BR571" s="249"/>
      <c r="BS571" s="249"/>
      <c r="BT571" s="249"/>
      <c r="BU571" s="249"/>
      <c r="BV571" s="249"/>
      <c r="BW571" s="249"/>
      <c r="BX571" s="249"/>
      <c r="BY571" s="249"/>
      <c r="BZ571" s="249"/>
      <c r="CA571" s="249"/>
      <c r="CB571" s="249"/>
      <c r="CC571" s="249"/>
      <c r="CD571" s="249"/>
      <c r="CE571" s="249"/>
    </row>
    <row r="572" spans="1:83" s="84" customFormat="1" ht="12.95" customHeight="1">
      <c r="A572" s="1"/>
      <c r="B572" s="1"/>
      <c r="C572" s="18" t="s">
        <v>817</v>
      </c>
      <c r="D572" s="52" t="s">
        <v>3059</v>
      </c>
      <c r="E572" s="52" t="s">
        <v>3060</v>
      </c>
      <c r="F572" s="53" t="s">
        <v>1111</v>
      </c>
      <c r="G572" s="179" t="s">
        <v>1429</v>
      </c>
      <c r="H572" s="180"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29" t="s">
        <v>817</v>
      </c>
      <c r="AR572" s="5"/>
      <c r="AS572" s="5"/>
      <c r="AT572" s="5"/>
      <c r="AU572" s="5"/>
      <c r="AV572" s="5"/>
      <c r="AW572" s="5"/>
      <c r="AX572" s="284"/>
      <c r="AY572" s="5"/>
      <c r="AZ572" s="5"/>
      <c r="BA572" s="230"/>
      <c r="BB572" s="5"/>
      <c r="BC572" s="232" t="s">
        <v>3536</v>
      </c>
      <c r="BD572" s="257"/>
      <c r="BE572" s="249"/>
      <c r="BF572" s="249"/>
      <c r="BG572" s="249"/>
      <c r="BH572" s="249"/>
      <c r="BI572" s="249"/>
      <c r="BJ572" s="249"/>
      <c r="BK572" s="249"/>
      <c r="BL572" s="249"/>
      <c r="BM572" s="249"/>
      <c r="BN572" s="249"/>
      <c r="BO572" s="249"/>
      <c r="BP572" s="249"/>
      <c r="BQ572" s="249"/>
      <c r="BR572" s="249"/>
      <c r="BS572" s="249"/>
      <c r="BT572" s="249"/>
      <c r="BU572" s="249"/>
      <c r="BV572" s="249"/>
      <c r="BW572" s="249"/>
      <c r="BX572" s="249"/>
      <c r="BY572" s="249"/>
      <c r="BZ572" s="249"/>
      <c r="CA572" s="249"/>
      <c r="CB572" s="249"/>
      <c r="CC572" s="249"/>
      <c r="CD572" s="249"/>
      <c r="CE572" s="249"/>
    </row>
    <row r="573" spans="1:83" s="84" customFormat="1" ht="12.95" customHeight="1">
      <c r="A573" s="1"/>
      <c r="B573" s="1"/>
      <c r="C573" s="18" t="s">
        <v>818</v>
      </c>
      <c r="D573" s="52" t="s">
        <v>3062</v>
      </c>
      <c r="E573" s="52" t="s">
        <v>3063</v>
      </c>
      <c r="F573" s="53" t="s">
        <v>1112</v>
      </c>
      <c r="G573" s="179" t="s">
        <v>1429</v>
      </c>
      <c r="H573" s="180"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29" t="s">
        <v>818</v>
      </c>
      <c r="AR573" s="5"/>
      <c r="AS573" s="5"/>
      <c r="AT573" s="5"/>
      <c r="AU573" s="5"/>
      <c r="AV573" s="5"/>
      <c r="AW573" s="5"/>
      <c r="AX573" s="284"/>
      <c r="AY573" s="5"/>
      <c r="AZ573" s="5"/>
      <c r="BA573" s="230"/>
      <c r="BB573" s="5"/>
      <c r="BC573" s="232" t="s">
        <v>3536</v>
      </c>
      <c r="BD573" s="257"/>
      <c r="BE573" s="249"/>
      <c r="BF573" s="249"/>
      <c r="BG573" s="249"/>
      <c r="BH573" s="249"/>
      <c r="BI573" s="249"/>
      <c r="BJ573" s="249"/>
      <c r="BK573" s="249"/>
      <c r="BL573" s="249"/>
      <c r="BM573" s="249"/>
      <c r="BN573" s="249"/>
      <c r="BO573" s="249"/>
      <c r="BP573" s="249"/>
      <c r="BQ573" s="249"/>
      <c r="BR573" s="249"/>
      <c r="BS573" s="249"/>
      <c r="BT573" s="249"/>
      <c r="BU573" s="249"/>
      <c r="BV573" s="249"/>
      <c r="BW573" s="249"/>
      <c r="BX573" s="249"/>
      <c r="BY573" s="249"/>
      <c r="BZ573" s="249"/>
      <c r="CA573" s="249"/>
      <c r="CB573" s="249"/>
      <c r="CC573" s="249"/>
      <c r="CD573" s="249"/>
      <c r="CE573" s="249"/>
    </row>
    <row r="574" spans="1:83" s="84" customFormat="1" ht="12.95" customHeight="1">
      <c r="A574" s="1"/>
      <c r="B574" s="1"/>
      <c r="C574" s="18" t="s">
        <v>819</v>
      </c>
      <c r="D574" s="52" t="s">
        <v>3065</v>
      </c>
      <c r="E574" s="52" t="s">
        <v>3066</v>
      </c>
      <c r="F574" s="53" t="s">
        <v>1113</v>
      </c>
      <c r="G574" s="179" t="s">
        <v>1429</v>
      </c>
      <c r="H574" s="180"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29" t="s">
        <v>819</v>
      </c>
      <c r="AR574" s="5"/>
      <c r="AS574" s="5"/>
      <c r="AT574" s="5"/>
      <c r="AU574" s="5"/>
      <c r="AV574" s="5"/>
      <c r="AW574" s="5"/>
      <c r="AX574" s="284"/>
      <c r="AY574" s="5"/>
      <c r="AZ574" s="5"/>
      <c r="BA574" s="230"/>
      <c r="BB574" s="5"/>
      <c r="BC574" s="232" t="s">
        <v>3536</v>
      </c>
      <c r="BD574" s="257"/>
      <c r="BE574" s="249"/>
      <c r="BF574" s="249"/>
      <c r="BG574" s="249"/>
      <c r="BH574" s="249"/>
      <c r="BI574" s="249"/>
      <c r="BJ574" s="249"/>
      <c r="BK574" s="249"/>
      <c r="BL574" s="249"/>
      <c r="BM574" s="249"/>
      <c r="BN574" s="249"/>
      <c r="BO574" s="249"/>
      <c r="BP574" s="249"/>
      <c r="BQ574" s="249"/>
      <c r="BR574" s="249"/>
      <c r="BS574" s="249"/>
      <c r="BT574" s="249"/>
      <c r="BU574" s="249"/>
      <c r="BV574" s="249"/>
      <c r="BW574" s="249"/>
      <c r="BX574" s="249"/>
      <c r="BY574" s="249"/>
      <c r="BZ574" s="249"/>
      <c r="CA574" s="249"/>
      <c r="CB574" s="249"/>
      <c r="CC574" s="249"/>
      <c r="CD574" s="249"/>
      <c r="CE574" s="249"/>
    </row>
    <row r="575" spans="1:83" s="84" customFormat="1" ht="12.95" customHeight="1">
      <c r="A575" s="1"/>
      <c r="B575" s="1"/>
      <c r="C575" s="18" t="s">
        <v>820</v>
      </c>
      <c r="D575" s="52" t="s">
        <v>3060</v>
      </c>
      <c r="E575" s="52" t="s">
        <v>3068</v>
      </c>
      <c r="F575" s="53" t="s">
        <v>1114</v>
      </c>
      <c r="G575" s="179" t="s">
        <v>1429</v>
      </c>
      <c r="H575" s="180"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29" t="s">
        <v>820</v>
      </c>
      <c r="AR575" s="5"/>
      <c r="AS575" s="5"/>
      <c r="AT575" s="5"/>
      <c r="AU575" s="5"/>
      <c r="AV575" s="5"/>
      <c r="AW575" s="5"/>
      <c r="AX575" s="284"/>
      <c r="AY575" s="5"/>
      <c r="AZ575" s="5"/>
      <c r="BA575" s="230"/>
      <c r="BB575" s="5"/>
      <c r="BC575" s="232" t="s">
        <v>3536</v>
      </c>
      <c r="BD575" s="257"/>
      <c r="BE575" s="249"/>
      <c r="BF575" s="249"/>
      <c r="BG575" s="249"/>
      <c r="BH575" s="249"/>
      <c r="BI575" s="249"/>
      <c r="BJ575" s="249"/>
      <c r="BK575" s="249"/>
      <c r="BL575" s="249"/>
      <c r="BM575" s="249"/>
      <c r="BN575" s="249"/>
      <c r="BO575" s="249"/>
      <c r="BP575" s="249"/>
      <c r="BQ575" s="249"/>
      <c r="BR575" s="249"/>
      <c r="BS575" s="249"/>
      <c r="BT575" s="249"/>
      <c r="BU575" s="249"/>
      <c r="BV575" s="249"/>
      <c r="BW575" s="249"/>
      <c r="BX575" s="249"/>
      <c r="BY575" s="249"/>
      <c r="BZ575" s="249"/>
      <c r="CA575" s="249"/>
      <c r="CB575" s="249"/>
      <c r="CC575" s="249"/>
      <c r="CD575" s="249"/>
      <c r="CE575" s="249"/>
    </row>
    <row r="576" spans="1:83" s="84" customFormat="1" ht="12.95" customHeight="1">
      <c r="A576" s="1"/>
      <c r="B576" s="1"/>
      <c r="C576" s="18" t="s">
        <v>821</v>
      </c>
      <c r="D576" s="52" t="s">
        <v>3063</v>
      </c>
      <c r="E576" s="52" t="s">
        <v>3062</v>
      </c>
      <c r="F576" s="53" t="s">
        <v>1115</v>
      </c>
      <c r="G576" s="179" t="s">
        <v>1429</v>
      </c>
      <c r="H576" s="180"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29" t="s">
        <v>821</v>
      </c>
      <c r="AR576" s="5"/>
      <c r="AS576" s="5"/>
      <c r="AT576" s="5"/>
      <c r="AU576" s="5"/>
      <c r="AV576" s="5"/>
      <c r="AW576" s="5"/>
      <c r="AX576" s="284"/>
      <c r="AY576" s="5"/>
      <c r="AZ576" s="5"/>
      <c r="BA576" s="230"/>
      <c r="BB576" s="5"/>
      <c r="BC576" s="232" t="s">
        <v>3536</v>
      </c>
      <c r="BD576" s="257"/>
      <c r="BE576" s="249"/>
      <c r="BF576" s="249"/>
      <c r="BG576" s="249"/>
      <c r="BH576" s="249"/>
      <c r="BI576" s="249"/>
      <c r="BJ576" s="249"/>
      <c r="BK576" s="249"/>
      <c r="BL576" s="249"/>
      <c r="BM576" s="249"/>
      <c r="BN576" s="249"/>
      <c r="BO576" s="249"/>
      <c r="BP576" s="249"/>
      <c r="BQ576" s="249"/>
      <c r="BR576" s="249"/>
      <c r="BS576" s="249"/>
      <c r="BT576" s="249"/>
      <c r="BU576" s="249"/>
      <c r="BV576" s="249"/>
      <c r="BW576" s="249"/>
      <c r="BX576" s="249"/>
      <c r="BY576" s="249"/>
      <c r="BZ576" s="249"/>
      <c r="CA576" s="249"/>
      <c r="CB576" s="249"/>
      <c r="CC576" s="249"/>
      <c r="CD576" s="249"/>
      <c r="CE576" s="249"/>
    </row>
    <row r="577" spans="1:83" s="84" customFormat="1" ht="12.95" customHeight="1">
      <c r="A577" s="1"/>
      <c r="B577" s="1"/>
      <c r="C577" s="18" t="s">
        <v>822</v>
      </c>
      <c r="D577" s="52" t="s">
        <v>3066</v>
      </c>
      <c r="E577" s="52" t="s">
        <v>3071</v>
      </c>
      <c r="F577" s="53" t="s">
        <v>1116</v>
      </c>
      <c r="G577" s="179" t="s">
        <v>1429</v>
      </c>
      <c r="H577" s="180"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29" t="s">
        <v>822</v>
      </c>
      <c r="AR577" s="5"/>
      <c r="AS577" s="5"/>
      <c r="AT577" s="5"/>
      <c r="AU577" s="5"/>
      <c r="AV577" s="5"/>
      <c r="AW577" s="5"/>
      <c r="AX577" s="284"/>
      <c r="AY577" s="5"/>
      <c r="AZ577" s="5"/>
      <c r="BA577" s="230"/>
      <c r="BB577" s="5"/>
      <c r="BC577" s="232" t="s">
        <v>3536</v>
      </c>
      <c r="BD577" s="257"/>
      <c r="BE577" s="249"/>
      <c r="BF577" s="249"/>
      <c r="BG577" s="249"/>
      <c r="BH577" s="249"/>
      <c r="BI577" s="249"/>
      <c r="BJ577" s="249"/>
      <c r="BK577" s="249"/>
      <c r="BL577" s="249"/>
      <c r="BM577" s="249"/>
      <c r="BN577" s="249"/>
      <c r="BO577" s="249"/>
      <c r="BP577" s="249"/>
      <c r="BQ577" s="249"/>
      <c r="BR577" s="249"/>
      <c r="BS577" s="249"/>
      <c r="BT577" s="249"/>
      <c r="BU577" s="249"/>
      <c r="BV577" s="249"/>
      <c r="BW577" s="249"/>
      <c r="BX577" s="249"/>
      <c r="BY577" s="249"/>
      <c r="BZ577" s="249"/>
      <c r="CA577" s="249"/>
      <c r="CB577" s="249"/>
      <c r="CC577" s="249"/>
      <c r="CD577" s="249"/>
      <c r="CE577" s="249"/>
    </row>
    <row r="578" spans="1:83" s="84" customFormat="1" ht="12.95" customHeight="1">
      <c r="A578" s="1"/>
      <c r="B578" s="1"/>
      <c r="C578" s="18" t="s">
        <v>823</v>
      </c>
      <c r="D578" s="52" t="s">
        <v>3073</v>
      </c>
      <c r="E578" s="52" t="s">
        <v>3073</v>
      </c>
      <c r="F578" s="53" t="s">
        <v>1117</v>
      </c>
      <c r="G578" s="179" t="s">
        <v>1429</v>
      </c>
      <c r="H578" s="180"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29" t="s">
        <v>823</v>
      </c>
      <c r="AR578" s="5"/>
      <c r="AS578" s="5"/>
      <c r="AT578" s="5"/>
      <c r="AU578" s="5"/>
      <c r="AV578" s="5"/>
      <c r="AW578" s="5"/>
      <c r="AX578" s="284"/>
      <c r="AY578" s="5"/>
      <c r="AZ578" s="5"/>
      <c r="BA578" s="230"/>
      <c r="BB578" s="5"/>
      <c r="BC578" s="232" t="s">
        <v>3536</v>
      </c>
      <c r="BD578" s="257"/>
      <c r="BE578" s="249"/>
      <c r="BF578" s="249"/>
      <c r="BG578" s="249"/>
      <c r="BH578" s="249"/>
      <c r="BI578" s="249"/>
      <c r="BJ578" s="249"/>
      <c r="BK578" s="249"/>
      <c r="BL578" s="249"/>
      <c r="BM578" s="249"/>
      <c r="BN578" s="249"/>
      <c r="BO578" s="249"/>
      <c r="BP578" s="249"/>
      <c r="BQ578" s="249"/>
      <c r="BR578" s="249"/>
      <c r="BS578" s="249"/>
      <c r="BT578" s="249"/>
      <c r="BU578" s="249"/>
      <c r="BV578" s="249"/>
      <c r="BW578" s="249"/>
      <c r="BX578" s="249"/>
      <c r="BY578" s="249"/>
      <c r="BZ578" s="249"/>
      <c r="CA578" s="249"/>
      <c r="CB578" s="249"/>
      <c r="CC578" s="249"/>
      <c r="CD578" s="249"/>
      <c r="CE578" s="249"/>
    </row>
    <row r="579" spans="1:83" s="84" customFormat="1" ht="12.95" customHeight="1">
      <c r="A579" s="1"/>
      <c r="B579" s="1"/>
      <c r="C579" s="18" t="s">
        <v>824</v>
      </c>
      <c r="D579" s="52" t="s">
        <v>3075</v>
      </c>
      <c r="E579" s="52" t="s">
        <v>3053</v>
      </c>
      <c r="F579" s="53" t="s">
        <v>1118</v>
      </c>
      <c r="G579" s="179" t="s">
        <v>1429</v>
      </c>
      <c r="H579" s="180"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29" t="s">
        <v>824</v>
      </c>
      <c r="AR579" s="5"/>
      <c r="AS579" s="5"/>
      <c r="AT579" s="5"/>
      <c r="AU579" s="5"/>
      <c r="AV579" s="5"/>
      <c r="AW579" s="5"/>
      <c r="AX579" s="284"/>
      <c r="AY579" s="5"/>
      <c r="AZ579" s="5"/>
      <c r="BA579" s="230"/>
      <c r="BB579" s="5"/>
      <c r="BC579" s="232" t="s">
        <v>3536</v>
      </c>
      <c r="BD579" s="257"/>
      <c r="BE579" s="249"/>
      <c r="BF579" s="249"/>
      <c r="BG579" s="249"/>
      <c r="BH579" s="249"/>
      <c r="BI579" s="249"/>
      <c r="BJ579" s="249"/>
      <c r="BK579" s="249"/>
      <c r="BL579" s="249"/>
      <c r="BM579" s="249"/>
      <c r="BN579" s="249"/>
      <c r="BO579" s="249"/>
      <c r="BP579" s="249"/>
      <c r="BQ579" s="249"/>
      <c r="BR579" s="249"/>
      <c r="BS579" s="249"/>
      <c r="BT579" s="249"/>
      <c r="BU579" s="249"/>
      <c r="BV579" s="249"/>
      <c r="BW579" s="249"/>
      <c r="BX579" s="249"/>
      <c r="BY579" s="249"/>
      <c r="BZ579" s="249"/>
      <c r="CA579" s="249"/>
      <c r="CB579" s="249"/>
      <c r="CC579" s="249"/>
      <c r="CD579" s="249"/>
      <c r="CE579" s="249"/>
    </row>
    <row r="580" spans="1:83" s="84" customFormat="1" ht="12.95" customHeight="1">
      <c r="A580" s="1"/>
      <c r="B580" s="1"/>
      <c r="C580" s="21" t="s">
        <v>825</v>
      </c>
      <c r="D580" s="52" t="s">
        <v>3077</v>
      </c>
      <c r="E580" s="52" t="s">
        <v>3078</v>
      </c>
      <c r="F580" s="53" t="s">
        <v>1119</v>
      </c>
      <c r="G580" s="179" t="s">
        <v>1429</v>
      </c>
      <c r="H580" s="180"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29" t="s">
        <v>825</v>
      </c>
      <c r="AR580" s="5"/>
      <c r="AS580" s="5"/>
      <c r="AT580" s="5"/>
      <c r="AU580" s="5"/>
      <c r="AV580" s="5"/>
      <c r="AW580" s="5"/>
      <c r="AX580" s="284"/>
      <c r="AY580" s="5"/>
      <c r="AZ580" s="5"/>
      <c r="BA580" s="230"/>
      <c r="BB580" s="5"/>
      <c r="BC580" s="232" t="s">
        <v>3536</v>
      </c>
      <c r="BD580" s="257"/>
      <c r="BE580" s="249"/>
      <c r="BF580" s="249"/>
      <c r="BG580" s="249"/>
      <c r="BH580" s="249"/>
      <c r="BI580" s="249"/>
      <c r="BJ580" s="249"/>
      <c r="BK580" s="249"/>
      <c r="BL580" s="249"/>
      <c r="BM580" s="249"/>
      <c r="BN580" s="249"/>
      <c r="BO580" s="249"/>
      <c r="BP580" s="249"/>
      <c r="BQ580" s="249"/>
      <c r="BR580" s="249"/>
      <c r="BS580" s="249"/>
      <c r="BT580" s="249"/>
      <c r="BU580" s="249"/>
      <c r="BV580" s="249"/>
      <c r="BW580" s="249"/>
      <c r="BX580" s="249"/>
      <c r="BY580" s="249"/>
      <c r="BZ580" s="249"/>
      <c r="CA580" s="249"/>
      <c r="CB580" s="249"/>
      <c r="CC580" s="249"/>
      <c r="CD580" s="249"/>
      <c r="CE580" s="249"/>
    </row>
    <row r="581" spans="1:83" s="84" customFormat="1" ht="12.95" customHeight="1">
      <c r="A581" s="1"/>
      <c r="B581" s="1"/>
      <c r="C581" s="21" t="s">
        <v>826</v>
      </c>
      <c r="D581" s="52" t="s">
        <v>3080</v>
      </c>
      <c r="E581" s="52" t="s">
        <v>3081</v>
      </c>
      <c r="F581" s="53" t="s">
        <v>1120</v>
      </c>
      <c r="G581" s="179" t="s">
        <v>1429</v>
      </c>
      <c r="H581" s="180"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29" t="s">
        <v>826</v>
      </c>
      <c r="AR581" s="5"/>
      <c r="AS581" s="5"/>
      <c r="AT581" s="5"/>
      <c r="AU581" s="5"/>
      <c r="AV581" s="5"/>
      <c r="AW581" s="5"/>
      <c r="AX581" s="284"/>
      <c r="AY581" s="5"/>
      <c r="AZ581" s="5"/>
      <c r="BA581" s="230"/>
      <c r="BB581" s="5"/>
      <c r="BC581" s="232" t="s">
        <v>3536</v>
      </c>
      <c r="BD581" s="257"/>
      <c r="BE581" s="249"/>
      <c r="BF581" s="249"/>
      <c r="BG581" s="249"/>
      <c r="BH581" s="249"/>
      <c r="BI581" s="249"/>
      <c r="BJ581" s="249"/>
      <c r="BK581" s="249"/>
      <c r="BL581" s="249"/>
      <c r="BM581" s="249"/>
      <c r="BN581" s="249"/>
      <c r="BO581" s="249"/>
      <c r="BP581" s="249"/>
      <c r="BQ581" s="249"/>
      <c r="BR581" s="249"/>
      <c r="BS581" s="249"/>
      <c r="BT581" s="249"/>
      <c r="BU581" s="249"/>
      <c r="BV581" s="249"/>
      <c r="BW581" s="249"/>
      <c r="BX581" s="249"/>
      <c r="BY581" s="249"/>
      <c r="BZ581" s="249"/>
      <c r="CA581" s="249"/>
      <c r="CB581" s="249"/>
      <c r="CC581" s="249"/>
      <c r="CD581" s="249"/>
      <c r="CE581" s="249"/>
    </row>
    <row r="582" spans="1:83" s="84" customFormat="1" ht="12.95" customHeight="1">
      <c r="A582" s="1"/>
      <c r="B582" s="1"/>
      <c r="C582" s="18" t="s">
        <v>827</v>
      </c>
      <c r="D582" s="52" t="s">
        <v>3083</v>
      </c>
      <c r="E582" s="52" t="s">
        <v>3084</v>
      </c>
      <c r="F582" s="53" t="s">
        <v>1121</v>
      </c>
      <c r="G582" s="179" t="s">
        <v>1429</v>
      </c>
      <c r="H582" s="180"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29" t="s">
        <v>827</v>
      </c>
      <c r="AR582" s="5"/>
      <c r="AS582" s="5"/>
      <c r="AT582" s="5"/>
      <c r="AU582" s="5"/>
      <c r="AV582" s="5"/>
      <c r="AW582" s="5"/>
      <c r="AX582" s="284"/>
      <c r="AY582" s="5"/>
      <c r="AZ582" s="5"/>
      <c r="BA582" s="230"/>
      <c r="BB582" s="5"/>
      <c r="BC582" s="232" t="s">
        <v>3536</v>
      </c>
      <c r="BD582" s="257"/>
      <c r="BE582" s="249"/>
      <c r="BF582" s="249"/>
      <c r="BG582" s="249"/>
      <c r="BH582" s="249"/>
      <c r="BI582" s="249"/>
      <c r="BJ582" s="249"/>
      <c r="BK582" s="249"/>
      <c r="BL582" s="249"/>
      <c r="BM582" s="249"/>
      <c r="BN582" s="249"/>
      <c r="BO582" s="249"/>
      <c r="BP582" s="249"/>
      <c r="BQ582" s="249"/>
      <c r="BR582" s="249"/>
      <c r="BS582" s="249"/>
      <c r="BT582" s="249"/>
      <c r="BU582" s="249"/>
      <c r="BV582" s="249"/>
      <c r="BW582" s="249"/>
      <c r="BX582" s="249"/>
      <c r="BY582" s="249"/>
      <c r="BZ582" s="249"/>
      <c r="CA582" s="249"/>
      <c r="CB582" s="249"/>
      <c r="CC582" s="249"/>
      <c r="CD582" s="249"/>
      <c r="CE582" s="249"/>
    </row>
    <row r="583" spans="1:83" s="84" customFormat="1" ht="12.95" customHeight="1">
      <c r="A583" s="1"/>
      <c r="B583" s="1"/>
      <c r="C583" s="18" t="s">
        <v>828</v>
      </c>
      <c r="D583" s="52" t="s">
        <v>3086</v>
      </c>
      <c r="E583" s="52" t="s">
        <v>3087</v>
      </c>
      <c r="F583" s="53" t="s">
        <v>1122</v>
      </c>
      <c r="G583" s="179" t="s">
        <v>1429</v>
      </c>
      <c r="H583" s="180"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29" t="s">
        <v>828</v>
      </c>
      <c r="AR583" s="5"/>
      <c r="AS583" s="5"/>
      <c r="AT583" s="5"/>
      <c r="AU583" s="5"/>
      <c r="AV583" s="5"/>
      <c r="AW583" s="5"/>
      <c r="AX583" s="284"/>
      <c r="AY583" s="5"/>
      <c r="AZ583" s="5"/>
      <c r="BA583" s="230"/>
      <c r="BB583" s="5"/>
      <c r="BC583" s="232" t="s">
        <v>3536</v>
      </c>
      <c r="BD583" s="257"/>
      <c r="BE583" s="249"/>
      <c r="BF583" s="249"/>
      <c r="BG583" s="249"/>
      <c r="BH583" s="249"/>
      <c r="BI583" s="249"/>
      <c r="BJ583" s="249"/>
      <c r="BK583" s="249"/>
      <c r="BL583" s="249"/>
      <c r="BM583" s="249"/>
      <c r="BN583" s="249"/>
      <c r="BO583" s="249"/>
      <c r="BP583" s="249"/>
      <c r="BQ583" s="249"/>
      <c r="BR583" s="249"/>
      <c r="BS583" s="249"/>
      <c r="BT583" s="249"/>
      <c r="BU583" s="249"/>
      <c r="BV583" s="249"/>
      <c r="BW583" s="249"/>
      <c r="BX583" s="249"/>
      <c r="BY583" s="249"/>
      <c r="BZ583" s="249"/>
      <c r="CA583" s="249"/>
      <c r="CB583" s="249"/>
      <c r="CC583" s="249"/>
      <c r="CD583" s="249"/>
      <c r="CE583" s="249"/>
    </row>
    <row r="584" spans="1:83" s="84" customFormat="1" ht="12.95" customHeight="1">
      <c r="A584" s="1"/>
      <c r="B584" s="1"/>
      <c r="C584" s="18" t="s">
        <v>829</v>
      </c>
      <c r="D584" s="52" t="s">
        <v>3089</v>
      </c>
      <c r="E584" s="52" t="s">
        <v>3090</v>
      </c>
      <c r="F584" s="53" t="s">
        <v>1123</v>
      </c>
      <c r="G584" s="179" t="s">
        <v>1429</v>
      </c>
      <c r="H584" s="180"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29" t="s">
        <v>829</v>
      </c>
      <c r="AR584" s="5"/>
      <c r="AS584" s="5"/>
      <c r="AT584" s="5"/>
      <c r="AU584" s="5"/>
      <c r="AV584" s="5"/>
      <c r="AW584" s="5"/>
      <c r="AX584" s="284"/>
      <c r="AY584" s="5"/>
      <c r="AZ584" s="5"/>
      <c r="BA584" s="230"/>
      <c r="BB584" s="5"/>
      <c r="BC584" s="232" t="s">
        <v>3536</v>
      </c>
      <c r="BD584" s="257"/>
      <c r="BE584" s="249"/>
      <c r="BF584" s="249"/>
      <c r="BG584" s="249"/>
      <c r="BH584" s="249"/>
      <c r="BI584" s="249"/>
      <c r="BJ584" s="249"/>
      <c r="BK584" s="249"/>
      <c r="BL584" s="249"/>
      <c r="BM584" s="249"/>
      <c r="BN584" s="249"/>
      <c r="BO584" s="249"/>
      <c r="BP584" s="249"/>
      <c r="BQ584" s="249"/>
      <c r="BR584" s="249"/>
      <c r="BS584" s="249"/>
      <c r="BT584" s="249"/>
      <c r="BU584" s="249"/>
      <c r="BV584" s="249"/>
      <c r="BW584" s="249"/>
      <c r="BX584" s="249"/>
      <c r="BY584" s="249"/>
      <c r="BZ584" s="249"/>
      <c r="CA584" s="249"/>
      <c r="CB584" s="249"/>
      <c r="CC584" s="249"/>
      <c r="CD584" s="249"/>
      <c r="CE584" s="249"/>
    </row>
    <row r="585" spans="1:83" s="84" customFormat="1" ht="12.95" customHeight="1">
      <c r="A585" s="1"/>
      <c r="B585" s="1"/>
      <c r="C585" s="18" t="s">
        <v>830</v>
      </c>
      <c r="D585" s="52" t="s">
        <v>3092</v>
      </c>
      <c r="E585" s="52" t="s">
        <v>3093</v>
      </c>
      <c r="F585" s="53" t="s">
        <v>1124</v>
      </c>
      <c r="G585" s="179" t="s">
        <v>1429</v>
      </c>
      <c r="H585" s="180"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29" t="s">
        <v>830</v>
      </c>
      <c r="AR585" s="5"/>
      <c r="AS585" s="5"/>
      <c r="AT585" s="5"/>
      <c r="AU585" s="5"/>
      <c r="AV585" s="5"/>
      <c r="AW585" s="5"/>
      <c r="AX585" s="284"/>
      <c r="AY585" s="5"/>
      <c r="AZ585" s="5"/>
      <c r="BA585" s="230"/>
      <c r="BB585" s="5"/>
      <c r="BC585" s="232" t="s">
        <v>3536</v>
      </c>
      <c r="BD585" s="257"/>
      <c r="BE585" s="249"/>
      <c r="BF585" s="249"/>
      <c r="BG585" s="249"/>
      <c r="BH585" s="249"/>
      <c r="BI585" s="249"/>
      <c r="BJ585" s="249"/>
      <c r="BK585" s="249"/>
      <c r="BL585" s="249"/>
      <c r="BM585" s="249"/>
      <c r="BN585" s="249"/>
      <c r="BO585" s="249"/>
      <c r="BP585" s="249"/>
      <c r="BQ585" s="249"/>
      <c r="BR585" s="249"/>
      <c r="BS585" s="249"/>
      <c r="BT585" s="249"/>
      <c r="BU585" s="249"/>
      <c r="BV585" s="249"/>
      <c r="BW585" s="249"/>
      <c r="BX585" s="249"/>
      <c r="BY585" s="249"/>
      <c r="BZ585" s="249"/>
      <c r="CA585" s="249"/>
      <c r="CB585" s="249"/>
      <c r="CC585" s="249"/>
      <c r="CD585" s="249"/>
      <c r="CE585" s="249"/>
    </row>
    <row r="586" spans="1:83" s="84" customFormat="1" ht="12.95" customHeight="1">
      <c r="A586" s="1"/>
      <c r="B586" s="1"/>
      <c r="C586" s="18" t="s">
        <v>831</v>
      </c>
      <c r="D586" s="52" t="s">
        <v>3095</v>
      </c>
      <c r="E586" s="52" t="s">
        <v>3096</v>
      </c>
      <c r="F586" s="53" t="s">
        <v>1125</v>
      </c>
      <c r="G586" s="179" t="s">
        <v>1429</v>
      </c>
      <c r="H586" s="180"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29" t="s">
        <v>831</v>
      </c>
      <c r="AR586" s="5"/>
      <c r="AS586" s="5"/>
      <c r="AT586" s="5"/>
      <c r="AU586" s="5"/>
      <c r="AV586" s="5"/>
      <c r="AW586" s="5"/>
      <c r="AX586" s="284"/>
      <c r="AY586" s="5"/>
      <c r="AZ586" s="5"/>
      <c r="BA586" s="230"/>
      <c r="BB586" s="5"/>
      <c r="BC586" s="232" t="s">
        <v>3536</v>
      </c>
      <c r="BD586" s="257"/>
      <c r="BE586" s="249"/>
      <c r="BF586" s="249"/>
      <c r="BG586" s="249"/>
      <c r="BH586" s="249"/>
      <c r="BI586" s="249"/>
      <c r="BJ586" s="249"/>
      <c r="BK586" s="249"/>
      <c r="BL586" s="249"/>
      <c r="BM586" s="249"/>
      <c r="BN586" s="249"/>
      <c r="BO586" s="249"/>
      <c r="BP586" s="249"/>
      <c r="BQ586" s="249"/>
      <c r="BR586" s="249"/>
      <c r="BS586" s="249"/>
      <c r="BT586" s="249"/>
      <c r="BU586" s="249"/>
      <c r="BV586" s="249"/>
      <c r="BW586" s="249"/>
      <c r="BX586" s="249"/>
      <c r="BY586" s="249"/>
      <c r="BZ586" s="249"/>
      <c r="CA586" s="249"/>
      <c r="CB586" s="249"/>
      <c r="CC586" s="249"/>
      <c r="CD586" s="249"/>
      <c r="CE586" s="249"/>
    </row>
    <row r="587" spans="1:83" s="84" customFormat="1" ht="12.95" customHeight="1">
      <c r="A587" s="1"/>
      <c r="B587" s="1"/>
      <c r="C587" s="18" t="s">
        <v>832</v>
      </c>
      <c r="D587" s="52" t="s">
        <v>3098</v>
      </c>
      <c r="E587" s="52" t="s">
        <v>3099</v>
      </c>
      <c r="F587" s="53" t="s">
        <v>1126</v>
      </c>
      <c r="G587" s="179" t="s">
        <v>1429</v>
      </c>
      <c r="H587" s="180"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29" t="s">
        <v>832</v>
      </c>
      <c r="AR587" s="5"/>
      <c r="AS587" s="5"/>
      <c r="AT587" s="5"/>
      <c r="AU587" s="5"/>
      <c r="AV587" s="5"/>
      <c r="AW587" s="5"/>
      <c r="AX587" s="284"/>
      <c r="AY587" s="5"/>
      <c r="AZ587" s="5"/>
      <c r="BA587" s="230"/>
      <c r="BB587" s="5"/>
      <c r="BC587" s="232" t="s">
        <v>3536</v>
      </c>
      <c r="BD587" s="257"/>
      <c r="BE587" s="249"/>
      <c r="BF587" s="249"/>
      <c r="BG587" s="249"/>
      <c r="BH587" s="249"/>
      <c r="BI587" s="249"/>
      <c r="BJ587" s="249"/>
      <c r="BK587" s="249"/>
      <c r="BL587" s="249"/>
      <c r="BM587" s="249"/>
      <c r="BN587" s="249"/>
      <c r="BO587" s="249"/>
      <c r="BP587" s="249"/>
      <c r="BQ587" s="249"/>
      <c r="BR587" s="249"/>
      <c r="BS587" s="249"/>
      <c r="BT587" s="249"/>
      <c r="BU587" s="249"/>
      <c r="BV587" s="249"/>
      <c r="BW587" s="249"/>
      <c r="BX587" s="249"/>
      <c r="BY587" s="249"/>
      <c r="BZ587" s="249"/>
      <c r="CA587" s="249"/>
      <c r="CB587" s="249"/>
      <c r="CC587" s="249"/>
      <c r="CD587" s="249"/>
      <c r="CE587" s="249"/>
    </row>
    <row r="588" spans="1:83" s="84" customFormat="1" ht="12.95" customHeight="1">
      <c r="A588" s="1"/>
      <c r="B588" s="1"/>
      <c r="C588" s="18" t="s">
        <v>833</v>
      </c>
      <c r="D588" s="52" t="s">
        <v>3101</v>
      </c>
      <c r="E588" s="52" t="s">
        <v>3102</v>
      </c>
      <c r="F588" s="53" t="s">
        <v>1127</v>
      </c>
      <c r="G588" s="179" t="s">
        <v>1429</v>
      </c>
      <c r="H588" s="180"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29" t="s">
        <v>833</v>
      </c>
      <c r="AR588" s="5"/>
      <c r="AS588" s="5"/>
      <c r="AT588" s="5"/>
      <c r="AU588" s="5"/>
      <c r="AV588" s="5"/>
      <c r="AW588" s="5"/>
      <c r="AX588" s="284"/>
      <c r="AY588" s="5"/>
      <c r="AZ588" s="5"/>
      <c r="BA588" s="230"/>
      <c r="BB588" s="5"/>
      <c r="BC588" s="232" t="s">
        <v>3536</v>
      </c>
      <c r="BD588" s="257"/>
      <c r="BE588" s="249"/>
      <c r="BF588" s="249"/>
      <c r="BG588" s="249"/>
      <c r="BH588" s="249"/>
      <c r="BI588" s="249"/>
      <c r="BJ588" s="249"/>
      <c r="BK588" s="249"/>
      <c r="BL588" s="249"/>
      <c r="BM588" s="249"/>
      <c r="BN588" s="249"/>
      <c r="BO588" s="249"/>
      <c r="BP588" s="249"/>
      <c r="BQ588" s="249"/>
      <c r="BR588" s="249"/>
      <c r="BS588" s="249"/>
      <c r="BT588" s="249"/>
      <c r="BU588" s="249"/>
      <c r="BV588" s="249"/>
      <c r="BW588" s="249"/>
      <c r="BX588" s="249"/>
      <c r="BY588" s="249"/>
      <c r="BZ588" s="249"/>
      <c r="CA588" s="249"/>
      <c r="CB588" s="249"/>
      <c r="CC588" s="249"/>
      <c r="CD588" s="249"/>
      <c r="CE588" s="249"/>
    </row>
    <row r="589" spans="1:83" s="84" customFormat="1" ht="12.95" customHeight="1">
      <c r="A589" s="1"/>
      <c r="B589" s="1"/>
      <c r="C589" s="18" t="s">
        <v>834</v>
      </c>
      <c r="D589" s="52" t="s">
        <v>3104</v>
      </c>
      <c r="E589" s="52" t="s">
        <v>3105</v>
      </c>
      <c r="F589" s="53" t="s">
        <v>1128</v>
      </c>
      <c r="G589" s="179" t="s">
        <v>1429</v>
      </c>
      <c r="H589" s="180"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29" t="s">
        <v>834</v>
      </c>
      <c r="AR589" s="5"/>
      <c r="AS589" s="5"/>
      <c r="AT589" s="5"/>
      <c r="AU589" s="5"/>
      <c r="AV589" s="5"/>
      <c r="AW589" s="5"/>
      <c r="AX589" s="284"/>
      <c r="AY589" s="5"/>
      <c r="AZ589" s="5"/>
      <c r="BA589" s="230"/>
      <c r="BB589" s="5"/>
      <c r="BC589" s="232" t="s">
        <v>3536</v>
      </c>
      <c r="BD589" s="257"/>
      <c r="BE589" s="249"/>
      <c r="BF589" s="249"/>
      <c r="BG589" s="249"/>
      <c r="BH589" s="249"/>
      <c r="BI589" s="249"/>
      <c r="BJ589" s="249"/>
      <c r="BK589" s="249"/>
      <c r="BL589" s="249"/>
      <c r="BM589" s="249"/>
      <c r="BN589" s="249"/>
      <c r="BO589" s="249"/>
      <c r="BP589" s="249"/>
      <c r="BQ589" s="249"/>
      <c r="BR589" s="249"/>
      <c r="BS589" s="249"/>
      <c r="BT589" s="249"/>
      <c r="BU589" s="249"/>
      <c r="BV589" s="249"/>
      <c r="BW589" s="249"/>
      <c r="BX589" s="249"/>
      <c r="BY589" s="249"/>
      <c r="BZ589" s="249"/>
      <c r="CA589" s="249"/>
      <c r="CB589" s="249"/>
      <c r="CC589" s="249"/>
      <c r="CD589" s="249"/>
      <c r="CE589" s="249"/>
    </row>
    <row r="590" spans="1:83" s="84" customFormat="1" ht="12.95" customHeight="1">
      <c r="A590" s="1"/>
      <c r="B590" s="1"/>
      <c r="C590" s="18" t="s">
        <v>835</v>
      </c>
      <c r="D590" s="52" t="s">
        <v>3107</v>
      </c>
      <c r="E590" s="52" t="s">
        <v>3065</v>
      </c>
      <c r="F590" s="53" t="s">
        <v>1129</v>
      </c>
      <c r="G590" s="179" t="s">
        <v>1429</v>
      </c>
      <c r="H590" s="180"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29" t="s">
        <v>835</v>
      </c>
      <c r="AR590" s="5"/>
      <c r="AS590" s="5"/>
      <c r="AT590" s="5"/>
      <c r="AU590" s="5"/>
      <c r="AV590" s="5"/>
      <c r="AW590" s="5"/>
      <c r="AX590" s="284"/>
      <c r="AY590" s="5"/>
      <c r="AZ590" s="5"/>
      <c r="BA590" s="230"/>
      <c r="BB590" s="5"/>
      <c r="BC590" s="232" t="s">
        <v>3536</v>
      </c>
      <c r="BD590" s="257"/>
      <c r="BE590" s="249"/>
      <c r="BF590" s="249"/>
      <c r="BG590" s="249"/>
      <c r="BH590" s="249"/>
      <c r="BI590" s="249"/>
      <c r="BJ590" s="249"/>
      <c r="BK590" s="249"/>
      <c r="BL590" s="249"/>
      <c r="BM590" s="249"/>
      <c r="BN590" s="249"/>
      <c r="BO590" s="249"/>
      <c r="BP590" s="249"/>
      <c r="BQ590" s="249"/>
      <c r="BR590" s="249"/>
      <c r="BS590" s="249"/>
      <c r="BT590" s="249"/>
      <c r="BU590" s="249"/>
      <c r="BV590" s="249"/>
      <c r="BW590" s="249"/>
      <c r="BX590" s="249"/>
      <c r="BY590" s="249"/>
      <c r="BZ590" s="249"/>
      <c r="CA590" s="249"/>
      <c r="CB590" s="249"/>
      <c r="CC590" s="249"/>
      <c r="CD590" s="249"/>
      <c r="CE590" s="249"/>
    </row>
    <row r="591" spans="1:83" s="84" customFormat="1" ht="12.95" customHeight="1">
      <c r="A591" s="1"/>
      <c r="B591" s="1"/>
      <c r="C591" s="18" t="s">
        <v>836</v>
      </c>
      <c r="D591" s="52" t="s">
        <v>3109</v>
      </c>
      <c r="E591" s="52" t="s">
        <v>3083</v>
      </c>
      <c r="F591" s="53" t="s">
        <v>1130</v>
      </c>
      <c r="G591" s="179" t="s">
        <v>1429</v>
      </c>
      <c r="H591" s="180"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29" t="s">
        <v>836</v>
      </c>
      <c r="AR591" s="5"/>
      <c r="AS591" s="5"/>
      <c r="AT591" s="5"/>
      <c r="AU591" s="5"/>
      <c r="AV591" s="5"/>
      <c r="AW591" s="5"/>
      <c r="AX591" s="284"/>
      <c r="AY591" s="5"/>
      <c r="AZ591" s="5"/>
      <c r="BA591" s="230"/>
      <c r="BB591" s="5"/>
      <c r="BC591" s="232" t="s">
        <v>3536</v>
      </c>
      <c r="BD591" s="257"/>
      <c r="BE591" s="249"/>
      <c r="BF591" s="249"/>
      <c r="BG591" s="249"/>
      <c r="BH591" s="249"/>
      <c r="BI591" s="249"/>
      <c r="BJ591" s="249"/>
      <c r="BK591" s="249"/>
      <c r="BL591" s="249"/>
      <c r="BM591" s="249"/>
      <c r="BN591" s="249"/>
      <c r="BO591" s="249"/>
      <c r="BP591" s="249"/>
      <c r="BQ591" s="249"/>
      <c r="BR591" s="249"/>
      <c r="BS591" s="249"/>
      <c r="BT591" s="249"/>
      <c r="BU591" s="249"/>
      <c r="BV591" s="249"/>
      <c r="BW591" s="249"/>
      <c r="BX591" s="249"/>
      <c r="BY591" s="249"/>
      <c r="BZ591" s="249"/>
      <c r="CA591" s="249"/>
      <c r="CB591" s="249"/>
      <c r="CC591" s="249"/>
      <c r="CD591" s="249"/>
      <c r="CE591" s="249"/>
    </row>
    <row r="592" spans="1:83" s="84" customFormat="1" ht="12.95" customHeight="1">
      <c r="A592" s="1"/>
      <c r="B592" s="1"/>
      <c r="C592" s="21" t="s">
        <v>837</v>
      </c>
      <c r="D592" s="52" t="s">
        <v>3096</v>
      </c>
      <c r="E592" s="52" t="s">
        <v>3111</v>
      </c>
      <c r="F592" s="53" t="s">
        <v>1131</v>
      </c>
      <c r="G592" s="179" t="s">
        <v>1429</v>
      </c>
      <c r="H592" s="180"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29" t="s">
        <v>837</v>
      </c>
      <c r="AR592" s="5"/>
      <c r="AS592" s="5"/>
      <c r="AT592" s="5"/>
      <c r="AU592" s="5"/>
      <c r="AV592" s="5"/>
      <c r="AW592" s="5"/>
      <c r="AX592" s="284"/>
      <c r="AY592" s="5"/>
      <c r="AZ592" s="5"/>
      <c r="BA592" s="230"/>
      <c r="BB592" s="5"/>
      <c r="BC592" s="232" t="s">
        <v>3536</v>
      </c>
      <c r="BD592" s="257"/>
      <c r="BE592" s="249"/>
      <c r="BF592" s="249"/>
      <c r="BG592" s="249"/>
      <c r="BH592" s="249"/>
      <c r="BI592" s="249"/>
      <c r="BJ592" s="249"/>
      <c r="BK592" s="249"/>
      <c r="BL592" s="249"/>
      <c r="BM592" s="249"/>
      <c r="BN592" s="249"/>
      <c r="BO592" s="249"/>
      <c r="BP592" s="249"/>
      <c r="BQ592" s="249"/>
      <c r="BR592" s="249"/>
      <c r="BS592" s="249"/>
      <c r="BT592" s="249"/>
      <c r="BU592" s="249"/>
      <c r="BV592" s="249"/>
      <c r="BW592" s="249"/>
      <c r="BX592" s="249"/>
      <c r="BY592" s="249"/>
      <c r="BZ592" s="249"/>
      <c r="CA592" s="249"/>
      <c r="CB592" s="249"/>
      <c r="CC592" s="249"/>
      <c r="CD592" s="249"/>
      <c r="CE592" s="249"/>
    </row>
    <row r="593" spans="1:83" s="84" customFormat="1" ht="12.95" customHeight="1">
      <c r="A593" s="1"/>
      <c r="B593" s="1"/>
      <c r="C593" s="21" t="s">
        <v>838</v>
      </c>
      <c r="D593" s="52" t="s">
        <v>3113</v>
      </c>
      <c r="E593" s="52" t="s">
        <v>3114</v>
      </c>
      <c r="F593" s="53" t="s">
        <v>1132</v>
      </c>
      <c r="G593" s="179" t="s">
        <v>1429</v>
      </c>
      <c r="H593" s="180"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29" t="s">
        <v>838</v>
      </c>
      <c r="AR593" s="5"/>
      <c r="AS593" s="5"/>
      <c r="AT593" s="5"/>
      <c r="AU593" s="5"/>
      <c r="AV593" s="5"/>
      <c r="AW593" s="5"/>
      <c r="AX593" s="284"/>
      <c r="AY593" s="5"/>
      <c r="AZ593" s="5"/>
      <c r="BA593" s="230"/>
      <c r="BB593" s="5"/>
      <c r="BC593" s="232" t="s">
        <v>3536</v>
      </c>
      <c r="BD593" s="257"/>
      <c r="BE593" s="249"/>
      <c r="BF593" s="249"/>
      <c r="BG593" s="249"/>
      <c r="BH593" s="249"/>
      <c r="BI593" s="249"/>
      <c r="BJ593" s="249"/>
      <c r="BK593" s="249"/>
      <c r="BL593" s="249"/>
      <c r="BM593" s="249"/>
      <c r="BN593" s="249"/>
      <c r="BO593" s="249"/>
      <c r="BP593" s="249"/>
      <c r="BQ593" s="249"/>
      <c r="BR593" s="249"/>
      <c r="BS593" s="249"/>
      <c r="BT593" s="249"/>
      <c r="BU593" s="249"/>
      <c r="BV593" s="249"/>
      <c r="BW593" s="249"/>
      <c r="BX593" s="249"/>
      <c r="BY593" s="249"/>
      <c r="BZ593" s="249"/>
      <c r="CA593" s="249"/>
      <c r="CB593" s="249"/>
      <c r="CC593" s="249"/>
      <c r="CD593" s="249"/>
      <c r="CE593" s="249"/>
    </row>
    <row r="594" spans="1:83" s="84" customFormat="1" ht="12.95" customHeight="1">
      <c r="A594" s="1"/>
      <c r="B594" s="1"/>
      <c r="C594" s="18" t="s">
        <v>839</v>
      </c>
      <c r="D594" s="52" t="s">
        <v>3116</v>
      </c>
      <c r="E594" s="52" t="s">
        <v>3117</v>
      </c>
      <c r="F594" s="53" t="s">
        <v>1133</v>
      </c>
      <c r="G594" s="179" t="s">
        <v>1429</v>
      </c>
      <c r="H594" s="180"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29" t="s">
        <v>839</v>
      </c>
      <c r="AR594" s="5"/>
      <c r="AS594" s="5"/>
      <c r="AT594" s="5"/>
      <c r="AU594" s="5"/>
      <c r="AV594" s="5"/>
      <c r="AW594" s="5"/>
      <c r="AX594" s="284"/>
      <c r="AY594" s="5"/>
      <c r="AZ594" s="5"/>
      <c r="BA594" s="230"/>
      <c r="BB594" s="5"/>
      <c r="BC594" s="232" t="s">
        <v>3536</v>
      </c>
      <c r="BD594" s="257"/>
      <c r="BE594" s="249"/>
      <c r="BF594" s="249"/>
      <c r="BG594" s="249"/>
      <c r="BH594" s="249"/>
      <c r="BI594" s="249"/>
      <c r="BJ594" s="249"/>
      <c r="BK594" s="249"/>
      <c r="BL594" s="249"/>
      <c r="BM594" s="249"/>
      <c r="BN594" s="249"/>
      <c r="BO594" s="249"/>
      <c r="BP594" s="249"/>
      <c r="BQ594" s="249"/>
      <c r="BR594" s="249"/>
      <c r="BS594" s="249"/>
      <c r="BT594" s="249"/>
      <c r="BU594" s="249"/>
      <c r="BV594" s="249"/>
      <c r="BW594" s="249"/>
      <c r="BX594" s="249"/>
      <c r="BY594" s="249"/>
      <c r="BZ594" s="249"/>
      <c r="CA594" s="249"/>
      <c r="CB594" s="249"/>
      <c r="CC594" s="249"/>
      <c r="CD594" s="249"/>
      <c r="CE594" s="249"/>
    </row>
    <row r="595" spans="1:83" s="84" customFormat="1" ht="12.95" customHeight="1">
      <c r="A595" s="1"/>
      <c r="B595" s="1"/>
      <c r="C595" s="18" t="s">
        <v>840</v>
      </c>
      <c r="D595" s="52" t="s">
        <v>3119</v>
      </c>
      <c r="E595" s="52" t="s">
        <v>3120</v>
      </c>
      <c r="F595" s="53" t="s">
        <v>1134</v>
      </c>
      <c r="G595" s="179" t="s">
        <v>1429</v>
      </c>
      <c r="H595" s="180"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29" t="s">
        <v>840</v>
      </c>
      <c r="AR595" s="5"/>
      <c r="AS595" s="5"/>
      <c r="AT595" s="5"/>
      <c r="AU595" s="5"/>
      <c r="AV595" s="5"/>
      <c r="AW595" s="5"/>
      <c r="AX595" s="284"/>
      <c r="AY595" s="5"/>
      <c r="AZ595" s="5"/>
      <c r="BA595" s="230"/>
      <c r="BB595" s="5"/>
      <c r="BC595" s="232" t="s">
        <v>3536</v>
      </c>
      <c r="BD595" s="257"/>
      <c r="BE595" s="249"/>
      <c r="BF595" s="249"/>
      <c r="BG595" s="249"/>
      <c r="BH595" s="249"/>
      <c r="BI595" s="249"/>
      <c r="BJ595" s="249"/>
      <c r="BK595" s="249"/>
      <c r="BL595" s="249"/>
      <c r="BM595" s="249"/>
      <c r="BN595" s="249"/>
      <c r="BO595" s="249"/>
      <c r="BP595" s="249"/>
      <c r="BQ595" s="249"/>
      <c r="BR595" s="249"/>
      <c r="BS595" s="249"/>
      <c r="BT595" s="249"/>
      <c r="BU595" s="249"/>
      <c r="BV595" s="249"/>
      <c r="BW595" s="249"/>
      <c r="BX595" s="249"/>
      <c r="BY595" s="249"/>
      <c r="BZ595" s="249"/>
      <c r="CA595" s="249"/>
      <c r="CB595" s="249"/>
      <c r="CC595" s="249"/>
      <c r="CD595" s="249"/>
      <c r="CE595" s="249"/>
    </row>
    <row r="596" spans="1:83" s="84" customFormat="1" ht="12.95" customHeight="1">
      <c r="A596" s="1"/>
      <c r="B596" s="1"/>
      <c r="C596" s="18" t="s">
        <v>841</v>
      </c>
      <c r="D596" s="52" t="s">
        <v>3122</v>
      </c>
      <c r="E596" s="52" t="s">
        <v>3104</v>
      </c>
      <c r="F596" s="53" t="s">
        <v>1135</v>
      </c>
      <c r="G596" s="179" t="s">
        <v>1429</v>
      </c>
      <c r="H596" s="180"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29" t="s">
        <v>841</v>
      </c>
      <c r="AR596" s="5"/>
      <c r="AS596" s="5"/>
      <c r="AT596" s="5"/>
      <c r="AU596" s="5"/>
      <c r="AV596" s="5"/>
      <c r="AW596" s="5"/>
      <c r="AX596" s="284"/>
      <c r="AY596" s="5"/>
      <c r="AZ596" s="5"/>
      <c r="BA596" s="230"/>
      <c r="BB596" s="5"/>
      <c r="BC596" s="232" t="s">
        <v>3536</v>
      </c>
      <c r="BD596" s="257"/>
      <c r="BE596" s="249"/>
      <c r="BF596" s="249"/>
      <c r="BG596" s="249"/>
      <c r="BH596" s="249"/>
      <c r="BI596" s="249"/>
      <c r="BJ596" s="249"/>
      <c r="BK596" s="249"/>
      <c r="BL596" s="249"/>
      <c r="BM596" s="249"/>
      <c r="BN596" s="249"/>
      <c r="BO596" s="249"/>
      <c r="BP596" s="249"/>
      <c r="BQ596" s="249"/>
      <c r="BR596" s="249"/>
      <c r="BS596" s="249"/>
      <c r="BT596" s="249"/>
      <c r="BU596" s="249"/>
      <c r="BV596" s="249"/>
      <c r="BW596" s="249"/>
      <c r="BX596" s="249"/>
      <c r="BY596" s="249"/>
      <c r="BZ596" s="249"/>
      <c r="CA596" s="249"/>
      <c r="CB596" s="249"/>
      <c r="CC596" s="249"/>
      <c r="CD596" s="249"/>
      <c r="CE596" s="249"/>
    </row>
    <row r="597" spans="1:83" s="84" customFormat="1" ht="12.95" customHeight="1">
      <c r="A597" s="1"/>
      <c r="B597" s="1"/>
      <c r="C597" s="18" t="s">
        <v>842</v>
      </c>
      <c r="D597" s="52" t="s">
        <v>3124</v>
      </c>
      <c r="E597" s="52" t="s">
        <v>3125</v>
      </c>
      <c r="F597" s="53" t="s">
        <v>1136</v>
      </c>
      <c r="G597" s="179" t="s">
        <v>1429</v>
      </c>
      <c r="H597" s="180"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29" t="s">
        <v>842</v>
      </c>
      <c r="AR597" s="5"/>
      <c r="AS597" s="5"/>
      <c r="AT597" s="5"/>
      <c r="AU597" s="5"/>
      <c r="AV597" s="5"/>
      <c r="AW597" s="5"/>
      <c r="AX597" s="284"/>
      <c r="AY597" s="5"/>
      <c r="AZ597" s="5"/>
      <c r="BA597" s="230"/>
      <c r="BB597" s="5"/>
      <c r="BC597" s="232" t="s">
        <v>3536</v>
      </c>
      <c r="BD597" s="257"/>
      <c r="BE597" s="249"/>
      <c r="BF597" s="249"/>
      <c r="BG597" s="249"/>
      <c r="BH597" s="249"/>
      <c r="BI597" s="249"/>
      <c r="BJ597" s="249"/>
      <c r="BK597" s="249"/>
      <c r="BL597" s="249"/>
      <c r="BM597" s="249"/>
      <c r="BN597" s="249"/>
      <c r="BO597" s="249"/>
      <c r="BP597" s="249"/>
      <c r="BQ597" s="249"/>
      <c r="BR597" s="249"/>
      <c r="BS597" s="249"/>
      <c r="BT597" s="249"/>
      <c r="BU597" s="249"/>
      <c r="BV597" s="249"/>
      <c r="BW597" s="249"/>
      <c r="BX597" s="249"/>
      <c r="BY597" s="249"/>
      <c r="BZ597" s="249"/>
      <c r="CA597" s="249"/>
      <c r="CB597" s="249"/>
      <c r="CC597" s="249"/>
      <c r="CD597" s="249"/>
      <c r="CE597" s="249"/>
    </row>
    <row r="598" spans="1:83" s="84" customFormat="1" ht="12.95" customHeight="1">
      <c r="A598" s="1"/>
      <c r="B598" s="1"/>
      <c r="C598" s="18" t="s">
        <v>843</v>
      </c>
      <c r="D598" s="52" t="s">
        <v>3127</v>
      </c>
      <c r="E598" s="52" t="s">
        <v>3098</v>
      </c>
      <c r="F598" s="53" t="s">
        <v>1137</v>
      </c>
      <c r="G598" s="179" t="s">
        <v>1429</v>
      </c>
      <c r="H598" s="180"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29" t="s">
        <v>843</v>
      </c>
      <c r="AR598" s="5"/>
      <c r="AS598" s="5"/>
      <c r="AT598" s="5"/>
      <c r="AU598" s="5"/>
      <c r="AV598" s="5"/>
      <c r="AW598" s="5"/>
      <c r="AX598" s="284"/>
      <c r="AY598" s="5"/>
      <c r="AZ598" s="5"/>
      <c r="BA598" s="230"/>
      <c r="BB598" s="5"/>
      <c r="BC598" s="232" t="s">
        <v>3536</v>
      </c>
      <c r="BD598" s="257"/>
      <c r="BE598" s="249"/>
      <c r="BF598" s="249"/>
      <c r="BG598" s="249"/>
      <c r="BH598" s="249"/>
      <c r="BI598" s="249"/>
      <c r="BJ598" s="249"/>
      <c r="BK598" s="249"/>
      <c r="BL598" s="249"/>
      <c r="BM598" s="249"/>
      <c r="BN598" s="249"/>
      <c r="BO598" s="249"/>
      <c r="BP598" s="249"/>
      <c r="BQ598" s="249"/>
      <c r="BR598" s="249"/>
      <c r="BS598" s="249"/>
      <c r="BT598" s="249"/>
      <c r="BU598" s="249"/>
      <c r="BV598" s="249"/>
      <c r="BW598" s="249"/>
      <c r="BX598" s="249"/>
      <c r="BY598" s="249"/>
      <c r="BZ598" s="249"/>
      <c r="CA598" s="249"/>
      <c r="CB598" s="249"/>
      <c r="CC598" s="249"/>
      <c r="CD598" s="249"/>
      <c r="CE598" s="249"/>
    </row>
    <row r="599" spans="1:83" s="84" customFormat="1" ht="12.95" customHeight="1">
      <c r="A599" s="1"/>
      <c r="B599" s="1"/>
      <c r="C599" s="18" t="s">
        <v>844</v>
      </c>
      <c r="D599" s="52" t="s">
        <v>3129</v>
      </c>
      <c r="E599" s="52" t="s">
        <v>3130</v>
      </c>
      <c r="F599" s="53" t="s">
        <v>1138</v>
      </c>
      <c r="G599" s="179" t="s">
        <v>1429</v>
      </c>
      <c r="H599" s="180"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29" t="s">
        <v>844</v>
      </c>
      <c r="AR599" s="5"/>
      <c r="AS599" s="5"/>
      <c r="AT599" s="5"/>
      <c r="AU599" s="5"/>
      <c r="AV599" s="5"/>
      <c r="AW599" s="5"/>
      <c r="AX599" s="284"/>
      <c r="AY599" s="5"/>
      <c r="AZ599" s="5"/>
      <c r="BA599" s="230"/>
      <c r="BB599" s="5"/>
      <c r="BC599" s="232" t="s">
        <v>3536</v>
      </c>
      <c r="BD599" s="257"/>
      <c r="BE599" s="249"/>
      <c r="BF599" s="249"/>
      <c r="BG599" s="249"/>
      <c r="BH599" s="249"/>
      <c r="BI599" s="249"/>
      <c r="BJ599" s="249"/>
      <c r="BK599" s="249"/>
      <c r="BL599" s="249"/>
      <c r="BM599" s="249"/>
      <c r="BN599" s="249"/>
      <c r="BO599" s="249"/>
      <c r="BP599" s="249"/>
      <c r="BQ599" s="249"/>
      <c r="BR599" s="249"/>
      <c r="BS599" s="249"/>
      <c r="BT599" s="249"/>
      <c r="BU599" s="249"/>
      <c r="BV599" s="249"/>
      <c r="BW599" s="249"/>
      <c r="BX599" s="249"/>
      <c r="BY599" s="249"/>
      <c r="BZ599" s="249"/>
      <c r="CA599" s="249"/>
      <c r="CB599" s="249"/>
      <c r="CC599" s="249"/>
      <c r="CD599" s="249"/>
      <c r="CE599" s="249"/>
    </row>
    <row r="600" spans="1:83" s="84" customFormat="1" ht="12.95" customHeight="1">
      <c r="A600" s="1"/>
      <c r="B600" s="1"/>
      <c r="C600" s="18" t="s">
        <v>845</v>
      </c>
      <c r="D600" s="52" t="s">
        <v>3132</v>
      </c>
      <c r="E600" s="52" t="s">
        <v>3113</v>
      </c>
      <c r="F600" s="53" t="s">
        <v>1139</v>
      </c>
      <c r="G600" s="179" t="s">
        <v>1429</v>
      </c>
      <c r="H600" s="180"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29" t="s">
        <v>845</v>
      </c>
      <c r="AR600" s="5"/>
      <c r="AS600" s="5"/>
      <c r="AT600" s="5"/>
      <c r="AU600" s="5"/>
      <c r="AV600" s="5"/>
      <c r="AW600" s="5"/>
      <c r="AX600" s="284"/>
      <c r="AY600" s="5"/>
      <c r="AZ600" s="5"/>
      <c r="BA600" s="230"/>
      <c r="BB600" s="5"/>
      <c r="BC600" s="232" t="s">
        <v>3536</v>
      </c>
      <c r="BD600" s="257"/>
      <c r="BE600" s="249"/>
      <c r="BF600" s="249"/>
      <c r="BG600" s="249"/>
      <c r="BH600" s="249"/>
      <c r="BI600" s="249"/>
      <c r="BJ600" s="249"/>
      <c r="BK600" s="249"/>
      <c r="BL600" s="249"/>
      <c r="BM600" s="249"/>
      <c r="BN600" s="249"/>
      <c r="BO600" s="249"/>
      <c r="BP600" s="249"/>
      <c r="BQ600" s="249"/>
      <c r="BR600" s="249"/>
      <c r="BS600" s="249"/>
      <c r="BT600" s="249"/>
      <c r="BU600" s="249"/>
      <c r="BV600" s="249"/>
      <c r="BW600" s="249"/>
      <c r="BX600" s="249"/>
      <c r="BY600" s="249"/>
      <c r="BZ600" s="249"/>
      <c r="CA600" s="249"/>
      <c r="CB600" s="249"/>
      <c r="CC600" s="249"/>
      <c r="CD600" s="249"/>
      <c r="CE600" s="249"/>
    </row>
    <row r="601" spans="1:83" s="84" customFormat="1" ht="12.95" customHeight="1">
      <c r="A601" s="1"/>
      <c r="B601" s="1"/>
      <c r="C601" s="18" t="s">
        <v>846</v>
      </c>
      <c r="D601" s="52" t="s">
        <v>3134</v>
      </c>
      <c r="E601" s="52" t="s">
        <v>3135</v>
      </c>
      <c r="F601" s="53" t="s">
        <v>1140</v>
      </c>
      <c r="G601" s="179" t="s">
        <v>1429</v>
      </c>
      <c r="H601" s="180"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29" t="s">
        <v>846</v>
      </c>
      <c r="AR601" s="5"/>
      <c r="AS601" s="5"/>
      <c r="AT601" s="5"/>
      <c r="AU601" s="5"/>
      <c r="AV601" s="5"/>
      <c r="AW601" s="5"/>
      <c r="AX601" s="284"/>
      <c r="AY601" s="5"/>
      <c r="AZ601" s="5"/>
      <c r="BA601" s="230"/>
      <c r="BB601" s="5"/>
      <c r="BC601" s="232" t="s">
        <v>3536</v>
      </c>
      <c r="BD601" s="257"/>
      <c r="BE601" s="249"/>
      <c r="BF601" s="249"/>
      <c r="BG601" s="249"/>
      <c r="BH601" s="249"/>
      <c r="BI601" s="249"/>
      <c r="BJ601" s="249"/>
      <c r="BK601" s="249"/>
      <c r="BL601" s="249"/>
      <c r="BM601" s="249"/>
      <c r="BN601" s="249"/>
      <c r="BO601" s="249"/>
      <c r="BP601" s="249"/>
      <c r="BQ601" s="249"/>
      <c r="BR601" s="249"/>
      <c r="BS601" s="249"/>
      <c r="BT601" s="249"/>
      <c r="BU601" s="249"/>
      <c r="BV601" s="249"/>
      <c r="BW601" s="249"/>
      <c r="BX601" s="249"/>
      <c r="BY601" s="249"/>
      <c r="BZ601" s="249"/>
      <c r="CA601" s="249"/>
      <c r="CB601" s="249"/>
      <c r="CC601" s="249"/>
      <c r="CD601" s="249"/>
      <c r="CE601" s="249"/>
    </row>
    <row r="602" spans="1:83" s="84" customFormat="1" ht="12.95" customHeight="1">
      <c r="A602" s="1"/>
      <c r="B602" s="1"/>
      <c r="C602" s="18" t="s">
        <v>847</v>
      </c>
      <c r="D602" s="52" t="s">
        <v>3137</v>
      </c>
      <c r="E602" s="52" t="s">
        <v>3138</v>
      </c>
      <c r="F602" s="53" t="s">
        <v>1141</v>
      </c>
      <c r="G602" s="179" t="s">
        <v>1429</v>
      </c>
      <c r="H602" s="180"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29" t="s">
        <v>847</v>
      </c>
      <c r="AR602" s="5"/>
      <c r="AS602" s="5"/>
      <c r="AT602" s="5"/>
      <c r="AU602" s="5"/>
      <c r="AV602" s="5"/>
      <c r="AW602" s="5"/>
      <c r="AX602" s="284"/>
      <c r="AY602" s="5"/>
      <c r="AZ602" s="5"/>
      <c r="BA602" s="230"/>
      <c r="BB602" s="5"/>
      <c r="BC602" s="232" t="s">
        <v>3536</v>
      </c>
      <c r="BD602" s="257"/>
      <c r="BE602" s="249"/>
      <c r="BF602" s="249"/>
      <c r="BG602" s="249"/>
      <c r="BH602" s="249"/>
      <c r="BI602" s="249"/>
      <c r="BJ602" s="249"/>
      <c r="BK602" s="249"/>
      <c r="BL602" s="249"/>
      <c r="BM602" s="249"/>
      <c r="BN602" s="249"/>
      <c r="BO602" s="249"/>
      <c r="BP602" s="249"/>
      <c r="BQ602" s="249"/>
      <c r="BR602" s="249"/>
      <c r="BS602" s="249"/>
      <c r="BT602" s="249"/>
      <c r="BU602" s="249"/>
      <c r="BV602" s="249"/>
      <c r="BW602" s="249"/>
      <c r="BX602" s="249"/>
      <c r="BY602" s="249"/>
      <c r="BZ602" s="249"/>
      <c r="CA602" s="249"/>
      <c r="CB602" s="249"/>
      <c r="CC602" s="249"/>
      <c r="CD602" s="249"/>
      <c r="CE602" s="249"/>
    </row>
    <row r="603" spans="1:83" s="84" customFormat="1" ht="12.95" customHeight="1">
      <c r="A603" s="1"/>
      <c r="B603" s="1"/>
      <c r="C603" s="18" t="s">
        <v>848</v>
      </c>
      <c r="D603" s="52" t="s">
        <v>3140</v>
      </c>
      <c r="E603" s="52" t="s">
        <v>3119</v>
      </c>
      <c r="F603" s="53" t="s">
        <v>1142</v>
      </c>
      <c r="G603" s="179" t="s">
        <v>1429</v>
      </c>
      <c r="H603" s="180"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29" t="s">
        <v>848</v>
      </c>
      <c r="AR603" s="5"/>
      <c r="AS603" s="5"/>
      <c r="AT603" s="5"/>
      <c r="AU603" s="5"/>
      <c r="AV603" s="5"/>
      <c r="AW603" s="5"/>
      <c r="AX603" s="284"/>
      <c r="AY603" s="5"/>
      <c r="AZ603" s="5"/>
      <c r="BA603" s="230"/>
      <c r="BB603" s="5"/>
      <c r="BC603" s="232" t="s">
        <v>3536</v>
      </c>
      <c r="BD603" s="257"/>
      <c r="BE603" s="249"/>
      <c r="BF603" s="249"/>
      <c r="BG603" s="249"/>
      <c r="BH603" s="249"/>
      <c r="BI603" s="249"/>
      <c r="BJ603" s="249"/>
      <c r="BK603" s="249"/>
      <c r="BL603" s="249"/>
      <c r="BM603" s="249"/>
      <c r="BN603" s="249"/>
      <c r="BO603" s="249"/>
      <c r="BP603" s="249"/>
      <c r="BQ603" s="249"/>
      <c r="BR603" s="249"/>
      <c r="BS603" s="249"/>
      <c r="BT603" s="249"/>
      <c r="BU603" s="249"/>
      <c r="BV603" s="249"/>
      <c r="BW603" s="249"/>
      <c r="BX603" s="249"/>
      <c r="BY603" s="249"/>
      <c r="BZ603" s="249"/>
      <c r="CA603" s="249"/>
      <c r="CB603" s="249"/>
      <c r="CC603" s="249"/>
      <c r="CD603" s="249"/>
      <c r="CE603" s="249"/>
    </row>
    <row r="604" spans="1:83" s="84" customFormat="1" ht="12.95" customHeight="1">
      <c r="A604" s="1"/>
      <c r="B604" s="1"/>
      <c r="C604" s="21" t="s">
        <v>849</v>
      </c>
      <c r="D604" s="52" t="s">
        <v>3142</v>
      </c>
      <c r="E604" s="52" t="s">
        <v>3143</v>
      </c>
      <c r="F604" s="53" t="s">
        <v>1143</v>
      </c>
      <c r="G604" s="179" t="s">
        <v>1429</v>
      </c>
      <c r="H604" s="180"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29" t="s">
        <v>849</v>
      </c>
      <c r="AR604" s="5"/>
      <c r="AS604" s="5"/>
      <c r="AT604" s="5"/>
      <c r="AU604" s="5"/>
      <c r="AV604" s="5"/>
      <c r="AW604" s="5"/>
      <c r="AX604" s="284"/>
      <c r="AY604" s="5"/>
      <c r="AZ604" s="5"/>
      <c r="BA604" s="230"/>
      <c r="BB604" s="5"/>
      <c r="BC604" s="232" t="s">
        <v>3536</v>
      </c>
      <c r="BD604" s="257"/>
      <c r="BE604" s="249"/>
      <c r="BF604" s="249"/>
      <c r="BG604" s="249"/>
      <c r="BH604" s="249"/>
      <c r="BI604" s="249"/>
      <c r="BJ604" s="249"/>
      <c r="BK604" s="249"/>
      <c r="BL604" s="249"/>
      <c r="BM604" s="249"/>
      <c r="BN604" s="249"/>
      <c r="BO604" s="249"/>
      <c r="BP604" s="249"/>
      <c r="BQ604" s="249"/>
      <c r="BR604" s="249"/>
      <c r="BS604" s="249"/>
      <c r="BT604" s="249"/>
      <c r="BU604" s="249"/>
      <c r="BV604" s="249"/>
      <c r="BW604" s="249"/>
      <c r="BX604" s="249"/>
      <c r="BY604" s="249"/>
      <c r="BZ604" s="249"/>
      <c r="CA604" s="249"/>
      <c r="CB604" s="249"/>
      <c r="CC604" s="249"/>
      <c r="CD604" s="249"/>
      <c r="CE604" s="249"/>
    </row>
    <row r="605" spans="1:83" s="84" customFormat="1" ht="12.95" customHeight="1">
      <c r="A605" s="1"/>
      <c r="B605" s="1"/>
      <c r="C605" s="21" t="s">
        <v>850</v>
      </c>
      <c r="D605" s="52" t="s">
        <v>3145</v>
      </c>
      <c r="E605" s="52" t="s">
        <v>3146</v>
      </c>
      <c r="F605" s="53" t="s">
        <v>1144</v>
      </c>
      <c r="G605" s="179" t="s">
        <v>1429</v>
      </c>
      <c r="H605" s="180"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29" t="s">
        <v>850</v>
      </c>
      <c r="AR605" s="5"/>
      <c r="AS605" s="5"/>
      <c r="AT605" s="5"/>
      <c r="AU605" s="5"/>
      <c r="AV605" s="5"/>
      <c r="AW605" s="5"/>
      <c r="AX605" s="284"/>
      <c r="AY605" s="5"/>
      <c r="AZ605" s="5"/>
      <c r="BA605" s="230"/>
      <c r="BB605" s="5"/>
      <c r="BC605" s="232" t="s">
        <v>3536</v>
      </c>
      <c r="BD605" s="257"/>
      <c r="BE605" s="249"/>
      <c r="BF605" s="249"/>
      <c r="BG605" s="249"/>
      <c r="BH605" s="249"/>
      <c r="BI605" s="249"/>
      <c r="BJ605" s="249"/>
      <c r="BK605" s="249"/>
      <c r="BL605" s="249"/>
      <c r="BM605" s="249"/>
      <c r="BN605" s="249"/>
      <c r="BO605" s="249"/>
      <c r="BP605" s="249"/>
      <c r="BQ605" s="249"/>
      <c r="BR605" s="249"/>
      <c r="BS605" s="249"/>
      <c r="BT605" s="249"/>
      <c r="BU605" s="249"/>
      <c r="BV605" s="249"/>
      <c r="BW605" s="249"/>
      <c r="BX605" s="249"/>
      <c r="BY605" s="249"/>
      <c r="BZ605" s="249"/>
      <c r="CA605" s="249"/>
      <c r="CB605" s="249"/>
      <c r="CC605" s="249"/>
      <c r="CD605" s="249"/>
      <c r="CE605" s="249"/>
    </row>
    <row r="606" spans="1:83" s="84" customFormat="1" ht="12.75" customHeight="1">
      <c r="A606" s="1"/>
      <c r="B606" s="1"/>
      <c r="C606" s="18" t="s">
        <v>851</v>
      </c>
      <c r="D606" s="52" t="s">
        <v>3148</v>
      </c>
      <c r="E606" s="52" t="s">
        <v>3149</v>
      </c>
      <c r="F606" s="53" t="s">
        <v>1145</v>
      </c>
      <c r="G606" s="179" t="s">
        <v>1429</v>
      </c>
      <c r="H606" s="180"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29" t="s">
        <v>851</v>
      </c>
      <c r="AR606" s="5"/>
      <c r="AS606" s="5"/>
      <c r="AT606" s="5"/>
      <c r="AU606" s="5"/>
      <c r="AV606" s="5"/>
      <c r="AW606" s="5"/>
      <c r="AX606" s="284"/>
      <c r="AY606" s="5"/>
      <c r="AZ606" s="5"/>
      <c r="BA606" s="230"/>
      <c r="BB606" s="5"/>
      <c r="BC606" s="232" t="s">
        <v>3536</v>
      </c>
      <c r="BD606" s="257"/>
      <c r="BE606" s="249"/>
      <c r="BF606" s="249"/>
      <c r="BG606" s="249"/>
      <c r="BH606" s="249"/>
      <c r="BI606" s="249"/>
      <c r="BJ606" s="249"/>
      <c r="BK606" s="249"/>
      <c r="BL606" s="249"/>
      <c r="BM606" s="249"/>
      <c r="BN606" s="249"/>
      <c r="BO606" s="249"/>
      <c r="BP606" s="249"/>
      <c r="BQ606" s="249"/>
      <c r="BR606" s="249"/>
      <c r="BS606" s="249"/>
      <c r="BT606" s="249"/>
      <c r="BU606" s="249"/>
      <c r="BV606" s="249"/>
      <c r="BW606" s="249"/>
      <c r="BX606" s="249"/>
      <c r="BY606" s="249"/>
      <c r="BZ606" s="249"/>
      <c r="CA606" s="249"/>
      <c r="CB606" s="249"/>
      <c r="CC606" s="249"/>
      <c r="CD606" s="249"/>
      <c r="CE606" s="249"/>
    </row>
    <row r="607" spans="1:83" s="84" customFormat="1" ht="12.95" customHeight="1">
      <c r="A607" s="1"/>
      <c r="B607" s="1"/>
      <c r="C607" s="18" t="s">
        <v>852</v>
      </c>
      <c r="D607" s="52" t="s">
        <v>3151</v>
      </c>
      <c r="E607" s="52" t="s">
        <v>3152</v>
      </c>
      <c r="F607" s="53" t="s">
        <v>1146</v>
      </c>
      <c r="G607" s="179" t="s">
        <v>1429</v>
      </c>
      <c r="H607" s="180"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29" t="s">
        <v>852</v>
      </c>
      <c r="AR607" s="5"/>
      <c r="AS607" s="5"/>
      <c r="AT607" s="5"/>
      <c r="AU607" s="5"/>
      <c r="AV607" s="5"/>
      <c r="AW607" s="5"/>
      <c r="AX607" s="284"/>
      <c r="AY607" s="5"/>
      <c r="AZ607" s="5"/>
      <c r="BA607" s="230"/>
      <c r="BB607" s="5"/>
      <c r="BC607" s="232" t="s">
        <v>3536</v>
      </c>
      <c r="BD607" s="257"/>
      <c r="BE607" s="249"/>
      <c r="BF607" s="249"/>
      <c r="BG607" s="249"/>
      <c r="BH607" s="249"/>
      <c r="BI607" s="249"/>
      <c r="BJ607" s="249"/>
      <c r="BK607" s="249"/>
      <c r="BL607" s="249"/>
      <c r="BM607" s="249"/>
      <c r="BN607" s="249"/>
      <c r="BO607" s="249"/>
      <c r="BP607" s="249"/>
      <c r="BQ607" s="249"/>
      <c r="BR607" s="249"/>
      <c r="BS607" s="249"/>
      <c r="BT607" s="249"/>
      <c r="BU607" s="249"/>
      <c r="BV607" s="249"/>
      <c r="BW607" s="249"/>
      <c r="BX607" s="249"/>
      <c r="BY607" s="249"/>
      <c r="BZ607" s="249"/>
      <c r="CA607" s="249"/>
      <c r="CB607" s="249"/>
      <c r="CC607" s="249"/>
      <c r="CD607" s="249"/>
      <c r="CE607" s="249"/>
    </row>
    <row r="608" spans="1:83" s="84" customFormat="1" ht="12.95" customHeight="1">
      <c r="A608" s="1"/>
      <c r="B608" s="1"/>
      <c r="C608" s="18" t="s">
        <v>853</v>
      </c>
      <c r="D608" s="52" t="s">
        <v>3154</v>
      </c>
      <c r="E608" s="52" t="s">
        <v>3134</v>
      </c>
      <c r="F608" s="53" t="s">
        <v>1147</v>
      </c>
      <c r="G608" s="179" t="s">
        <v>1429</v>
      </c>
      <c r="H608" s="180"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29" t="s">
        <v>853</v>
      </c>
      <c r="AR608" s="5"/>
      <c r="AS608" s="5"/>
      <c r="AT608" s="5"/>
      <c r="AU608" s="5"/>
      <c r="AV608" s="5"/>
      <c r="AW608" s="5"/>
      <c r="AX608" s="284"/>
      <c r="AY608" s="5"/>
      <c r="AZ608" s="5"/>
      <c r="BA608" s="230"/>
      <c r="BB608" s="5"/>
      <c r="BC608" s="232" t="s">
        <v>3536</v>
      </c>
      <c r="BD608" s="257"/>
      <c r="BE608" s="249"/>
      <c r="BF608" s="249"/>
      <c r="BG608" s="249"/>
      <c r="BH608" s="249"/>
      <c r="BI608" s="249"/>
      <c r="BJ608" s="249"/>
      <c r="BK608" s="249"/>
      <c r="BL608" s="249"/>
      <c r="BM608" s="249"/>
      <c r="BN608" s="249"/>
      <c r="BO608" s="249"/>
      <c r="BP608" s="249"/>
      <c r="BQ608" s="249"/>
      <c r="BR608" s="249"/>
      <c r="BS608" s="249"/>
      <c r="BT608" s="249"/>
      <c r="BU608" s="249"/>
      <c r="BV608" s="249"/>
      <c r="BW608" s="249"/>
      <c r="BX608" s="249"/>
      <c r="BY608" s="249"/>
      <c r="BZ608" s="249"/>
      <c r="CA608" s="249"/>
      <c r="CB608" s="249"/>
      <c r="CC608" s="249"/>
      <c r="CD608" s="249"/>
      <c r="CE608" s="249"/>
    </row>
    <row r="609" spans="1:83" s="84" customFormat="1" ht="12.95" customHeight="1">
      <c r="A609" s="1"/>
      <c r="B609" s="1"/>
      <c r="C609" s="18" t="s">
        <v>854</v>
      </c>
      <c r="D609" s="52" t="s">
        <v>3156</v>
      </c>
      <c r="E609" s="52" t="s">
        <v>3132</v>
      </c>
      <c r="F609" s="53" t="s">
        <v>1148</v>
      </c>
      <c r="G609" s="179" t="s">
        <v>1429</v>
      </c>
      <c r="H609" s="180"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29" t="s">
        <v>854</v>
      </c>
      <c r="AR609" s="5"/>
      <c r="AS609" s="5"/>
      <c r="AT609" s="5"/>
      <c r="AU609" s="5"/>
      <c r="AV609" s="5"/>
      <c r="AW609" s="5"/>
      <c r="AX609" s="284"/>
      <c r="AY609" s="5"/>
      <c r="AZ609" s="5"/>
      <c r="BA609" s="230"/>
      <c r="BB609" s="5"/>
      <c r="BC609" s="232" t="s">
        <v>3536</v>
      </c>
      <c r="BD609" s="257"/>
      <c r="BE609" s="249"/>
      <c r="BF609" s="249"/>
      <c r="BG609" s="249"/>
      <c r="BH609" s="249"/>
      <c r="BI609" s="249"/>
      <c r="BJ609" s="249"/>
      <c r="BK609" s="249"/>
      <c r="BL609" s="249"/>
      <c r="BM609" s="249"/>
      <c r="BN609" s="249"/>
      <c r="BO609" s="249"/>
      <c r="BP609" s="249"/>
      <c r="BQ609" s="249"/>
      <c r="BR609" s="249"/>
      <c r="BS609" s="249"/>
      <c r="BT609" s="249"/>
      <c r="BU609" s="249"/>
      <c r="BV609" s="249"/>
      <c r="BW609" s="249"/>
      <c r="BX609" s="249"/>
      <c r="BY609" s="249"/>
      <c r="BZ609" s="249"/>
      <c r="CA609" s="249"/>
      <c r="CB609" s="249"/>
      <c r="CC609" s="249"/>
      <c r="CD609" s="249"/>
      <c r="CE609" s="249"/>
    </row>
    <row r="610" spans="1:83" s="84" customFormat="1" ht="12.95" customHeight="1">
      <c r="A610" s="1"/>
      <c r="B610" s="1"/>
      <c r="C610" s="18" t="s">
        <v>855</v>
      </c>
      <c r="D610" s="52" t="s">
        <v>3158</v>
      </c>
      <c r="E610" s="52" t="s">
        <v>3159</v>
      </c>
      <c r="F610" s="53" t="s">
        <v>1149</v>
      </c>
      <c r="G610" s="179" t="s">
        <v>1429</v>
      </c>
      <c r="H610" s="180"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29" t="s">
        <v>855</v>
      </c>
      <c r="AR610" s="5"/>
      <c r="AS610" s="5"/>
      <c r="AT610" s="5"/>
      <c r="AU610" s="5"/>
      <c r="AV610" s="5"/>
      <c r="AW610" s="5"/>
      <c r="AX610" s="284"/>
      <c r="AY610" s="5"/>
      <c r="AZ610" s="5"/>
      <c r="BA610" s="230"/>
      <c r="BB610" s="5"/>
      <c r="BC610" s="232" t="s">
        <v>3536</v>
      </c>
      <c r="BD610" s="257"/>
      <c r="BE610" s="249"/>
      <c r="BF610" s="249"/>
      <c r="BG610" s="249"/>
      <c r="BH610" s="249"/>
      <c r="BI610" s="249"/>
      <c r="BJ610" s="249"/>
      <c r="BK610" s="249"/>
      <c r="BL610" s="249"/>
      <c r="BM610" s="249"/>
      <c r="BN610" s="249"/>
      <c r="BO610" s="249"/>
      <c r="BP610" s="249"/>
      <c r="BQ610" s="249"/>
      <c r="BR610" s="249"/>
      <c r="BS610" s="249"/>
      <c r="BT610" s="249"/>
      <c r="BU610" s="249"/>
      <c r="BV610" s="249"/>
      <c r="BW610" s="249"/>
      <c r="BX610" s="249"/>
      <c r="BY610" s="249"/>
      <c r="BZ610" s="249"/>
      <c r="CA610" s="249"/>
      <c r="CB610" s="249"/>
      <c r="CC610" s="249"/>
      <c r="CD610" s="249"/>
      <c r="CE610" s="249"/>
    </row>
    <row r="611" spans="1:83" s="84" customFormat="1" ht="12.95" customHeight="1">
      <c r="A611" s="1"/>
      <c r="B611" s="1"/>
      <c r="C611" s="18" t="s">
        <v>856</v>
      </c>
      <c r="D611" s="52" t="s">
        <v>3161</v>
      </c>
      <c r="E611" s="52" t="s">
        <v>3162</v>
      </c>
      <c r="F611" s="53" t="s">
        <v>1150</v>
      </c>
      <c r="G611" s="179" t="s">
        <v>1429</v>
      </c>
      <c r="H611" s="180"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29" t="s">
        <v>856</v>
      </c>
      <c r="AR611" s="5"/>
      <c r="AS611" s="5"/>
      <c r="AT611" s="5"/>
      <c r="AU611" s="5"/>
      <c r="AV611" s="5"/>
      <c r="AW611" s="5"/>
      <c r="AX611" s="284"/>
      <c r="AY611" s="5"/>
      <c r="AZ611" s="5"/>
      <c r="BA611" s="230"/>
      <c r="BB611" s="5"/>
      <c r="BC611" s="232" t="s">
        <v>3536</v>
      </c>
      <c r="BD611" s="257"/>
      <c r="BE611" s="249"/>
      <c r="BF611" s="249"/>
      <c r="BG611" s="249"/>
      <c r="BH611" s="249"/>
      <c r="BI611" s="249"/>
      <c r="BJ611" s="249"/>
      <c r="BK611" s="249"/>
      <c r="BL611" s="249"/>
      <c r="BM611" s="249"/>
      <c r="BN611" s="249"/>
      <c r="BO611" s="249"/>
      <c r="BP611" s="249"/>
      <c r="BQ611" s="249"/>
      <c r="BR611" s="249"/>
      <c r="BS611" s="249"/>
      <c r="BT611" s="249"/>
      <c r="BU611" s="249"/>
      <c r="BV611" s="249"/>
      <c r="BW611" s="249"/>
      <c r="BX611" s="249"/>
      <c r="BY611" s="249"/>
      <c r="BZ611" s="249"/>
      <c r="CA611" s="249"/>
      <c r="CB611" s="249"/>
      <c r="CC611" s="249"/>
      <c r="CD611" s="249"/>
      <c r="CE611" s="249"/>
    </row>
    <row r="612" spans="1:83" s="84" customFormat="1" ht="12.95" customHeight="1">
      <c r="A612" s="1"/>
      <c r="B612" s="1"/>
      <c r="C612" s="18" t="s">
        <v>857</v>
      </c>
      <c r="D612" s="52" t="s">
        <v>3164</v>
      </c>
      <c r="E612" s="52" t="s">
        <v>3129</v>
      </c>
      <c r="F612" s="53" t="s">
        <v>1151</v>
      </c>
      <c r="G612" s="179" t="s">
        <v>1429</v>
      </c>
      <c r="H612" s="180"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29" t="s">
        <v>857</v>
      </c>
      <c r="AR612" s="5"/>
      <c r="AS612" s="5"/>
      <c r="AT612" s="5"/>
      <c r="AU612" s="5"/>
      <c r="AV612" s="5"/>
      <c r="AW612" s="5"/>
      <c r="AX612" s="284"/>
      <c r="AY612" s="5"/>
      <c r="AZ612" s="5"/>
      <c r="BA612" s="230"/>
      <c r="BB612" s="5"/>
      <c r="BC612" s="232" t="s">
        <v>3536</v>
      </c>
      <c r="BD612" s="257"/>
      <c r="BE612" s="249"/>
      <c r="BF612" s="249"/>
      <c r="BG612" s="249"/>
      <c r="BH612" s="249"/>
      <c r="BI612" s="249"/>
      <c r="BJ612" s="249"/>
      <c r="BK612" s="249"/>
      <c r="BL612" s="249"/>
      <c r="BM612" s="249"/>
      <c r="BN612" s="249"/>
      <c r="BO612" s="249"/>
      <c r="BP612" s="249"/>
      <c r="BQ612" s="249"/>
      <c r="BR612" s="249"/>
      <c r="BS612" s="249"/>
      <c r="BT612" s="249"/>
      <c r="BU612" s="249"/>
      <c r="BV612" s="249"/>
      <c r="BW612" s="249"/>
      <c r="BX612" s="249"/>
      <c r="BY612" s="249"/>
      <c r="BZ612" s="249"/>
      <c r="CA612" s="249"/>
      <c r="CB612" s="249"/>
      <c r="CC612" s="249"/>
      <c r="CD612" s="249"/>
      <c r="CE612" s="249"/>
    </row>
    <row r="613" spans="1:83" s="84" customFormat="1" ht="12.95" customHeight="1">
      <c r="A613" s="1"/>
      <c r="B613" s="1"/>
      <c r="C613" s="18" t="s">
        <v>858</v>
      </c>
      <c r="D613" s="52" t="s">
        <v>3166</v>
      </c>
      <c r="E613" s="52" t="s">
        <v>3167</v>
      </c>
      <c r="F613" s="53" t="s">
        <v>1152</v>
      </c>
      <c r="G613" s="179" t="s">
        <v>1429</v>
      </c>
      <c r="H613" s="180"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29" t="s">
        <v>858</v>
      </c>
      <c r="AR613" s="5"/>
      <c r="AS613" s="5"/>
      <c r="AT613" s="5"/>
      <c r="AU613" s="5"/>
      <c r="AV613" s="5"/>
      <c r="AW613" s="5"/>
      <c r="AX613" s="284"/>
      <c r="AY613" s="5"/>
      <c r="AZ613" s="5"/>
      <c r="BA613" s="230"/>
      <c r="BB613" s="5"/>
      <c r="BC613" s="232" t="s">
        <v>3536</v>
      </c>
      <c r="BD613" s="257"/>
      <c r="BE613" s="249"/>
      <c r="BF613" s="249"/>
      <c r="BG613" s="249"/>
      <c r="BH613" s="249"/>
      <c r="BI613" s="249"/>
      <c r="BJ613" s="249"/>
      <c r="BK613" s="249"/>
      <c r="BL613" s="249"/>
      <c r="BM613" s="249"/>
      <c r="BN613" s="249"/>
      <c r="BO613" s="249"/>
      <c r="BP613" s="249"/>
      <c r="BQ613" s="249"/>
      <c r="BR613" s="249"/>
      <c r="BS613" s="249"/>
      <c r="BT613" s="249"/>
      <c r="BU613" s="249"/>
      <c r="BV613" s="249"/>
      <c r="BW613" s="249"/>
      <c r="BX613" s="249"/>
      <c r="BY613" s="249"/>
      <c r="BZ613" s="249"/>
      <c r="CA613" s="249"/>
      <c r="CB613" s="249"/>
      <c r="CC613" s="249"/>
      <c r="CD613" s="249"/>
      <c r="CE613" s="249"/>
    </row>
    <row r="614" spans="1:83" s="84" customFormat="1" ht="12.95" customHeight="1">
      <c r="A614" s="1"/>
      <c r="B614" s="1"/>
      <c r="C614" s="18" t="s">
        <v>859</v>
      </c>
      <c r="D614" s="52" t="s">
        <v>3169</v>
      </c>
      <c r="E614" s="52" t="s">
        <v>3170</v>
      </c>
      <c r="F614" s="53" t="s">
        <v>1153</v>
      </c>
      <c r="G614" s="179" t="s">
        <v>1429</v>
      </c>
      <c r="H614" s="180"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29" t="s">
        <v>859</v>
      </c>
      <c r="AR614" s="5"/>
      <c r="AS614" s="5"/>
      <c r="AT614" s="5"/>
      <c r="AU614" s="5"/>
      <c r="AV614" s="5"/>
      <c r="AW614" s="5"/>
      <c r="AX614" s="284"/>
      <c r="AY614" s="5"/>
      <c r="AZ614" s="5"/>
      <c r="BA614" s="230"/>
      <c r="BB614" s="5"/>
      <c r="BC614" s="232" t="s">
        <v>3536</v>
      </c>
      <c r="BD614" s="257"/>
      <c r="BE614" s="249"/>
      <c r="BF614" s="249"/>
      <c r="BG614" s="249"/>
      <c r="BH614" s="249"/>
      <c r="BI614" s="249"/>
      <c r="BJ614" s="249"/>
      <c r="BK614" s="249"/>
      <c r="BL614" s="249"/>
      <c r="BM614" s="249"/>
      <c r="BN614" s="249"/>
      <c r="BO614" s="249"/>
      <c r="BP614" s="249"/>
      <c r="BQ614" s="249"/>
      <c r="BR614" s="249"/>
      <c r="BS614" s="249"/>
      <c r="BT614" s="249"/>
      <c r="BU614" s="249"/>
      <c r="BV614" s="249"/>
      <c r="BW614" s="249"/>
      <c r="BX614" s="249"/>
      <c r="BY614" s="249"/>
      <c r="BZ614" s="249"/>
      <c r="CA614" s="249"/>
      <c r="CB614" s="249"/>
      <c r="CC614" s="249"/>
      <c r="CD614" s="249"/>
      <c r="CE614" s="249"/>
    </row>
    <row r="615" spans="1:83" s="84" customFormat="1" ht="12.95" customHeight="1">
      <c r="A615" s="1"/>
      <c r="B615" s="1"/>
      <c r="C615" s="18" t="s">
        <v>860</v>
      </c>
      <c r="D615" s="52" t="s">
        <v>3172</v>
      </c>
      <c r="E615" s="52" t="s">
        <v>3158</v>
      </c>
      <c r="F615" s="53" t="s">
        <v>1154</v>
      </c>
      <c r="G615" s="179" t="s">
        <v>1429</v>
      </c>
      <c r="H615" s="180"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29" t="s">
        <v>860</v>
      </c>
      <c r="AR615" s="5"/>
      <c r="AS615" s="5"/>
      <c r="AT615" s="5"/>
      <c r="AU615" s="5"/>
      <c r="AV615" s="5"/>
      <c r="AW615" s="5"/>
      <c r="AX615" s="284"/>
      <c r="AY615" s="5"/>
      <c r="AZ615" s="5"/>
      <c r="BA615" s="230"/>
      <c r="BB615" s="5"/>
      <c r="BC615" s="232" t="s">
        <v>3536</v>
      </c>
      <c r="BD615" s="257"/>
      <c r="BE615" s="249"/>
      <c r="BF615" s="249"/>
      <c r="BG615" s="249"/>
      <c r="BH615" s="249"/>
      <c r="BI615" s="249"/>
      <c r="BJ615" s="249"/>
      <c r="BK615" s="249"/>
      <c r="BL615" s="249"/>
      <c r="BM615" s="249"/>
      <c r="BN615" s="249"/>
      <c r="BO615" s="249"/>
      <c r="BP615" s="249"/>
      <c r="BQ615" s="249"/>
      <c r="BR615" s="249"/>
      <c r="BS615" s="249"/>
      <c r="BT615" s="249"/>
      <c r="BU615" s="249"/>
      <c r="BV615" s="249"/>
      <c r="BW615" s="249"/>
      <c r="BX615" s="249"/>
      <c r="BY615" s="249"/>
      <c r="BZ615" s="249"/>
      <c r="CA615" s="249"/>
      <c r="CB615" s="249"/>
      <c r="CC615" s="249"/>
      <c r="CD615" s="249"/>
      <c r="CE615" s="249"/>
    </row>
    <row r="616" spans="1:83" s="84" customFormat="1" ht="12.95" customHeight="1">
      <c r="A616" s="1"/>
      <c r="B616" s="1"/>
      <c r="C616" s="21" t="s">
        <v>861</v>
      </c>
      <c r="D616" s="52" t="s">
        <v>3167</v>
      </c>
      <c r="E616" s="52" t="s">
        <v>3174</v>
      </c>
      <c r="F616" s="53" t="s">
        <v>1155</v>
      </c>
      <c r="G616" s="179" t="s">
        <v>1429</v>
      </c>
      <c r="H616" s="180"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29" t="s">
        <v>861</v>
      </c>
      <c r="AR616" s="5"/>
      <c r="AS616" s="5"/>
      <c r="AT616" s="5"/>
      <c r="AU616" s="5"/>
      <c r="AV616" s="5"/>
      <c r="AW616" s="5"/>
      <c r="AX616" s="284"/>
      <c r="AY616" s="5"/>
      <c r="AZ616" s="5"/>
      <c r="BA616" s="230"/>
      <c r="BB616" s="5"/>
      <c r="BC616" s="232" t="s">
        <v>3536</v>
      </c>
      <c r="BD616" s="257"/>
      <c r="BE616" s="249"/>
      <c r="BF616" s="249"/>
      <c r="BG616" s="249"/>
      <c r="BH616" s="249"/>
      <c r="BI616" s="249"/>
      <c r="BJ616" s="249"/>
      <c r="BK616" s="249"/>
      <c r="BL616" s="249"/>
      <c r="BM616" s="249"/>
      <c r="BN616" s="249"/>
      <c r="BO616" s="249"/>
      <c r="BP616" s="249"/>
      <c r="BQ616" s="249"/>
      <c r="BR616" s="249"/>
      <c r="BS616" s="249"/>
      <c r="BT616" s="249"/>
      <c r="BU616" s="249"/>
      <c r="BV616" s="249"/>
      <c r="BW616" s="249"/>
      <c r="BX616" s="249"/>
      <c r="BY616" s="249"/>
      <c r="BZ616" s="249"/>
      <c r="CA616" s="249"/>
      <c r="CB616" s="249"/>
      <c r="CC616" s="249"/>
      <c r="CD616" s="249"/>
      <c r="CE616" s="249"/>
    </row>
    <row r="617" spans="1:83" s="84" customFormat="1" ht="12.95" customHeight="1">
      <c r="A617" s="1"/>
      <c r="B617" s="1"/>
      <c r="C617" s="21" t="s">
        <v>862</v>
      </c>
      <c r="D617" s="52" t="s">
        <v>3170</v>
      </c>
      <c r="E617" s="52" t="s">
        <v>3176</v>
      </c>
      <c r="F617" s="53" t="s">
        <v>1156</v>
      </c>
      <c r="G617" s="179" t="s">
        <v>1429</v>
      </c>
      <c r="H617" s="180"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29" t="s">
        <v>862</v>
      </c>
      <c r="AR617" s="5"/>
      <c r="AS617" s="5"/>
      <c r="AT617" s="5"/>
      <c r="AU617" s="5"/>
      <c r="AV617" s="5"/>
      <c r="AW617" s="5"/>
      <c r="AX617" s="284"/>
      <c r="AY617" s="5"/>
      <c r="AZ617" s="5"/>
      <c r="BA617" s="230"/>
      <c r="BB617" s="5"/>
      <c r="BC617" s="232" t="s">
        <v>3536</v>
      </c>
      <c r="BD617" s="257"/>
      <c r="BE617" s="249"/>
      <c r="BF617" s="249"/>
      <c r="BG617" s="249"/>
      <c r="BH617" s="249"/>
      <c r="BI617" s="249"/>
      <c r="BJ617" s="249"/>
      <c r="BK617" s="249"/>
      <c r="BL617" s="249"/>
      <c r="BM617" s="249"/>
      <c r="BN617" s="249"/>
      <c r="BO617" s="249"/>
      <c r="BP617" s="249"/>
      <c r="BQ617" s="249"/>
      <c r="BR617" s="249"/>
      <c r="BS617" s="249"/>
      <c r="BT617" s="249"/>
      <c r="BU617" s="249"/>
      <c r="BV617" s="249"/>
      <c r="BW617" s="249"/>
      <c r="BX617" s="249"/>
      <c r="BY617" s="249"/>
      <c r="BZ617" s="249"/>
      <c r="CA617" s="249"/>
      <c r="CB617" s="249"/>
      <c r="CC617" s="249"/>
      <c r="CD617" s="249"/>
      <c r="CE617" s="249"/>
    </row>
    <row r="618" spans="1:83" s="84" customFormat="1" ht="12.95" customHeight="1">
      <c r="A618" s="1"/>
      <c r="B618" s="1"/>
      <c r="C618" s="18" t="s">
        <v>863</v>
      </c>
      <c r="D618" s="52" t="s">
        <v>3178</v>
      </c>
      <c r="E618" s="52" t="s">
        <v>3179</v>
      </c>
      <c r="F618" s="53" t="s">
        <v>1157</v>
      </c>
      <c r="G618" s="179" t="s">
        <v>1429</v>
      </c>
      <c r="H618" s="180"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29" t="s">
        <v>863</v>
      </c>
      <c r="AR618" s="5"/>
      <c r="AS618" s="5"/>
      <c r="AT618" s="5"/>
      <c r="AU618" s="5"/>
      <c r="AV618" s="5"/>
      <c r="AW618" s="5"/>
      <c r="AX618" s="284"/>
      <c r="AY618" s="5"/>
      <c r="AZ618" s="5"/>
      <c r="BA618" s="230"/>
      <c r="BB618" s="5"/>
      <c r="BC618" s="232" t="s">
        <v>3536</v>
      </c>
      <c r="BD618" s="257"/>
      <c r="BE618" s="249"/>
      <c r="BF618" s="249"/>
      <c r="BG618" s="249"/>
      <c r="BH618" s="249"/>
      <c r="BI618" s="249"/>
      <c r="BJ618" s="249"/>
      <c r="BK618" s="249"/>
      <c r="BL618" s="249"/>
      <c r="BM618" s="249"/>
      <c r="BN618" s="249"/>
      <c r="BO618" s="249"/>
      <c r="BP618" s="249"/>
      <c r="BQ618" s="249"/>
      <c r="BR618" s="249"/>
      <c r="BS618" s="249"/>
      <c r="BT618" s="249"/>
      <c r="BU618" s="249"/>
      <c r="BV618" s="249"/>
      <c r="BW618" s="249"/>
      <c r="BX618" s="249"/>
      <c r="BY618" s="249"/>
      <c r="BZ618" s="249"/>
      <c r="CA618" s="249"/>
      <c r="CB618" s="249"/>
      <c r="CC618" s="249"/>
      <c r="CD618" s="249"/>
      <c r="CE618" s="249"/>
    </row>
    <row r="619" spans="1:83" s="84" customFormat="1" ht="12.95" customHeight="1">
      <c r="A619" s="1"/>
      <c r="B619" s="1"/>
      <c r="C619" s="18" t="s">
        <v>864</v>
      </c>
      <c r="D619" s="52" t="s">
        <v>3181</v>
      </c>
      <c r="E619" s="52" t="s">
        <v>3182</v>
      </c>
      <c r="F619" s="53" t="s">
        <v>1158</v>
      </c>
      <c r="G619" s="179" t="s">
        <v>1429</v>
      </c>
      <c r="H619" s="180"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29" t="s">
        <v>864</v>
      </c>
      <c r="AR619" s="5"/>
      <c r="AS619" s="5"/>
      <c r="AT619" s="5"/>
      <c r="AU619" s="5"/>
      <c r="AV619" s="5"/>
      <c r="AW619" s="5"/>
      <c r="AX619" s="284"/>
      <c r="AY619" s="5"/>
      <c r="AZ619" s="5"/>
      <c r="BA619" s="230"/>
      <c r="BB619" s="5"/>
      <c r="BC619" s="232" t="s">
        <v>3536</v>
      </c>
      <c r="BD619" s="257"/>
      <c r="BE619" s="249"/>
      <c r="BF619" s="249"/>
      <c r="BG619" s="249"/>
      <c r="BH619" s="249"/>
      <c r="BI619" s="249"/>
      <c r="BJ619" s="249"/>
      <c r="BK619" s="249"/>
      <c r="BL619" s="249"/>
      <c r="BM619" s="249"/>
      <c r="BN619" s="249"/>
      <c r="BO619" s="249"/>
      <c r="BP619" s="249"/>
      <c r="BQ619" s="249"/>
      <c r="BR619" s="249"/>
      <c r="BS619" s="249"/>
      <c r="BT619" s="249"/>
      <c r="BU619" s="249"/>
      <c r="BV619" s="249"/>
      <c r="BW619" s="249"/>
      <c r="BX619" s="249"/>
      <c r="BY619" s="249"/>
      <c r="BZ619" s="249"/>
      <c r="CA619" s="249"/>
      <c r="CB619" s="249"/>
      <c r="CC619" s="249"/>
      <c r="CD619" s="249"/>
      <c r="CE619" s="249"/>
    </row>
    <row r="620" spans="1:83" s="84" customFormat="1" ht="12.95" customHeight="1">
      <c r="A620" s="1"/>
      <c r="B620" s="1"/>
      <c r="C620" s="18" t="s">
        <v>865</v>
      </c>
      <c r="D620" s="52" t="s">
        <v>3184</v>
      </c>
      <c r="E620" s="52" t="s">
        <v>3185</v>
      </c>
      <c r="F620" s="53" t="s">
        <v>1159</v>
      </c>
      <c r="G620" s="179" t="s">
        <v>1429</v>
      </c>
      <c r="H620" s="180"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29" t="s">
        <v>865</v>
      </c>
      <c r="AR620" s="5"/>
      <c r="AS620" s="5"/>
      <c r="AT620" s="5"/>
      <c r="AU620" s="5"/>
      <c r="AV620" s="5"/>
      <c r="AW620" s="5"/>
      <c r="AX620" s="284"/>
      <c r="AY620" s="5"/>
      <c r="AZ620" s="5"/>
      <c r="BA620" s="230"/>
      <c r="BB620" s="5"/>
      <c r="BC620" s="232" t="s">
        <v>3536</v>
      </c>
      <c r="BD620" s="257"/>
      <c r="BE620" s="249"/>
      <c r="BF620" s="249"/>
      <c r="BG620" s="249"/>
      <c r="BH620" s="249"/>
      <c r="BI620" s="249"/>
      <c r="BJ620" s="249"/>
      <c r="BK620" s="249"/>
      <c r="BL620" s="249"/>
      <c r="BM620" s="249"/>
      <c r="BN620" s="249"/>
      <c r="BO620" s="249"/>
      <c r="BP620" s="249"/>
      <c r="BQ620" s="249"/>
      <c r="BR620" s="249"/>
      <c r="BS620" s="249"/>
      <c r="BT620" s="249"/>
      <c r="BU620" s="249"/>
      <c r="BV620" s="249"/>
      <c r="BW620" s="249"/>
      <c r="BX620" s="249"/>
      <c r="BY620" s="249"/>
      <c r="BZ620" s="249"/>
      <c r="CA620" s="249"/>
      <c r="CB620" s="249"/>
      <c r="CC620" s="249"/>
      <c r="CD620" s="249"/>
      <c r="CE620" s="249"/>
    </row>
    <row r="621" spans="1:83" s="84" customFormat="1" ht="12.95" customHeight="1">
      <c r="A621" s="1"/>
      <c r="B621" s="1"/>
      <c r="C621" s="18" t="s">
        <v>866</v>
      </c>
      <c r="D621" s="52" t="s">
        <v>3187</v>
      </c>
      <c r="E621" s="52" t="s">
        <v>3188</v>
      </c>
      <c r="F621" s="53" t="s">
        <v>1160</v>
      </c>
      <c r="G621" s="179" t="s">
        <v>1429</v>
      </c>
      <c r="H621" s="180"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29" t="s">
        <v>866</v>
      </c>
      <c r="AR621" s="5"/>
      <c r="AS621" s="5"/>
      <c r="AT621" s="5"/>
      <c r="AU621" s="5"/>
      <c r="AV621" s="5"/>
      <c r="AW621" s="5"/>
      <c r="AX621" s="284"/>
      <c r="AY621" s="5"/>
      <c r="AZ621" s="5"/>
      <c r="BA621" s="230"/>
      <c r="BB621" s="5"/>
      <c r="BC621" s="232" t="s">
        <v>3536</v>
      </c>
      <c r="BD621" s="257"/>
      <c r="BE621" s="249"/>
      <c r="BF621" s="249"/>
      <c r="BG621" s="249"/>
      <c r="BH621" s="249"/>
      <c r="BI621" s="249"/>
      <c r="BJ621" s="249"/>
      <c r="BK621" s="249"/>
      <c r="BL621" s="249"/>
      <c r="BM621" s="249"/>
      <c r="BN621" s="249"/>
      <c r="BO621" s="249"/>
      <c r="BP621" s="249"/>
      <c r="BQ621" s="249"/>
      <c r="BR621" s="249"/>
      <c r="BS621" s="249"/>
      <c r="BT621" s="249"/>
      <c r="BU621" s="249"/>
      <c r="BV621" s="249"/>
      <c r="BW621" s="249"/>
      <c r="BX621" s="249"/>
      <c r="BY621" s="249"/>
      <c r="BZ621" s="249"/>
      <c r="CA621" s="249"/>
      <c r="CB621" s="249"/>
      <c r="CC621" s="249"/>
      <c r="CD621" s="249"/>
      <c r="CE621" s="249"/>
    </row>
    <row r="622" spans="1:83" s="84" customFormat="1" ht="12.95" customHeight="1">
      <c r="A622" s="1"/>
      <c r="B622" s="1"/>
      <c r="C622" s="18" t="s">
        <v>867</v>
      </c>
      <c r="D622" s="52" t="s">
        <v>3190</v>
      </c>
      <c r="E622" s="52" t="s">
        <v>3191</v>
      </c>
      <c r="F622" s="53" t="s">
        <v>1161</v>
      </c>
      <c r="G622" s="179" t="s">
        <v>1429</v>
      </c>
      <c r="H622" s="180"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29" t="s">
        <v>867</v>
      </c>
      <c r="AR622" s="5"/>
      <c r="AS622" s="5"/>
      <c r="AT622" s="5"/>
      <c r="AU622" s="5"/>
      <c r="AV622" s="5"/>
      <c r="AW622" s="5"/>
      <c r="AX622" s="284"/>
      <c r="AY622" s="5"/>
      <c r="AZ622" s="5"/>
      <c r="BA622" s="230"/>
      <c r="BB622" s="5"/>
      <c r="BC622" s="232" t="s">
        <v>3536</v>
      </c>
      <c r="BD622" s="257"/>
      <c r="BE622" s="249"/>
      <c r="BF622" s="249"/>
      <c r="BG622" s="249"/>
      <c r="BH622" s="249"/>
      <c r="BI622" s="249"/>
      <c r="BJ622" s="249"/>
      <c r="BK622" s="249"/>
      <c r="BL622" s="249"/>
      <c r="BM622" s="249"/>
      <c r="BN622" s="249"/>
      <c r="BO622" s="249"/>
      <c r="BP622" s="249"/>
      <c r="BQ622" s="249"/>
      <c r="BR622" s="249"/>
      <c r="BS622" s="249"/>
      <c r="BT622" s="249"/>
      <c r="BU622" s="249"/>
      <c r="BV622" s="249"/>
      <c r="BW622" s="249"/>
      <c r="BX622" s="249"/>
      <c r="BY622" s="249"/>
      <c r="BZ622" s="249"/>
      <c r="CA622" s="249"/>
      <c r="CB622" s="249"/>
      <c r="CC622" s="249"/>
      <c r="CD622" s="249"/>
      <c r="CE622" s="249"/>
    </row>
    <row r="623" spans="1:83" s="84" customFormat="1" ht="12.95" customHeight="1">
      <c r="A623" s="1"/>
      <c r="B623" s="1"/>
      <c r="C623" s="18" t="s">
        <v>868</v>
      </c>
      <c r="D623" s="52" t="s">
        <v>3193</v>
      </c>
      <c r="E623" s="52" t="s">
        <v>3194</v>
      </c>
      <c r="F623" s="53" t="s">
        <v>1162</v>
      </c>
      <c r="G623" s="179" t="s">
        <v>1429</v>
      </c>
      <c r="H623" s="180"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29" t="s">
        <v>868</v>
      </c>
      <c r="AR623" s="5"/>
      <c r="AS623" s="5"/>
      <c r="AT623" s="5"/>
      <c r="AU623" s="5"/>
      <c r="AV623" s="5"/>
      <c r="AW623" s="5"/>
      <c r="AX623" s="284"/>
      <c r="AY623" s="5"/>
      <c r="AZ623" s="5"/>
      <c r="BA623" s="230"/>
      <c r="BB623" s="5"/>
      <c r="BC623" s="232" t="s">
        <v>3536</v>
      </c>
      <c r="BD623" s="257"/>
      <c r="BE623" s="249"/>
      <c r="BF623" s="249"/>
      <c r="BG623" s="249"/>
      <c r="BH623" s="249"/>
      <c r="BI623" s="249"/>
      <c r="BJ623" s="249"/>
      <c r="BK623" s="249"/>
      <c r="BL623" s="249"/>
      <c r="BM623" s="249"/>
      <c r="BN623" s="249"/>
      <c r="BO623" s="249"/>
      <c r="BP623" s="249"/>
      <c r="BQ623" s="249"/>
      <c r="BR623" s="249"/>
      <c r="BS623" s="249"/>
      <c r="BT623" s="249"/>
      <c r="BU623" s="249"/>
      <c r="BV623" s="249"/>
      <c r="BW623" s="249"/>
      <c r="BX623" s="249"/>
      <c r="BY623" s="249"/>
      <c r="BZ623" s="249"/>
      <c r="CA623" s="249"/>
      <c r="CB623" s="249"/>
      <c r="CC623" s="249"/>
      <c r="CD623" s="249"/>
      <c r="CE623" s="249"/>
    </row>
    <row r="624" spans="1:83" s="84" customFormat="1" ht="12.95" customHeight="1">
      <c r="A624" s="1"/>
      <c r="B624" s="1"/>
      <c r="C624" s="18" t="s">
        <v>869</v>
      </c>
      <c r="D624" s="52" t="s">
        <v>3196</v>
      </c>
      <c r="E624" s="52" t="s">
        <v>3197</v>
      </c>
      <c r="F624" s="53" t="s">
        <v>1163</v>
      </c>
      <c r="G624" s="179" t="s">
        <v>1429</v>
      </c>
      <c r="H624" s="180"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29" t="s">
        <v>869</v>
      </c>
      <c r="AR624" s="5"/>
      <c r="AS624" s="5"/>
      <c r="AT624" s="5"/>
      <c r="AU624" s="5"/>
      <c r="AV624" s="5"/>
      <c r="AW624" s="5"/>
      <c r="AX624" s="284"/>
      <c r="AY624" s="5"/>
      <c r="AZ624" s="5"/>
      <c r="BA624" s="230"/>
      <c r="BB624" s="5"/>
      <c r="BC624" s="232" t="s">
        <v>3536</v>
      </c>
      <c r="BD624" s="257"/>
      <c r="BE624" s="249"/>
      <c r="BF624" s="249"/>
      <c r="BG624" s="249"/>
      <c r="BH624" s="249"/>
      <c r="BI624" s="249"/>
      <c r="BJ624" s="249"/>
      <c r="BK624" s="249"/>
      <c r="BL624" s="249"/>
      <c r="BM624" s="249"/>
      <c r="BN624" s="249"/>
      <c r="BO624" s="249"/>
      <c r="BP624" s="249"/>
      <c r="BQ624" s="249"/>
      <c r="BR624" s="249"/>
      <c r="BS624" s="249"/>
      <c r="BT624" s="249"/>
      <c r="BU624" s="249"/>
      <c r="BV624" s="249"/>
      <c r="BW624" s="249"/>
      <c r="BX624" s="249"/>
      <c r="BY624" s="249"/>
      <c r="BZ624" s="249"/>
      <c r="CA624" s="249"/>
      <c r="CB624" s="249"/>
      <c r="CC624" s="249"/>
      <c r="CD624" s="249"/>
      <c r="CE624" s="249"/>
    </row>
    <row r="625" spans="1:83" s="84" customFormat="1" ht="12.95" customHeight="1">
      <c r="A625" s="1"/>
      <c r="B625" s="1"/>
      <c r="C625" s="18" t="s">
        <v>870</v>
      </c>
      <c r="D625" s="52" t="s">
        <v>3199</v>
      </c>
      <c r="E625" s="52" t="s">
        <v>3200</v>
      </c>
      <c r="F625" s="53" t="s">
        <v>1164</v>
      </c>
      <c r="G625" s="179" t="s">
        <v>1429</v>
      </c>
      <c r="H625" s="180"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29" t="s">
        <v>870</v>
      </c>
      <c r="AR625" s="5"/>
      <c r="AS625" s="5"/>
      <c r="AT625" s="5"/>
      <c r="AU625" s="5"/>
      <c r="AV625" s="5"/>
      <c r="AW625" s="5"/>
      <c r="AX625" s="284"/>
      <c r="AY625" s="5"/>
      <c r="AZ625" s="5"/>
      <c r="BA625" s="230"/>
      <c r="BB625" s="5"/>
      <c r="BC625" s="232" t="s">
        <v>3536</v>
      </c>
      <c r="BD625" s="257"/>
      <c r="BE625" s="249"/>
      <c r="BF625" s="249"/>
      <c r="BG625" s="249"/>
      <c r="BH625" s="249"/>
      <c r="BI625" s="249"/>
      <c r="BJ625" s="249"/>
      <c r="BK625" s="249"/>
      <c r="BL625" s="249"/>
      <c r="BM625" s="249"/>
      <c r="BN625" s="249"/>
      <c r="BO625" s="249"/>
      <c r="BP625" s="249"/>
      <c r="BQ625" s="249"/>
      <c r="BR625" s="249"/>
      <c r="BS625" s="249"/>
      <c r="BT625" s="249"/>
      <c r="BU625" s="249"/>
      <c r="BV625" s="249"/>
      <c r="BW625" s="249"/>
      <c r="BX625" s="249"/>
      <c r="BY625" s="249"/>
      <c r="BZ625" s="249"/>
      <c r="CA625" s="249"/>
      <c r="CB625" s="249"/>
      <c r="CC625" s="249"/>
      <c r="CD625" s="249"/>
      <c r="CE625" s="249"/>
    </row>
    <row r="626" spans="1:83" s="84" customFormat="1" ht="12.95" customHeight="1">
      <c r="A626" s="1"/>
      <c r="B626" s="1"/>
      <c r="C626" s="18" t="s">
        <v>871</v>
      </c>
      <c r="D626" s="52" t="s">
        <v>3202</v>
      </c>
      <c r="E626" s="52" t="s">
        <v>3203</v>
      </c>
      <c r="F626" s="53" t="s">
        <v>1165</v>
      </c>
      <c r="G626" s="179" t="s">
        <v>1429</v>
      </c>
      <c r="H626" s="180"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29" t="s">
        <v>871</v>
      </c>
      <c r="AR626" s="5"/>
      <c r="AS626" s="5"/>
      <c r="AT626" s="5"/>
      <c r="AU626" s="5"/>
      <c r="AV626" s="5"/>
      <c r="AW626" s="5"/>
      <c r="AX626" s="284"/>
      <c r="AY626" s="5"/>
      <c r="AZ626" s="5"/>
      <c r="BA626" s="230"/>
      <c r="BB626" s="5"/>
      <c r="BC626" s="232" t="s">
        <v>3536</v>
      </c>
      <c r="BD626" s="257"/>
      <c r="BE626" s="249"/>
      <c r="BF626" s="249"/>
      <c r="BG626" s="249"/>
      <c r="BH626" s="249"/>
      <c r="BI626" s="249"/>
      <c r="BJ626" s="249"/>
      <c r="BK626" s="249"/>
      <c r="BL626" s="249"/>
      <c r="BM626" s="249"/>
      <c r="BN626" s="249"/>
      <c r="BO626" s="249"/>
      <c r="BP626" s="249"/>
      <c r="BQ626" s="249"/>
      <c r="BR626" s="249"/>
      <c r="BS626" s="249"/>
      <c r="BT626" s="249"/>
      <c r="BU626" s="249"/>
      <c r="BV626" s="249"/>
      <c r="BW626" s="249"/>
      <c r="BX626" s="249"/>
      <c r="BY626" s="249"/>
      <c r="BZ626" s="249"/>
      <c r="CA626" s="249"/>
      <c r="CB626" s="249"/>
      <c r="CC626" s="249"/>
      <c r="CD626" s="249"/>
      <c r="CE626" s="249"/>
    </row>
    <row r="627" spans="1:83" s="84" customFormat="1" ht="12.95" customHeight="1">
      <c r="A627" s="1"/>
      <c r="B627" s="1"/>
      <c r="C627" s="18" t="s">
        <v>872</v>
      </c>
      <c r="D627" s="52" t="s">
        <v>3205</v>
      </c>
      <c r="E627" s="52" t="s">
        <v>3206</v>
      </c>
      <c r="F627" s="53" t="s">
        <v>1166</v>
      </c>
      <c r="G627" s="179" t="s">
        <v>1429</v>
      </c>
      <c r="H627" s="180"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29" t="s">
        <v>872</v>
      </c>
      <c r="AR627" s="5"/>
      <c r="AS627" s="5"/>
      <c r="AT627" s="5"/>
      <c r="AU627" s="5"/>
      <c r="AV627" s="5"/>
      <c r="AW627" s="5"/>
      <c r="AX627" s="284"/>
      <c r="AY627" s="5"/>
      <c r="AZ627" s="5"/>
      <c r="BA627" s="230"/>
      <c r="BB627" s="5"/>
      <c r="BC627" s="232" t="s">
        <v>3536</v>
      </c>
      <c r="BD627" s="257"/>
      <c r="BE627" s="249"/>
      <c r="BF627" s="249"/>
      <c r="BG627" s="249"/>
      <c r="BH627" s="249"/>
      <c r="BI627" s="249"/>
      <c r="BJ627" s="249"/>
      <c r="BK627" s="249"/>
      <c r="BL627" s="249"/>
      <c r="BM627" s="249"/>
      <c r="BN627" s="249"/>
      <c r="BO627" s="249"/>
      <c r="BP627" s="249"/>
      <c r="BQ627" s="249"/>
      <c r="BR627" s="249"/>
      <c r="BS627" s="249"/>
      <c r="BT627" s="249"/>
      <c r="BU627" s="249"/>
      <c r="BV627" s="249"/>
      <c r="BW627" s="249"/>
      <c r="BX627" s="249"/>
      <c r="BY627" s="249"/>
      <c r="BZ627" s="249"/>
      <c r="CA627" s="249"/>
      <c r="CB627" s="249"/>
      <c r="CC627" s="249"/>
      <c r="CD627" s="249"/>
      <c r="CE627" s="249"/>
    </row>
    <row r="628" spans="1:83" s="84" customFormat="1" ht="12.95" customHeight="1">
      <c r="A628" s="1"/>
      <c r="B628" s="1"/>
      <c r="C628" s="21" t="s">
        <v>873</v>
      </c>
      <c r="D628" s="52" t="s">
        <v>3208</v>
      </c>
      <c r="E628" s="52" t="s">
        <v>3209</v>
      </c>
      <c r="F628" s="53" t="s">
        <v>1167</v>
      </c>
      <c r="G628" s="179" t="s">
        <v>1429</v>
      </c>
      <c r="H628" s="180"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29" t="s">
        <v>873</v>
      </c>
      <c r="AR628" s="5"/>
      <c r="AS628" s="5"/>
      <c r="AT628" s="5"/>
      <c r="AU628" s="5"/>
      <c r="AV628" s="5"/>
      <c r="AW628" s="5"/>
      <c r="AX628" s="284"/>
      <c r="AY628" s="5"/>
      <c r="AZ628" s="5"/>
      <c r="BA628" s="230"/>
      <c r="BB628" s="5"/>
      <c r="BC628" s="232" t="s">
        <v>3536</v>
      </c>
      <c r="BD628" s="257"/>
      <c r="BE628" s="249"/>
      <c r="BF628" s="249"/>
      <c r="BG628" s="249"/>
      <c r="BH628" s="249"/>
      <c r="BI628" s="249"/>
      <c r="BJ628" s="249"/>
      <c r="BK628" s="249"/>
      <c r="BL628" s="249"/>
      <c r="BM628" s="249"/>
      <c r="BN628" s="249"/>
      <c r="BO628" s="249"/>
      <c r="BP628" s="249"/>
      <c r="BQ628" s="249"/>
      <c r="BR628" s="249"/>
      <c r="BS628" s="249"/>
      <c r="BT628" s="249"/>
      <c r="BU628" s="249"/>
      <c r="BV628" s="249"/>
      <c r="BW628" s="249"/>
      <c r="BX628" s="249"/>
      <c r="BY628" s="249"/>
      <c r="BZ628" s="249"/>
      <c r="CA628" s="249"/>
      <c r="CB628" s="249"/>
      <c r="CC628" s="249"/>
      <c r="CD628" s="249"/>
      <c r="CE628" s="249"/>
    </row>
    <row r="629" spans="1:83" s="84" customFormat="1" ht="12.95" customHeight="1">
      <c r="A629" s="1"/>
      <c r="B629" s="1"/>
      <c r="C629" s="21" t="s">
        <v>874</v>
      </c>
      <c r="D629" s="52" t="s">
        <v>3211</v>
      </c>
      <c r="E629" s="52" t="s">
        <v>3212</v>
      </c>
      <c r="F629" s="53" t="s">
        <v>1168</v>
      </c>
      <c r="G629" s="179" t="s">
        <v>1429</v>
      </c>
      <c r="H629" s="180"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29" t="s">
        <v>874</v>
      </c>
      <c r="AR629" s="5"/>
      <c r="AS629" s="5"/>
      <c r="AT629" s="5"/>
      <c r="AU629" s="5"/>
      <c r="AV629" s="5"/>
      <c r="AW629" s="5"/>
      <c r="AX629" s="284"/>
      <c r="AY629" s="5"/>
      <c r="AZ629" s="5"/>
      <c r="BA629" s="230"/>
      <c r="BB629" s="5"/>
      <c r="BC629" s="232" t="s">
        <v>3536</v>
      </c>
      <c r="BD629" s="257"/>
      <c r="BE629" s="249"/>
      <c r="BF629" s="249"/>
      <c r="BG629" s="249"/>
      <c r="BH629" s="249"/>
      <c r="BI629" s="249"/>
      <c r="BJ629" s="249"/>
      <c r="BK629" s="249"/>
      <c r="BL629" s="249"/>
      <c r="BM629" s="249"/>
      <c r="BN629" s="249"/>
      <c r="BO629" s="249"/>
      <c r="BP629" s="249"/>
      <c r="BQ629" s="249"/>
      <c r="BR629" s="249"/>
      <c r="BS629" s="249"/>
      <c r="BT629" s="249"/>
      <c r="BU629" s="249"/>
      <c r="BV629" s="249"/>
      <c r="BW629" s="249"/>
      <c r="BX629" s="249"/>
      <c r="BY629" s="249"/>
      <c r="BZ629" s="249"/>
      <c r="CA629" s="249"/>
      <c r="CB629" s="249"/>
      <c r="CC629" s="249"/>
      <c r="CD629" s="249"/>
      <c r="CE629" s="249"/>
    </row>
    <row r="630" spans="1:83" s="84" customFormat="1" ht="12.95" customHeight="1">
      <c r="A630" s="1"/>
      <c r="B630" s="1"/>
      <c r="C630" s="18" t="s">
        <v>875</v>
      </c>
      <c r="D630" s="52" t="s">
        <v>3214</v>
      </c>
      <c r="E630" s="52" t="s">
        <v>3215</v>
      </c>
      <c r="F630" s="53" t="s">
        <v>1169</v>
      </c>
      <c r="G630" s="179" t="s">
        <v>1429</v>
      </c>
      <c r="H630" s="180"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29" t="s">
        <v>875</v>
      </c>
      <c r="AR630" s="5"/>
      <c r="AS630" s="5"/>
      <c r="AT630" s="5"/>
      <c r="AU630" s="5"/>
      <c r="AV630" s="5"/>
      <c r="AW630" s="5"/>
      <c r="AX630" s="284"/>
      <c r="AY630" s="5"/>
      <c r="AZ630" s="5"/>
      <c r="BA630" s="230"/>
      <c r="BB630" s="5"/>
      <c r="BC630" s="232" t="s">
        <v>3536</v>
      </c>
      <c r="BD630" s="257"/>
      <c r="BE630" s="249"/>
      <c r="BF630" s="249"/>
      <c r="BG630" s="249"/>
      <c r="BH630" s="249"/>
      <c r="BI630" s="249"/>
      <c r="BJ630" s="249"/>
      <c r="BK630" s="249"/>
      <c r="BL630" s="249"/>
      <c r="BM630" s="249"/>
      <c r="BN630" s="249"/>
      <c r="BO630" s="249"/>
      <c r="BP630" s="249"/>
      <c r="BQ630" s="249"/>
      <c r="BR630" s="249"/>
      <c r="BS630" s="249"/>
      <c r="BT630" s="249"/>
      <c r="BU630" s="249"/>
      <c r="BV630" s="249"/>
      <c r="BW630" s="249"/>
      <c r="BX630" s="249"/>
      <c r="BY630" s="249"/>
      <c r="BZ630" s="249"/>
      <c r="CA630" s="249"/>
      <c r="CB630" s="249"/>
      <c r="CC630" s="249"/>
      <c r="CD630" s="249"/>
      <c r="CE630" s="249"/>
    </row>
    <row r="631" spans="1:83" s="84" customFormat="1" ht="12.95" customHeight="1">
      <c r="A631" s="1"/>
      <c r="B631" s="1"/>
      <c r="C631" s="18" t="s">
        <v>876</v>
      </c>
      <c r="D631" s="52" t="s">
        <v>3217</v>
      </c>
      <c r="E631" s="52" t="s">
        <v>3178</v>
      </c>
      <c r="F631" s="53" t="s">
        <v>1170</v>
      </c>
      <c r="G631" s="179" t="s">
        <v>1429</v>
      </c>
      <c r="H631" s="180"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29" t="s">
        <v>876</v>
      </c>
      <c r="AR631" s="5"/>
      <c r="AS631" s="5"/>
      <c r="AT631" s="5"/>
      <c r="AU631" s="5"/>
      <c r="AV631" s="5"/>
      <c r="AW631" s="5"/>
      <c r="AX631" s="284"/>
      <c r="AY631" s="5"/>
      <c r="AZ631" s="5"/>
      <c r="BA631" s="230"/>
      <c r="BB631" s="5"/>
      <c r="BC631" s="232" t="s">
        <v>3536</v>
      </c>
      <c r="BD631" s="257"/>
      <c r="BE631" s="249"/>
      <c r="BF631" s="249"/>
      <c r="BG631" s="249"/>
      <c r="BH631" s="249"/>
      <c r="BI631" s="249"/>
      <c r="BJ631" s="249"/>
      <c r="BK631" s="249"/>
      <c r="BL631" s="249"/>
      <c r="BM631" s="249"/>
      <c r="BN631" s="249"/>
      <c r="BO631" s="249"/>
      <c r="BP631" s="249"/>
      <c r="BQ631" s="249"/>
      <c r="BR631" s="249"/>
      <c r="BS631" s="249"/>
      <c r="BT631" s="249"/>
      <c r="BU631" s="249"/>
      <c r="BV631" s="249"/>
      <c r="BW631" s="249"/>
      <c r="BX631" s="249"/>
      <c r="BY631" s="249"/>
      <c r="BZ631" s="249"/>
      <c r="CA631" s="249"/>
      <c r="CB631" s="249"/>
      <c r="CC631" s="249"/>
      <c r="CD631" s="249"/>
      <c r="CE631" s="249"/>
    </row>
    <row r="632" spans="1:83" s="84" customFormat="1" ht="12.95" customHeight="1">
      <c r="A632" s="1"/>
      <c r="B632" s="1"/>
      <c r="C632" s="18" t="s">
        <v>877</v>
      </c>
      <c r="D632" s="52" t="s">
        <v>3219</v>
      </c>
      <c r="E632" s="52" t="s">
        <v>3220</v>
      </c>
      <c r="F632" s="53" t="s">
        <v>1171</v>
      </c>
      <c r="G632" s="179" t="s">
        <v>1429</v>
      </c>
      <c r="H632" s="180"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29" t="s">
        <v>877</v>
      </c>
      <c r="AR632" s="5"/>
      <c r="AS632" s="5"/>
      <c r="AT632" s="5"/>
      <c r="AU632" s="5"/>
      <c r="AV632" s="5"/>
      <c r="AW632" s="5"/>
      <c r="AX632" s="284"/>
      <c r="AY632" s="5"/>
      <c r="AZ632" s="5"/>
      <c r="BA632" s="230"/>
      <c r="BB632" s="5"/>
      <c r="BC632" s="232" t="s">
        <v>3536</v>
      </c>
      <c r="BD632" s="257"/>
      <c r="BE632" s="249"/>
      <c r="BF632" s="249"/>
      <c r="BG632" s="249"/>
      <c r="BH632" s="249"/>
      <c r="BI632" s="249"/>
      <c r="BJ632" s="249"/>
      <c r="BK632" s="249"/>
      <c r="BL632" s="249"/>
      <c r="BM632" s="249"/>
      <c r="BN632" s="249"/>
      <c r="BO632" s="249"/>
      <c r="BP632" s="249"/>
      <c r="BQ632" s="249"/>
      <c r="BR632" s="249"/>
      <c r="BS632" s="249"/>
      <c r="BT632" s="249"/>
      <c r="BU632" s="249"/>
      <c r="BV632" s="249"/>
      <c r="BW632" s="249"/>
      <c r="BX632" s="249"/>
      <c r="BY632" s="249"/>
      <c r="BZ632" s="249"/>
      <c r="CA632" s="249"/>
      <c r="CB632" s="249"/>
      <c r="CC632" s="249"/>
      <c r="CD632" s="249"/>
      <c r="CE632" s="249"/>
    </row>
    <row r="633" spans="1:83" s="84" customFormat="1" ht="12.95" customHeight="1">
      <c r="A633" s="1"/>
      <c r="B633" s="1"/>
      <c r="C633" s="18" t="s">
        <v>878</v>
      </c>
      <c r="D633" s="52" t="s">
        <v>3222</v>
      </c>
      <c r="E633" s="52" t="s">
        <v>3172</v>
      </c>
      <c r="F633" s="53" t="s">
        <v>1172</v>
      </c>
      <c r="G633" s="179" t="s">
        <v>1429</v>
      </c>
      <c r="H633" s="180"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29" t="s">
        <v>878</v>
      </c>
      <c r="AR633" s="5"/>
      <c r="AS633" s="5"/>
      <c r="AT633" s="5"/>
      <c r="AU633" s="5"/>
      <c r="AV633" s="5"/>
      <c r="AW633" s="5"/>
      <c r="AX633" s="284"/>
      <c r="AY633" s="5"/>
      <c r="AZ633" s="5"/>
      <c r="BA633" s="230"/>
      <c r="BB633" s="5"/>
      <c r="BC633" s="232" t="s">
        <v>3536</v>
      </c>
      <c r="BD633" s="257"/>
      <c r="BE633" s="249"/>
      <c r="BF633" s="249"/>
      <c r="BG633" s="249"/>
      <c r="BH633" s="249"/>
      <c r="BI633" s="249"/>
      <c r="BJ633" s="249"/>
      <c r="BK633" s="249"/>
      <c r="BL633" s="249"/>
      <c r="BM633" s="249"/>
      <c r="BN633" s="249"/>
      <c r="BO633" s="249"/>
      <c r="BP633" s="249"/>
      <c r="BQ633" s="249"/>
      <c r="BR633" s="249"/>
      <c r="BS633" s="249"/>
      <c r="BT633" s="249"/>
      <c r="BU633" s="249"/>
      <c r="BV633" s="249"/>
      <c r="BW633" s="249"/>
      <c r="BX633" s="249"/>
      <c r="BY633" s="249"/>
      <c r="BZ633" s="249"/>
      <c r="CA633" s="249"/>
      <c r="CB633" s="249"/>
      <c r="CC633" s="249"/>
      <c r="CD633" s="249"/>
      <c r="CE633" s="249"/>
    </row>
    <row r="634" spans="1:83" s="84" customFormat="1" ht="12.95" customHeight="1">
      <c r="A634" s="1"/>
      <c r="B634" s="1"/>
      <c r="C634" s="18" t="s">
        <v>879</v>
      </c>
      <c r="D634" s="52" t="s">
        <v>3224</v>
      </c>
      <c r="E634" s="52" t="s">
        <v>3169</v>
      </c>
      <c r="F634" s="53" t="s">
        <v>1173</v>
      </c>
      <c r="G634" s="179" t="s">
        <v>1429</v>
      </c>
      <c r="H634" s="180"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29" t="s">
        <v>879</v>
      </c>
      <c r="AR634" s="5"/>
      <c r="AS634" s="5"/>
      <c r="AT634" s="5"/>
      <c r="AU634" s="5"/>
      <c r="AV634" s="5"/>
      <c r="AW634" s="5"/>
      <c r="AX634" s="284"/>
      <c r="AY634" s="5"/>
      <c r="AZ634" s="5"/>
      <c r="BA634" s="230"/>
      <c r="BB634" s="5"/>
      <c r="BC634" s="232" t="s">
        <v>3536</v>
      </c>
      <c r="BD634" s="257"/>
      <c r="BE634" s="249"/>
      <c r="BF634" s="249"/>
      <c r="BG634" s="249"/>
      <c r="BH634" s="249"/>
      <c r="BI634" s="249"/>
      <c r="BJ634" s="249"/>
      <c r="BK634" s="249"/>
      <c r="BL634" s="249"/>
      <c r="BM634" s="249"/>
      <c r="BN634" s="249"/>
      <c r="BO634" s="249"/>
      <c r="BP634" s="249"/>
      <c r="BQ634" s="249"/>
      <c r="BR634" s="249"/>
      <c r="BS634" s="249"/>
      <c r="BT634" s="249"/>
      <c r="BU634" s="249"/>
      <c r="BV634" s="249"/>
      <c r="BW634" s="249"/>
      <c r="BX634" s="249"/>
      <c r="BY634" s="249"/>
      <c r="BZ634" s="249"/>
      <c r="CA634" s="249"/>
      <c r="CB634" s="249"/>
      <c r="CC634" s="249"/>
      <c r="CD634" s="249"/>
      <c r="CE634" s="249"/>
    </row>
    <row r="635" spans="1:83" s="84" customFormat="1" ht="12.95" customHeight="1">
      <c r="A635" s="1"/>
      <c r="B635" s="1"/>
      <c r="C635" s="18" t="s">
        <v>880</v>
      </c>
      <c r="D635" s="52" t="s">
        <v>3226</v>
      </c>
      <c r="E635" s="52" t="s">
        <v>3227</v>
      </c>
      <c r="F635" s="53" t="s">
        <v>1174</v>
      </c>
      <c r="G635" s="179" t="s">
        <v>1429</v>
      </c>
      <c r="H635" s="180"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29" t="s">
        <v>880</v>
      </c>
      <c r="AR635" s="5"/>
      <c r="AS635" s="5"/>
      <c r="AT635" s="5"/>
      <c r="AU635" s="5"/>
      <c r="AV635" s="5"/>
      <c r="AW635" s="5"/>
      <c r="AX635" s="284"/>
      <c r="AY635" s="5"/>
      <c r="AZ635" s="5"/>
      <c r="BA635" s="230"/>
      <c r="BB635" s="5"/>
      <c r="BC635" s="232" t="s">
        <v>3536</v>
      </c>
      <c r="BD635" s="257"/>
      <c r="BE635" s="249"/>
      <c r="BF635" s="249"/>
      <c r="BG635" s="249"/>
      <c r="BH635" s="249"/>
      <c r="BI635" s="249"/>
      <c r="BJ635" s="249"/>
      <c r="BK635" s="249"/>
      <c r="BL635" s="249"/>
      <c r="BM635" s="249"/>
      <c r="BN635" s="249"/>
      <c r="BO635" s="249"/>
      <c r="BP635" s="249"/>
      <c r="BQ635" s="249"/>
      <c r="BR635" s="249"/>
      <c r="BS635" s="249"/>
      <c r="BT635" s="249"/>
      <c r="BU635" s="249"/>
      <c r="BV635" s="249"/>
      <c r="BW635" s="249"/>
      <c r="BX635" s="249"/>
      <c r="BY635" s="249"/>
      <c r="BZ635" s="249"/>
      <c r="CA635" s="249"/>
      <c r="CB635" s="249"/>
      <c r="CC635" s="249"/>
      <c r="CD635" s="249"/>
      <c r="CE635" s="249"/>
    </row>
    <row r="636" spans="1:83" s="84" customFormat="1" ht="12.95" customHeight="1">
      <c r="A636" s="1"/>
      <c r="B636" s="1"/>
      <c r="C636" s="18" t="s">
        <v>881</v>
      </c>
      <c r="D636" s="52" t="s">
        <v>3229</v>
      </c>
      <c r="E636" s="52" t="s">
        <v>3190</v>
      </c>
      <c r="F636" s="53" t="s">
        <v>1175</v>
      </c>
      <c r="G636" s="179" t="s">
        <v>1429</v>
      </c>
      <c r="H636" s="180"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29" t="s">
        <v>881</v>
      </c>
      <c r="AR636" s="5"/>
      <c r="AS636" s="5"/>
      <c r="AT636" s="5"/>
      <c r="AU636" s="5"/>
      <c r="AV636" s="5"/>
      <c r="AW636" s="5"/>
      <c r="AX636" s="284"/>
      <c r="AY636" s="5"/>
      <c r="AZ636" s="5"/>
      <c r="BA636" s="230"/>
      <c r="BB636" s="5"/>
      <c r="BC636" s="232" t="s">
        <v>3536</v>
      </c>
      <c r="BD636" s="257"/>
      <c r="BE636" s="249"/>
      <c r="BF636" s="249"/>
      <c r="BG636" s="249"/>
      <c r="BH636" s="249"/>
      <c r="BI636" s="249"/>
      <c r="BJ636" s="249"/>
      <c r="BK636" s="249"/>
      <c r="BL636" s="249"/>
      <c r="BM636" s="249"/>
      <c r="BN636" s="249"/>
      <c r="BO636" s="249"/>
      <c r="BP636" s="249"/>
      <c r="BQ636" s="249"/>
      <c r="BR636" s="249"/>
      <c r="BS636" s="249"/>
      <c r="BT636" s="249"/>
      <c r="BU636" s="249"/>
      <c r="BV636" s="249"/>
      <c r="BW636" s="249"/>
      <c r="BX636" s="249"/>
      <c r="BY636" s="249"/>
      <c r="BZ636" s="249"/>
      <c r="CA636" s="249"/>
      <c r="CB636" s="249"/>
      <c r="CC636" s="249"/>
      <c r="CD636" s="249"/>
      <c r="CE636" s="249"/>
    </row>
    <row r="637" spans="1:83" s="84" customFormat="1" ht="12.95" customHeight="1">
      <c r="A637" s="1"/>
      <c r="B637" s="1"/>
      <c r="C637" s="18" t="s">
        <v>882</v>
      </c>
      <c r="D637" s="52" t="s">
        <v>3231</v>
      </c>
      <c r="E637" s="52" t="s">
        <v>3232</v>
      </c>
      <c r="F637" s="53" t="s">
        <v>1176</v>
      </c>
      <c r="G637" s="179" t="s">
        <v>1429</v>
      </c>
      <c r="H637" s="180"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29" t="s">
        <v>882</v>
      </c>
      <c r="AR637" s="5"/>
      <c r="AS637" s="5"/>
      <c r="AT637" s="5"/>
      <c r="AU637" s="5"/>
      <c r="AV637" s="5"/>
      <c r="AW637" s="5"/>
      <c r="AX637" s="284"/>
      <c r="AY637" s="5"/>
      <c r="AZ637" s="5"/>
      <c r="BA637" s="230"/>
      <c r="BB637" s="5"/>
      <c r="BC637" s="232" t="s">
        <v>3536</v>
      </c>
      <c r="BD637" s="257"/>
      <c r="BE637" s="249"/>
      <c r="BF637" s="249"/>
      <c r="BG637" s="249"/>
      <c r="BH637" s="249"/>
      <c r="BI637" s="249"/>
      <c r="BJ637" s="249"/>
      <c r="BK637" s="249"/>
      <c r="BL637" s="249"/>
      <c r="BM637" s="249"/>
      <c r="BN637" s="249"/>
      <c r="BO637" s="249"/>
      <c r="BP637" s="249"/>
      <c r="BQ637" s="249"/>
      <c r="BR637" s="249"/>
      <c r="BS637" s="249"/>
      <c r="BT637" s="249"/>
      <c r="BU637" s="249"/>
      <c r="BV637" s="249"/>
      <c r="BW637" s="249"/>
      <c r="BX637" s="249"/>
      <c r="BY637" s="249"/>
      <c r="BZ637" s="249"/>
      <c r="CA637" s="249"/>
      <c r="CB637" s="249"/>
      <c r="CC637" s="249"/>
      <c r="CD637" s="249"/>
      <c r="CE637" s="249"/>
    </row>
    <row r="638" spans="1:83" s="84" customFormat="1" ht="12.95" customHeight="1">
      <c r="A638" s="1"/>
      <c r="B638" s="1"/>
      <c r="C638" s="18" t="s">
        <v>883</v>
      </c>
      <c r="D638" s="52" t="s">
        <v>3234</v>
      </c>
      <c r="E638" s="52" t="s">
        <v>3211</v>
      </c>
      <c r="F638" s="53" t="s">
        <v>1177</v>
      </c>
      <c r="G638" s="179" t="s">
        <v>1429</v>
      </c>
      <c r="H638" s="180"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29" t="s">
        <v>883</v>
      </c>
      <c r="AR638" s="5"/>
      <c r="AS638" s="5"/>
      <c r="AT638" s="5"/>
      <c r="AU638" s="5"/>
      <c r="AV638" s="5"/>
      <c r="AW638" s="5"/>
      <c r="AX638" s="284"/>
      <c r="AY638" s="5"/>
      <c r="AZ638" s="5"/>
      <c r="BA638" s="230"/>
      <c r="BB638" s="5"/>
      <c r="BC638" s="232" t="s">
        <v>3536</v>
      </c>
      <c r="BD638" s="257"/>
      <c r="BE638" s="249"/>
      <c r="BF638" s="249"/>
      <c r="BG638" s="249"/>
      <c r="BH638" s="249"/>
      <c r="BI638" s="249"/>
      <c r="BJ638" s="249"/>
      <c r="BK638" s="249"/>
      <c r="BL638" s="249"/>
      <c r="BM638" s="249"/>
      <c r="BN638" s="249"/>
      <c r="BO638" s="249"/>
      <c r="BP638" s="249"/>
      <c r="BQ638" s="249"/>
      <c r="BR638" s="249"/>
      <c r="BS638" s="249"/>
      <c r="BT638" s="249"/>
      <c r="BU638" s="249"/>
      <c r="BV638" s="249"/>
      <c r="BW638" s="249"/>
      <c r="BX638" s="249"/>
      <c r="BY638" s="249"/>
      <c r="BZ638" s="249"/>
      <c r="CA638" s="249"/>
      <c r="CB638" s="249"/>
      <c r="CC638" s="249"/>
      <c r="CD638" s="249"/>
      <c r="CE638" s="249"/>
    </row>
    <row r="639" spans="1:83" s="84" customFormat="1" ht="12.95" customHeight="1">
      <c r="A639" s="1"/>
      <c r="B639" s="1"/>
      <c r="C639" s="18" t="s">
        <v>884</v>
      </c>
      <c r="D639" s="52" t="s">
        <v>3236</v>
      </c>
      <c r="E639" s="52" t="s">
        <v>3208</v>
      </c>
      <c r="F639" s="53" t="s">
        <v>1178</v>
      </c>
      <c r="G639" s="179" t="s">
        <v>1429</v>
      </c>
      <c r="H639" s="180"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29" t="s">
        <v>884</v>
      </c>
      <c r="AR639" s="5"/>
      <c r="AS639" s="5"/>
      <c r="AT639" s="5"/>
      <c r="AU639" s="5"/>
      <c r="AV639" s="5"/>
      <c r="AW639" s="5"/>
      <c r="AX639" s="284"/>
      <c r="AY639" s="5"/>
      <c r="AZ639" s="5"/>
      <c r="BA639" s="230"/>
      <c r="BB639" s="5"/>
      <c r="BC639" s="232" t="s">
        <v>3536</v>
      </c>
      <c r="BD639" s="257"/>
      <c r="BE639" s="249"/>
      <c r="BF639" s="249"/>
      <c r="BG639" s="249"/>
      <c r="BH639" s="249"/>
      <c r="BI639" s="249"/>
      <c r="BJ639" s="249"/>
      <c r="BK639" s="249"/>
      <c r="BL639" s="249"/>
      <c r="BM639" s="249"/>
      <c r="BN639" s="249"/>
      <c r="BO639" s="249"/>
      <c r="BP639" s="249"/>
      <c r="BQ639" s="249"/>
      <c r="BR639" s="249"/>
      <c r="BS639" s="249"/>
      <c r="BT639" s="249"/>
      <c r="BU639" s="249"/>
      <c r="BV639" s="249"/>
      <c r="BW639" s="249"/>
      <c r="BX639" s="249"/>
      <c r="BY639" s="249"/>
      <c r="BZ639" s="249"/>
      <c r="CA639" s="249"/>
      <c r="CB639" s="249"/>
      <c r="CC639" s="249"/>
      <c r="CD639" s="249"/>
      <c r="CE639" s="249"/>
    </row>
    <row r="640" spans="1:83" s="84" customFormat="1" ht="12.95" customHeight="1">
      <c r="A640" s="1"/>
      <c r="B640" s="1"/>
      <c r="C640" s="21" t="s">
        <v>885</v>
      </c>
      <c r="D640" s="52" t="s">
        <v>3238</v>
      </c>
      <c r="E640" s="52" t="s">
        <v>3239</v>
      </c>
      <c r="F640" s="53" t="s">
        <v>1179</v>
      </c>
      <c r="G640" s="179" t="s">
        <v>1429</v>
      </c>
      <c r="H640" s="180"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29" t="s">
        <v>885</v>
      </c>
      <c r="AR640" s="5"/>
      <c r="AS640" s="5"/>
      <c r="AT640" s="5"/>
      <c r="AU640" s="5"/>
      <c r="AV640" s="5"/>
      <c r="AW640" s="5"/>
      <c r="AX640" s="284"/>
      <c r="AY640" s="5"/>
      <c r="AZ640" s="5"/>
      <c r="BA640" s="230"/>
      <c r="BB640" s="5"/>
      <c r="BC640" s="232" t="s">
        <v>3536</v>
      </c>
      <c r="BD640" s="257"/>
      <c r="BE640" s="249"/>
      <c r="BF640" s="249"/>
      <c r="BG640" s="249"/>
      <c r="BH640" s="249"/>
      <c r="BI640" s="249"/>
      <c r="BJ640" s="249"/>
      <c r="BK640" s="249"/>
      <c r="BL640" s="249"/>
      <c r="BM640" s="249"/>
      <c r="BN640" s="249"/>
      <c r="BO640" s="249"/>
      <c r="BP640" s="249"/>
      <c r="BQ640" s="249"/>
      <c r="BR640" s="249"/>
      <c r="BS640" s="249"/>
      <c r="BT640" s="249"/>
      <c r="BU640" s="249"/>
      <c r="BV640" s="249"/>
      <c r="BW640" s="249"/>
      <c r="BX640" s="249"/>
      <c r="BY640" s="249"/>
      <c r="BZ640" s="249"/>
      <c r="CA640" s="249"/>
      <c r="CB640" s="249"/>
      <c r="CC640" s="249"/>
      <c r="CD640" s="249"/>
      <c r="CE640" s="249"/>
    </row>
    <row r="641" spans="1:83" s="84" customFormat="1" ht="12.95" customHeight="1">
      <c r="A641" s="1"/>
      <c r="B641" s="1"/>
      <c r="C641" s="21" t="s">
        <v>886</v>
      </c>
      <c r="D641" s="52" t="s">
        <v>3241</v>
      </c>
      <c r="E641" s="52" t="s">
        <v>3242</v>
      </c>
      <c r="F641" s="53" t="s">
        <v>1180</v>
      </c>
      <c r="G641" s="179" t="s">
        <v>1429</v>
      </c>
      <c r="H641" s="180"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29" t="s">
        <v>886</v>
      </c>
      <c r="AR641" s="5"/>
      <c r="AS641" s="5"/>
      <c r="AT641" s="5"/>
      <c r="AU641" s="5"/>
      <c r="AV641" s="5"/>
      <c r="AW641" s="5"/>
      <c r="AX641" s="284"/>
      <c r="AY641" s="5"/>
      <c r="AZ641" s="5"/>
      <c r="BA641" s="230"/>
      <c r="BB641" s="5"/>
      <c r="BC641" s="232" t="s">
        <v>3536</v>
      </c>
      <c r="BD641" s="257"/>
      <c r="BE641" s="249"/>
      <c r="BF641" s="249"/>
      <c r="BG641" s="249"/>
      <c r="BH641" s="249"/>
      <c r="BI641" s="249"/>
      <c r="BJ641" s="249"/>
      <c r="BK641" s="249"/>
      <c r="BL641" s="249"/>
      <c r="BM641" s="249"/>
      <c r="BN641" s="249"/>
      <c r="BO641" s="249"/>
      <c r="BP641" s="249"/>
      <c r="BQ641" s="249"/>
      <c r="BR641" s="249"/>
      <c r="BS641" s="249"/>
      <c r="BT641" s="249"/>
      <c r="BU641" s="249"/>
      <c r="BV641" s="249"/>
      <c r="BW641" s="249"/>
      <c r="BX641" s="249"/>
      <c r="BY641" s="249"/>
      <c r="BZ641" s="249"/>
      <c r="CA641" s="249"/>
      <c r="CB641" s="249"/>
      <c r="CC641" s="249"/>
      <c r="CD641" s="249"/>
      <c r="CE641" s="249"/>
    </row>
    <row r="642" spans="1:83" s="84" customFormat="1" ht="12.95" customHeight="1">
      <c r="A642" s="1"/>
      <c r="B642" s="1"/>
      <c r="C642" s="18" t="s">
        <v>887</v>
      </c>
      <c r="D642" s="52" t="s">
        <v>3244</v>
      </c>
      <c r="E642" s="52" t="s">
        <v>3245</v>
      </c>
      <c r="F642" s="53" t="s">
        <v>1181</v>
      </c>
      <c r="G642" s="179" t="s">
        <v>1429</v>
      </c>
      <c r="H642" s="180"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29" t="s">
        <v>887</v>
      </c>
      <c r="AR642" s="5"/>
      <c r="AS642" s="5"/>
      <c r="AT642" s="5"/>
      <c r="AU642" s="5"/>
      <c r="AV642" s="5"/>
      <c r="AW642" s="5"/>
      <c r="AX642" s="284"/>
      <c r="AY642" s="5"/>
      <c r="AZ642" s="5"/>
      <c r="BA642" s="230"/>
      <c r="BB642" s="5"/>
      <c r="BC642" s="232" t="s">
        <v>3536</v>
      </c>
      <c r="BD642" s="257"/>
      <c r="BE642" s="249"/>
      <c r="BF642" s="249"/>
      <c r="BG642" s="249"/>
      <c r="BH642" s="249"/>
      <c r="BI642" s="249"/>
      <c r="BJ642" s="249"/>
      <c r="BK642" s="249"/>
      <c r="BL642" s="249"/>
      <c r="BM642" s="249"/>
      <c r="BN642" s="249"/>
      <c r="BO642" s="249"/>
      <c r="BP642" s="249"/>
      <c r="BQ642" s="249"/>
      <c r="BR642" s="249"/>
      <c r="BS642" s="249"/>
      <c r="BT642" s="249"/>
      <c r="BU642" s="249"/>
      <c r="BV642" s="249"/>
      <c r="BW642" s="249"/>
      <c r="BX642" s="249"/>
      <c r="BY642" s="249"/>
      <c r="BZ642" s="249"/>
      <c r="CA642" s="249"/>
      <c r="CB642" s="249"/>
      <c r="CC642" s="249"/>
      <c r="CD642" s="249"/>
      <c r="CE642" s="249"/>
    </row>
    <row r="643" spans="1:83" s="84" customFormat="1" ht="12.95" customHeight="1">
      <c r="A643" s="1"/>
      <c r="B643" s="1"/>
      <c r="C643" s="18" t="s">
        <v>888</v>
      </c>
      <c r="D643" s="52" t="s">
        <v>3247</v>
      </c>
      <c r="E643" s="52" t="s">
        <v>3205</v>
      </c>
      <c r="F643" s="53" t="s">
        <v>1182</v>
      </c>
      <c r="G643" s="179" t="s">
        <v>1429</v>
      </c>
      <c r="H643" s="180"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29" t="s">
        <v>888</v>
      </c>
      <c r="AR643" s="5"/>
      <c r="AS643" s="5"/>
      <c r="AT643" s="5"/>
      <c r="AU643" s="5"/>
      <c r="AV643" s="5"/>
      <c r="AW643" s="5"/>
      <c r="AX643" s="284"/>
      <c r="AY643" s="5"/>
      <c r="AZ643" s="5"/>
      <c r="BA643" s="230"/>
      <c r="BB643" s="5"/>
      <c r="BC643" s="232" t="s">
        <v>3536</v>
      </c>
      <c r="BD643" s="257"/>
      <c r="BE643" s="249"/>
      <c r="BF643" s="249"/>
      <c r="BG643" s="249"/>
      <c r="BH643" s="249"/>
      <c r="BI643" s="249"/>
      <c r="BJ643" s="249"/>
      <c r="BK643" s="249"/>
      <c r="BL643" s="249"/>
      <c r="BM643" s="249"/>
      <c r="BN643" s="249"/>
      <c r="BO643" s="249"/>
      <c r="BP643" s="249"/>
      <c r="BQ643" s="249"/>
      <c r="BR643" s="249"/>
      <c r="BS643" s="249"/>
      <c r="BT643" s="249"/>
      <c r="BU643" s="249"/>
      <c r="BV643" s="249"/>
      <c r="BW643" s="249"/>
      <c r="BX643" s="249"/>
      <c r="BY643" s="249"/>
      <c r="BZ643" s="249"/>
      <c r="CA643" s="249"/>
      <c r="CB643" s="249"/>
      <c r="CC643" s="249"/>
      <c r="CD643" s="249"/>
      <c r="CE643" s="249"/>
    </row>
    <row r="644" spans="1:83" s="84" customFormat="1" ht="12.95" customHeight="1">
      <c r="A644" s="1"/>
      <c r="B644" s="1"/>
      <c r="C644" s="18" t="s">
        <v>889</v>
      </c>
      <c r="D644" s="52" t="s">
        <v>3249</v>
      </c>
      <c r="E644" s="52" t="s">
        <v>3196</v>
      </c>
      <c r="F644" s="53" t="s">
        <v>1183</v>
      </c>
      <c r="G644" s="179" t="s">
        <v>1429</v>
      </c>
      <c r="H644" s="180"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29" t="s">
        <v>889</v>
      </c>
      <c r="AR644" s="5"/>
      <c r="AS644" s="5"/>
      <c r="AT644" s="5"/>
      <c r="AU644" s="5"/>
      <c r="AV644" s="5"/>
      <c r="AW644" s="5"/>
      <c r="AX644" s="284"/>
      <c r="AY644" s="5"/>
      <c r="AZ644" s="5"/>
      <c r="BA644" s="230"/>
      <c r="BB644" s="5"/>
      <c r="BC644" s="232" t="s">
        <v>3536</v>
      </c>
      <c r="BD644" s="257"/>
      <c r="BE644" s="249"/>
      <c r="BF644" s="249"/>
      <c r="BG644" s="249"/>
      <c r="BH644" s="249"/>
      <c r="BI644" s="249"/>
      <c r="BJ644" s="249"/>
      <c r="BK644" s="249"/>
      <c r="BL644" s="249"/>
      <c r="BM644" s="249"/>
      <c r="BN644" s="249"/>
      <c r="BO644" s="249"/>
      <c r="BP644" s="249"/>
      <c r="BQ644" s="249"/>
      <c r="BR644" s="249"/>
      <c r="BS644" s="249"/>
      <c r="BT644" s="249"/>
      <c r="BU644" s="249"/>
      <c r="BV644" s="249"/>
      <c r="BW644" s="249"/>
      <c r="BX644" s="249"/>
      <c r="BY644" s="249"/>
      <c r="BZ644" s="249"/>
      <c r="CA644" s="249"/>
      <c r="CB644" s="249"/>
      <c r="CC644" s="249"/>
      <c r="CD644" s="249"/>
      <c r="CE644" s="249"/>
    </row>
    <row r="645" spans="1:83" s="84" customFormat="1" ht="12.95" customHeight="1">
      <c r="A645" s="1"/>
      <c r="B645" s="1"/>
      <c r="C645" s="18" t="s">
        <v>890</v>
      </c>
      <c r="D645" s="52" t="s">
        <v>3251</v>
      </c>
      <c r="E645" s="52" t="s">
        <v>3199</v>
      </c>
      <c r="F645" s="53" t="s">
        <v>1184</v>
      </c>
      <c r="G645" s="179" t="s">
        <v>1429</v>
      </c>
      <c r="H645" s="180"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29" t="s">
        <v>890</v>
      </c>
      <c r="AR645" s="5"/>
      <c r="AS645" s="5"/>
      <c r="AT645" s="5"/>
      <c r="AU645" s="5"/>
      <c r="AV645" s="5"/>
      <c r="AW645" s="5"/>
      <c r="AX645" s="284"/>
      <c r="AY645" s="5"/>
      <c r="AZ645" s="5"/>
      <c r="BA645" s="230"/>
      <c r="BB645" s="5"/>
      <c r="BC645" s="232" t="s">
        <v>3536</v>
      </c>
      <c r="BD645" s="257"/>
      <c r="BE645" s="249"/>
      <c r="BF645" s="249"/>
      <c r="BG645" s="249"/>
      <c r="BH645" s="249"/>
      <c r="BI645" s="249"/>
      <c r="BJ645" s="249"/>
      <c r="BK645" s="249"/>
      <c r="BL645" s="249"/>
      <c r="BM645" s="249"/>
      <c r="BN645" s="249"/>
      <c r="BO645" s="249"/>
      <c r="BP645" s="249"/>
      <c r="BQ645" s="249"/>
      <c r="BR645" s="249"/>
      <c r="BS645" s="249"/>
      <c r="BT645" s="249"/>
      <c r="BU645" s="249"/>
      <c r="BV645" s="249"/>
      <c r="BW645" s="249"/>
      <c r="BX645" s="249"/>
      <c r="BY645" s="249"/>
      <c r="BZ645" s="249"/>
      <c r="CA645" s="249"/>
      <c r="CB645" s="249"/>
      <c r="CC645" s="249"/>
      <c r="CD645" s="249"/>
      <c r="CE645" s="249"/>
    </row>
    <row r="646" spans="1:83" s="84" customFormat="1" ht="12.95" customHeight="1">
      <c r="A646" s="1"/>
      <c r="B646" s="1"/>
      <c r="C646" s="18" t="s">
        <v>891</v>
      </c>
      <c r="D646" s="52" t="s">
        <v>3253</v>
      </c>
      <c r="E646" s="52" t="s">
        <v>3254</v>
      </c>
      <c r="F646" s="53" t="s">
        <v>1185</v>
      </c>
      <c r="G646" s="179" t="s">
        <v>1429</v>
      </c>
      <c r="H646" s="180"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29" t="s">
        <v>891</v>
      </c>
      <c r="AR646" s="5"/>
      <c r="AS646" s="5"/>
      <c r="AT646" s="5"/>
      <c r="AU646" s="5"/>
      <c r="AV646" s="5"/>
      <c r="AW646" s="5"/>
      <c r="AX646" s="284"/>
      <c r="AY646" s="5"/>
      <c r="AZ646" s="5"/>
      <c r="BA646" s="230"/>
      <c r="BB646" s="5"/>
      <c r="BC646" s="232" t="s">
        <v>3536</v>
      </c>
      <c r="BD646" s="257"/>
      <c r="BE646" s="249"/>
      <c r="BF646" s="249"/>
      <c r="BG646" s="249"/>
      <c r="BH646" s="249"/>
      <c r="BI646" s="249"/>
      <c r="BJ646" s="249"/>
      <c r="BK646" s="249"/>
      <c r="BL646" s="249"/>
      <c r="BM646" s="249"/>
      <c r="BN646" s="249"/>
      <c r="BO646" s="249"/>
      <c r="BP646" s="249"/>
      <c r="BQ646" s="249"/>
      <c r="BR646" s="249"/>
      <c r="BS646" s="249"/>
      <c r="BT646" s="249"/>
      <c r="BU646" s="249"/>
      <c r="BV646" s="249"/>
      <c r="BW646" s="249"/>
      <c r="BX646" s="249"/>
      <c r="BY646" s="249"/>
      <c r="BZ646" s="249"/>
      <c r="CA646" s="249"/>
      <c r="CB646" s="249"/>
      <c r="CC646" s="249"/>
      <c r="CD646" s="249"/>
      <c r="CE646" s="249"/>
    </row>
    <row r="647" spans="1:83" s="84" customFormat="1" ht="12.95" customHeight="1">
      <c r="A647" s="1"/>
      <c r="B647" s="1"/>
      <c r="C647" s="18" t="s">
        <v>892</v>
      </c>
      <c r="D647" s="52" t="s">
        <v>3256</v>
      </c>
      <c r="E647" s="52" t="s">
        <v>3257</v>
      </c>
      <c r="F647" s="53" t="s">
        <v>1186</v>
      </c>
      <c r="G647" s="179" t="s">
        <v>1429</v>
      </c>
      <c r="H647" s="180"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29" t="s">
        <v>892</v>
      </c>
      <c r="AR647" s="5"/>
      <c r="AS647" s="5"/>
      <c r="AT647" s="5"/>
      <c r="AU647" s="5"/>
      <c r="AV647" s="5"/>
      <c r="AW647" s="5"/>
      <c r="AX647" s="284"/>
      <c r="AY647" s="5"/>
      <c r="AZ647" s="5"/>
      <c r="BA647" s="230"/>
      <c r="BB647" s="5"/>
      <c r="BC647" s="232" t="s">
        <v>3536</v>
      </c>
      <c r="BD647" s="257"/>
      <c r="BE647" s="249"/>
      <c r="BF647" s="249"/>
      <c r="BG647" s="249"/>
      <c r="BH647" s="249"/>
      <c r="BI647" s="249"/>
      <c r="BJ647" s="249"/>
      <c r="BK647" s="249"/>
      <c r="BL647" s="249"/>
      <c r="BM647" s="249"/>
      <c r="BN647" s="249"/>
      <c r="BO647" s="249"/>
      <c r="BP647" s="249"/>
      <c r="BQ647" s="249"/>
      <c r="BR647" s="249"/>
      <c r="BS647" s="249"/>
      <c r="BT647" s="249"/>
      <c r="BU647" s="249"/>
      <c r="BV647" s="249"/>
      <c r="BW647" s="249"/>
      <c r="BX647" s="249"/>
      <c r="BY647" s="249"/>
      <c r="BZ647" s="249"/>
      <c r="CA647" s="249"/>
      <c r="CB647" s="249"/>
      <c r="CC647" s="249"/>
      <c r="CD647" s="249"/>
      <c r="CE647" s="249"/>
    </row>
    <row r="648" spans="1:83" s="84" customFormat="1" ht="12.95" customHeight="1">
      <c r="A648" s="1"/>
      <c r="B648" s="1"/>
      <c r="C648" s="18" t="s">
        <v>893</v>
      </c>
      <c r="D648" s="52" t="s">
        <v>3259</v>
      </c>
      <c r="E648" s="52" t="s">
        <v>3226</v>
      </c>
      <c r="F648" s="53" t="s">
        <v>1187</v>
      </c>
      <c r="G648" s="179" t="s">
        <v>1429</v>
      </c>
      <c r="H648" s="180"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29" t="s">
        <v>893</v>
      </c>
      <c r="AR648" s="5"/>
      <c r="AS648" s="5"/>
      <c r="AT648" s="5"/>
      <c r="AU648" s="5"/>
      <c r="AV648" s="5"/>
      <c r="AW648" s="5"/>
      <c r="AX648" s="284"/>
      <c r="AY648" s="5"/>
      <c r="AZ648" s="5"/>
      <c r="BA648" s="230"/>
      <c r="BB648" s="5"/>
      <c r="BC648" s="232" t="s">
        <v>3536</v>
      </c>
      <c r="BD648" s="257"/>
      <c r="BE648" s="249"/>
      <c r="BF648" s="249"/>
      <c r="BG648" s="249"/>
      <c r="BH648" s="249"/>
      <c r="BI648" s="249"/>
      <c r="BJ648" s="249"/>
      <c r="BK648" s="249"/>
      <c r="BL648" s="249"/>
      <c r="BM648" s="249"/>
      <c r="BN648" s="249"/>
      <c r="BO648" s="249"/>
      <c r="BP648" s="249"/>
      <c r="BQ648" s="249"/>
      <c r="BR648" s="249"/>
      <c r="BS648" s="249"/>
      <c r="BT648" s="249"/>
      <c r="BU648" s="249"/>
      <c r="BV648" s="249"/>
      <c r="BW648" s="249"/>
      <c r="BX648" s="249"/>
      <c r="BY648" s="249"/>
      <c r="BZ648" s="249"/>
      <c r="CA648" s="249"/>
      <c r="CB648" s="249"/>
      <c r="CC648" s="249"/>
      <c r="CD648" s="249"/>
      <c r="CE648" s="249"/>
    </row>
    <row r="649" spans="1:83" s="84" customFormat="1" ht="12.95" customHeight="1">
      <c r="A649" s="1"/>
      <c r="B649" s="1"/>
      <c r="C649" s="18" t="s">
        <v>894</v>
      </c>
      <c r="D649" s="52" t="s">
        <v>1707</v>
      </c>
      <c r="E649" s="52" t="s">
        <v>3229</v>
      </c>
      <c r="F649" s="53" t="s">
        <v>1188</v>
      </c>
      <c r="G649" s="179" t="s">
        <v>1429</v>
      </c>
      <c r="H649" s="180"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29" t="s">
        <v>894</v>
      </c>
      <c r="AR649" s="5"/>
      <c r="AS649" s="5"/>
      <c r="AT649" s="5"/>
      <c r="AU649" s="5"/>
      <c r="AV649" s="5"/>
      <c r="AW649" s="5"/>
      <c r="AX649" s="284"/>
      <c r="AY649" s="5"/>
      <c r="AZ649" s="5"/>
      <c r="BA649" s="230"/>
      <c r="BB649" s="5"/>
      <c r="BC649" s="232" t="s">
        <v>3536</v>
      </c>
      <c r="BD649" s="257"/>
      <c r="BE649" s="249"/>
      <c r="BF649" s="249"/>
      <c r="BG649" s="249"/>
      <c r="BH649" s="249"/>
      <c r="BI649" s="249"/>
      <c r="BJ649" s="249"/>
      <c r="BK649" s="249"/>
      <c r="BL649" s="249"/>
      <c r="BM649" s="249"/>
      <c r="BN649" s="249"/>
      <c r="BO649" s="249"/>
      <c r="BP649" s="249"/>
      <c r="BQ649" s="249"/>
      <c r="BR649" s="249"/>
      <c r="BS649" s="249"/>
      <c r="BT649" s="249"/>
      <c r="BU649" s="249"/>
      <c r="BV649" s="249"/>
      <c r="BW649" s="249"/>
      <c r="BX649" s="249"/>
      <c r="BY649" s="249"/>
      <c r="BZ649" s="249"/>
      <c r="CA649" s="249"/>
      <c r="CB649" s="249"/>
      <c r="CC649" s="249"/>
      <c r="CD649" s="249"/>
      <c r="CE649" s="249"/>
    </row>
    <row r="650" spans="1:83" s="84" customFormat="1" ht="12.95" customHeight="1">
      <c r="A650" s="1"/>
      <c r="B650" s="1"/>
      <c r="C650" s="18" t="s">
        <v>895</v>
      </c>
      <c r="D650" s="52" t="s">
        <v>1718</v>
      </c>
      <c r="E650" s="52" t="s">
        <v>3244</v>
      </c>
      <c r="F650" s="53" t="s">
        <v>1189</v>
      </c>
      <c r="G650" s="179" t="s">
        <v>1429</v>
      </c>
      <c r="H650" s="180"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29" t="s">
        <v>895</v>
      </c>
      <c r="AR650" s="5"/>
      <c r="AS650" s="5"/>
      <c r="AT650" s="5"/>
      <c r="AU650" s="5"/>
      <c r="AV650" s="5"/>
      <c r="AW650" s="5"/>
      <c r="AX650" s="284"/>
      <c r="AY650" s="5"/>
      <c r="AZ650" s="5"/>
      <c r="BA650" s="230"/>
      <c r="BB650" s="5"/>
      <c r="BC650" s="232" t="s">
        <v>3536</v>
      </c>
      <c r="BD650" s="257"/>
      <c r="BE650" s="249"/>
      <c r="BF650" s="249"/>
      <c r="BG650" s="249"/>
      <c r="BH650" s="249"/>
      <c r="BI650" s="249"/>
      <c r="BJ650" s="249"/>
      <c r="BK650" s="249"/>
      <c r="BL650" s="249"/>
      <c r="BM650" s="249"/>
      <c r="BN650" s="249"/>
      <c r="BO650" s="249"/>
      <c r="BP650" s="249"/>
      <c r="BQ650" s="249"/>
      <c r="BR650" s="249"/>
      <c r="BS650" s="249"/>
      <c r="BT650" s="249"/>
      <c r="BU650" s="249"/>
      <c r="BV650" s="249"/>
      <c r="BW650" s="249"/>
      <c r="BX650" s="249"/>
      <c r="BY650" s="249"/>
      <c r="BZ650" s="249"/>
      <c r="CA650" s="249"/>
      <c r="CB650" s="249"/>
      <c r="CC650" s="249"/>
      <c r="CD650" s="249"/>
      <c r="CE650" s="249"/>
    </row>
    <row r="651" spans="1:83" s="84" customFormat="1" ht="12.95" customHeight="1">
      <c r="A651" s="1"/>
      <c r="B651" s="1"/>
      <c r="C651" s="18" t="s">
        <v>896</v>
      </c>
      <c r="D651" s="52" t="s">
        <v>3263</v>
      </c>
      <c r="E651" s="52" t="s">
        <v>3264</v>
      </c>
      <c r="F651" s="53" t="s">
        <v>1190</v>
      </c>
      <c r="G651" s="179" t="s">
        <v>1429</v>
      </c>
      <c r="H651" s="180"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29" t="s">
        <v>896</v>
      </c>
      <c r="AR651" s="5"/>
      <c r="AS651" s="5"/>
      <c r="AT651" s="5"/>
      <c r="AU651" s="5"/>
      <c r="AV651" s="5"/>
      <c r="AW651" s="5"/>
      <c r="AX651" s="284"/>
      <c r="AY651" s="5"/>
      <c r="AZ651" s="5"/>
      <c r="BA651" s="230"/>
      <c r="BB651" s="5"/>
      <c r="BC651" s="232" t="s">
        <v>3536</v>
      </c>
      <c r="BD651" s="257"/>
      <c r="BE651" s="249"/>
      <c r="BF651" s="249"/>
      <c r="BG651" s="249"/>
      <c r="BH651" s="249"/>
      <c r="BI651" s="249"/>
      <c r="BJ651" s="249"/>
      <c r="BK651" s="249"/>
      <c r="BL651" s="249"/>
      <c r="BM651" s="249"/>
      <c r="BN651" s="249"/>
      <c r="BO651" s="249"/>
      <c r="BP651" s="249"/>
      <c r="BQ651" s="249"/>
      <c r="BR651" s="249"/>
      <c r="BS651" s="249"/>
      <c r="BT651" s="249"/>
      <c r="BU651" s="249"/>
      <c r="BV651" s="249"/>
      <c r="BW651" s="249"/>
      <c r="BX651" s="249"/>
      <c r="BY651" s="249"/>
      <c r="BZ651" s="249"/>
      <c r="CA651" s="249"/>
      <c r="CB651" s="249"/>
      <c r="CC651" s="249"/>
      <c r="CD651" s="249"/>
      <c r="CE651" s="249"/>
    </row>
    <row r="652" spans="1:83" s="84" customFormat="1" ht="12.95" customHeight="1">
      <c r="A652" s="1"/>
      <c r="B652" s="1"/>
      <c r="C652" s="21" t="s">
        <v>897</v>
      </c>
      <c r="D652" s="52" t="s">
        <v>3266</v>
      </c>
      <c r="E652" s="52" t="s">
        <v>3267</v>
      </c>
      <c r="F652" s="53" t="s">
        <v>1191</v>
      </c>
      <c r="G652" s="179" t="s">
        <v>1429</v>
      </c>
      <c r="H652" s="180"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29" t="s">
        <v>897</v>
      </c>
      <c r="AR652" s="5"/>
      <c r="AS652" s="5"/>
      <c r="AT652" s="5"/>
      <c r="AU652" s="5"/>
      <c r="AV652" s="5"/>
      <c r="AW652" s="5"/>
      <c r="AX652" s="284"/>
      <c r="AY652" s="5"/>
      <c r="AZ652" s="5"/>
      <c r="BA652" s="230"/>
      <c r="BB652" s="5"/>
      <c r="BC652" s="232" t="s">
        <v>3536</v>
      </c>
      <c r="BD652" s="257"/>
      <c r="BE652" s="249"/>
      <c r="BF652" s="249"/>
      <c r="BG652" s="249"/>
      <c r="BH652" s="249"/>
      <c r="BI652" s="249"/>
      <c r="BJ652" s="249"/>
      <c r="BK652" s="249"/>
      <c r="BL652" s="249"/>
      <c r="BM652" s="249"/>
      <c r="BN652" s="249"/>
      <c r="BO652" s="249"/>
      <c r="BP652" s="249"/>
      <c r="BQ652" s="249"/>
      <c r="BR652" s="249"/>
      <c r="BS652" s="249"/>
      <c r="BT652" s="249"/>
      <c r="BU652" s="249"/>
      <c r="BV652" s="249"/>
      <c r="BW652" s="249"/>
      <c r="BX652" s="249"/>
      <c r="BY652" s="249"/>
      <c r="BZ652" s="249"/>
      <c r="CA652" s="249"/>
      <c r="CB652" s="249"/>
      <c r="CC652" s="249"/>
      <c r="CD652" s="249"/>
      <c r="CE652" s="249"/>
    </row>
    <row r="653" spans="1:83" s="84" customFormat="1" ht="12.95" customHeight="1">
      <c r="A653" s="1"/>
      <c r="B653" s="1"/>
      <c r="C653" s="21" t="s">
        <v>898</v>
      </c>
      <c r="D653" s="52" t="s">
        <v>3269</v>
      </c>
      <c r="E653" s="52" t="s">
        <v>3270</v>
      </c>
      <c r="F653" s="53" t="s">
        <v>1192</v>
      </c>
      <c r="G653" s="179" t="s">
        <v>1429</v>
      </c>
      <c r="H653" s="180"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29" t="s">
        <v>898</v>
      </c>
      <c r="AR653" s="5"/>
      <c r="AS653" s="5"/>
      <c r="AT653" s="5"/>
      <c r="AU653" s="5"/>
      <c r="AV653" s="5"/>
      <c r="AW653" s="5"/>
      <c r="AX653" s="284"/>
      <c r="AY653" s="5"/>
      <c r="AZ653" s="5"/>
      <c r="BA653" s="230"/>
      <c r="BB653" s="5"/>
      <c r="BC653" s="232" t="s">
        <v>3536</v>
      </c>
      <c r="BD653" s="257"/>
      <c r="BE653" s="249"/>
      <c r="BF653" s="249"/>
      <c r="BG653" s="249"/>
      <c r="BH653" s="249"/>
      <c r="BI653" s="249"/>
      <c r="BJ653" s="249"/>
      <c r="BK653" s="249"/>
      <c r="BL653" s="249"/>
      <c r="BM653" s="249"/>
      <c r="BN653" s="249"/>
      <c r="BO653" s="249"/>
      <c r="BP653" s="249"/>
      <c r="BQ653" s="249"/>
      <c r="BR653" s="249"/>
      <c r="BS653" s="249"/>
      <c r="BT653" s="249"/>
      <c r="BU653" s="249"/>
      <c r="BV653" s="249"/>
      <c r="BW653" s="249"/>
      <c r="BX653" s="249"/>
      <c r="BY653" s="249"/>
      <c r="BZ653" s="249"/>
      <c r="CA653" s="249"/>
      <c r="CB653" s="249"/>
      <c r="CC653" s="249"/>
      <c r="CD653" s="249"/>
      <c r="CE653" s="249"/>
    </row>
    <row r="654" spans="1:83" s="84" customFormat="1" ht="12.95" customHeight="1">
      <c r="A654" s="1"/>
      <c r="B654" s="1"/>
      <c r="C654" s="18" t="s">
        <v>899</v>
      </c>
      <c r="D654" s="52" t="s">
        <v>1725</v>
      </c>
      <c r="E654" s="52" t="s">
        <v>3272</v>
      </c>
      <c r="F654" s="53" t="s">
        <v>1193</v>
      </c>
      <c r="G654" s="179" t="s">
        <v>1429</v>
      </c>
      <c r="H654" s="180"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29" t="s">
        <v>899</v>
      </c>
      <c r="AR654" s="5"/>
      <c r="AS654" s="5"/>
      <c r="AT654" s="5"/>
      <c r="AU654" s="5"/>
      <c r="AV654" s="5"/>
      <c r="AW654" s="5"/>
      <c r="AX654" s="284"/>
      <c r="AY654" s="5"/>
      <c r="AZ654" s="5"/>
      <c r="BA654" s="230"/>
      <c r="BB654" s="5"/>
      <c r="BC654" s="232" t="s">
        <v>3536</v>
      </c>
      <c r="BD654" s="257"/>
      <c r="BE654" s="249"/>
      <c r="BF654" s="249"/>
      <c r="BG654" s="249"/>
      <c r="BH654" s="249"/>
      <c r="BI654" s="249"/>
      <c r="BJ654" s="249"/>
      <c r="BK654" s="249"/>
      <c r="BL654" s="249"/>
      <c r="BM654" s="249"/>
      <c r="BN654" s="249"/>
      <c r="BO654" s="249"/>
      <c r="BP654" s="249"/>
      <c r="BQ654" s="249"/>
      <c r="BR654" s="249"/>
      <c r="BS654" s="249"/>
      <c r="BT654" s="249"/>
      <c r="BU654" s="249"/>
      <c r="BV654" s="249"/>
      <c r="BW654" s="249"/>
      <c r="BX654" s="249"/>
      <c r="BY654" s="249"/>
      <c r="BZ654" s="249"/>
      <c r="CA654" s="249"/>
      <c r="CB654" s="249"/>
      <c r="CC654" s="249"/>
      <c r="CD654" s="249"/>
      <c r="CE654" s="249"/>
    </row>
    <row r="655" spans="1:83" s="84" customFormat="1" ht="12.95" customHeight="1">
      <c r="A655" s="1"/>
      <c r="B655" s="1"/>
      <c r="C655" s="18" t="s">
        <v>900</v>
      </c>
      <c r="D655" s="52" t="s">
        <v>3274</v>
      </c>
      <c r="E655" s="52" t="s">
        <v>3275</v>
      </c>
      <c r="F655" s="53" t="s">
        <v>1194</v>
      </c>
      <c r="G655" s="179" t="s">
        <v>1429</v>
      </c>
      <c r="H655" s="180"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29" t="s">
        <v>900</v>
      </c>
      <c r="AR655" s="5"/>
      <c r="AS655" s="5"/>
      <c r="AT655" s="5"/>
      <c r="AU655" s="5"/>
      <c r="AV655" s="5"/>
      <c r="AW655" s="5"/>
      <c r="AX655" s="284"/>
      <c r="AY655" s="5"/>
      <c r="AZ655" s="5"/>
      <c r="BA655" s="230"/>
      <c r="BB655" s="5"/>
      <c r="BC655" s="232" t="s">
        <v>3536</v>
      </c>
      <c r="BD655" s="257"/>
      <c r="BE655" s="249"/>
      <c r="BF655" s="249"/>
      <c r="BG655" s="249"/>
      <c r="BH655" s="249"/>
      <c r="BI655" s="249"/>
      <c r="BJ655" s="249"/>
      <c r="BK655" s="249"/>
      <c r="BL655" s="249"/>
      <c r="BM655" s="249"/>
      <c r="BN655" s="249"/>
      <c r="BO655" s="249"/>
      <c r="BP655" s="249"/>
      <c r="BQ655" s="249"/>
      <c r="BR655" s="249"/>
      <c r="BS655" s="249"/>
      <c r="BT655" s="249"/>
      <c r="BU655" s="249"/>
      <c r="BV655" s="249"/>
      <c r="BW655" s="249"/>
      <c r="BX655" s="249"/>
      <c r="BY655" s="249"/>
      <c r="BZ655" s="249"/>
      <c r="CA655" s="249"/>
      <c r="CB655" s="249"/>
      <c r="CC655" s="249"/>
      <c r="CD655" s="249"/>
      <c r="CE655" s="249"/>
    </row>
    <row r="656" spans="1:83" s="84" customFormat="1" ht="12.95" customHeight="1">
      <c r="A656" s="1"/>
      <c r="B656" s="1"/>
      <c r="C656" s="18" t="s">
        <v>901</v>
      </c>
      <c r="D656" s="52" t="s">
        <v>3277</v>
      </c>
      <c r="E656" s="52" t="s">
        <v>3251</v>
      </c>
      <c r="F656" s="53" t="s">
        <v>1195</v>
      </c>
      <c r="G656" s="179" t="s">
        <v>1429</v>
      </c>
      <c r="H656" s="180"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29" t="s">
        <v>901</v>
      </c>
      <c r="AR656" s="5"/>
      <c r="AS656" s="5"/>
      <c r="AT656" s="5"/>
      <c r="AU656" s="5"/>
      <c r="AV656" s="5"/>
      <c r="AW656" s="5"/>
      <c r="AX656" s="284"/>
      <c r="AY656" s="5"/>
      <c r="AZ656" s="5"/>
      <c r="BA656" s="230"/>
      <c r="BB656" s="5"/>
      <c r="BC656" s="232" t="s">
        <v>3536</v>
      </c>
      <c r="BD656" s="257"/>
      <c r="BE656" s="249"/>
      <c r="BF656" s="249"/>
      <c r="BG656" s="249"/>
      <c r="BH656" s="249"/>
      <c r="BI656" s="249"/>
      <c r="BJ656" s="249"/>
      <c r="BK656" s="249"/>
      <c r="BL656" s="249"/>
      <c r="BM656" s="249"/>
      <c r="BN656" s="249"/>
      <c r="BO656" s="249"/>
      <c r="BP656" s="249"/>
      <c r="BQ656" s="249"/>
      <c r="BR656" s="249"/>
      <c r="BS656" s="249"/>
      <c r="BT656" s="249"/>
      <c r="BU656" s="249"/>
      <c r="BV656" s="249"/>
      <c r="BW656" s="249"/>
      <c r="BX656" s="249"/>
      <c r="BY656" s="249"/>
      <c r="BZ656" s="249"/>
      <c r="CA656" s="249"/>
      <c r="CB656" s="249"/>
      <c r="CC656" s="249"/>
      <c r="CD656" s="249"/>
      <c r="CE656" s="249"/>
    </row>
    <row r="657" spans="1:83" s="84" customFormat="1" ht="12.95" customHeight="1">
      <c r="A657" s="1"/>
      <c r="B657" s="1"/>
      <c r="C657" s="18" t="s">
        <v>902</v>
      </c>
      <c r="D657" s="52" t="s">
        <v>3279</v>
      </c>
      <c r="E657" s="52" t="s">
        <v>3280</v>
      </c>
      <c r="F657" s="53" t="s">
        <v>1196</v>
      </c>
      <c r="G657" s="179" t="s">
        <v>1429</v>
      </c>
      <c r="H657" s="180"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29" t="s">
        <v>902</v>
      </c>
      <c r="AR657" s="5"/>
      <c r="AS657" s="5"/>
      <c r="AT657" s="5"/>
      <c r="AU657" s="5"/>
      <c r="AV657" s="5"/>
      <c r="AW657" s="5"/>
      <c r="AX657" s="284"/>
      <c r="AY657" s="5"/>
      <c r="AZ657" s="5"/>
      <c r="BA657" s="230"/>
      <c r="BB657" s="5"/>
      <c r="BC657" s="232" t="s">
        <v>3536</v>
      </c>
      <c r="BD657" s="257"/>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row>
    <row r="658" spans="1:83" s="84" customFormat="1" ht="12.95" customHeight="1">
      <c r="A658" s="1"/>
      <c r="B658" s="1"/>
      <c r="C658" s="18" t="s">
        <v>903</v>
      </c>
      <c r="D658" s="52" t="s">
        <v>3282</v>
      </c>
      <c r="E658" s="52" t="s">
        <v>3259</v>
      </c>
      <c r="F658" s="53" t="s">
        <v>1197</v>
      </c>
      <c r="G658" s="179" t="s">
        <v>1429</v>
      </c>
      <c r="H658" s="180"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29" t="s">
        <v>903</v>
      </c>
      <c r="AR658" s="5"/>
      <c r="AS658" s="5"/>
      <c r="AT658" s="5"/>
      <c r="AU658" s="5"/>
      <c r="AV658" s="5"/>
      <c r="AW658" s="5"/>
      <c r="AX658" s="284"/>
      <c r="AY658" s="5"/>
      <c r="AZ658" s="5"/>
      <c r="BA658" s="230"/>
      <c r="BB658" s="5"/>
      <c r="BC658" s="232" t="s">
        <v>3536</v>
      </c>
      <c r="BD658" s="257"/>
      <c r="BE658" s="249"/>
      <c r="BF658" s="249"/>
      <c r="BG658" s="249"/>
      <c r="BH658" s="249"/>
      <c r="BI658" s="249"/>
      <c r="BJ658" s="249"/>
      <c r="BK658" s="249"/>
      <c r="BL658" s="249"/>
      <c r="BM658" s="249"/>
      <c r="BN658" s="249"/>
      <c r="BO658" s="249"/>
      <c r="BP658" s="249"/>
      <c r="BQ658" s="249"/>
      <c r="BR658" s="249"/>
      <c r="BS658" s="249"/>
      <c r="BT658" s="249"/>
      <c r="BU658" s="249"/>
      <c r="BV658" s="249"/>
      <c r="BW658" s="249"/>
      <c r="BX658" s="249"/>
      <c r="BY658" s="249"/>
      <c r="BZ658" s="249"/>
      <c r="CA658" s="249"/>
      <c r="CB658" s="249"/>
      <c r="CC658" s="249"/>
      <c r="CD658" s="249"/>
      <c r="CE658" s="249"/>
    </row>
    <row r="659" spans="1:83" s="84" customFormat="1" ht="12.95" customHeight="1">
      <c r="A659" s="1"/>
      <c r="B659" s="1"/>
      <c r="C659" s="18" t="s">
        <v>904</v>
      </c>
      <c r="D659" s="52" t="s">
        <v>2211</v>
      </c>
      <c r="E659" s="52" t="s">
        <v>3284</v>
      </c>
      <c r="F659" s="53" t="s">
        <v>1198</v>
      </c>
      <c r="G659" s="179" t="s">
        <v>1429</v>
      </c>
      <c r="H659" s="180"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29" t="s">
        <v>904</v>
      </c>
      <c r="AR659" s="5"/>
      <c r="AS659" s="5"/>
      <c r="AT659" s="5"/>
      <c r="AU659" s="5"/>
      <c r="AV659" s="5"/>
      <c r="AW659" s="5"/>
      <c r="AX659" s="284"/>
      <c r="AY659" s="5"/>
      <c r="AZ659" s="5"/>
      <c r="BA659" s="230"/>
      <c r="BB659" s="5"/>
      <c r="BC659" s="232" t="s">
        <v>3536</v>
      </c>
      <c r="BD659" s="257"/>
      <c r="BE659" s="249"/>
      <c r="BF659" s="249"/>
      <c r="BG659" s="249"/>
      <c r="BH659" s="249"/>
      <c r="BI659" s="249"/>
      <c r="BJ659" s="249"/>
      <c r="BK659" s="249"/>
      <c r="BL659" s="249"/>
      <c r="BM659" s="249"/>
      <c r="BN659" s="249"/>
      <c r="BO659" s="249"/>
      <c r="BP659" s="249"/>
      <c r="BQ659" s="249"/>
      <c r="BR659" s="249"/>
      <c r="BS659" s="249"/>
      <c r="BT659" s="249"/>
      <c r="BU659" s="249"/>
      <c r="BV659" s="249"/>
      <c r="BW659" s="249"/>
      <c r="BX659" s="249"/>
      <c r="BY659" s="249"/>
      <c r="BZ659" s="249"/>
      <c r="CA659" s="249"/>
      <c r="CB659" s="249"/>
      <c r="CC659" s="249"/>
      <c r="CD659" s="249"/>
      <c r="CE659" s="249"/>
    </row>
    <row r="660" spans="1:83" s="84" customFormat="1" ht="12.95" customHeight="1">
      <c r="A660" s="1"/>
      <c r="B660" s="1"/>
      <c r="C660" s="18" t="s">
        <v>905</v>
      </c>
      <c r="D660" s="52" t="s">
        <v>3286</v>
      </c>
      <c r="E660" s="52" t="s">
        <v>3263</v>
      </c>
      <c r="F660" s="53" t="s">
        <v>1199</v>
      </c>
      <c r="G660" s="179" t="s">
        <v>1429</v>
      </c>
      <c r="H660" s="180"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29" t="s">
        <v>905</v>
      </c>
      <c r="AR660" s="5"/>
      <c r="AS660" s="5"/>
      <c r="AT660" s="5"/>
      <c r="AU660" s="5"/>
      <c r="AV660" s="5"/>
      <c r="AW660" s="5"/>
      <c r="AX660" s="284"/>
      <c r="AY660" s="5"/>
      <c r="AZ660" s="5"/>
      <c r="BA660" s="230"/>
      <c r="BB660" s="5"/>
      <c r="BC660" s="232" t="s">
        <v>3536</v>
      </c>
      <c r="BD660" s="257"/>
      <c r="BE660" s="249"/>
      <c r="BF660" s="249"/>
      <c r="BG660" s="249"/>
      <c r="BH660" s="249"/>
      <c r="BI660" s="249"/>
      <c r="BJ660" s="249"/>
      <c r="BK660" s="249"/>
      <c r="BL660" s="249"/>
      <c r="BM660" s="249"/>
      <c r="BN660" s="249"/>
      <c r="BO660" s="249"/>
      <c r="BP660" s="249"/>
      <c r="BQ660" s="249"/>
      <c r="BR660" s="249"/>
      <c r="BS660" s="249"/>
      <c r="BT660" s="249"/>
      <c r="BU660" s="249"/>
      <c r="BV660" s="249"/>
      <c r="BW660" s="249"/>
      <c r="BX660" s="249"/>
      <c r="BY660" s="249"/>
      <c r="BZ660" s="249"/>
      <c r="CA660" s="249"/>
      <c r="CB660" s="249"/>
      <c r="CC660" s="249"/>
      <c r="CD660" s="249"/>
      <c r="CE660" s="249"/>
    </row>
    <row r="661" spans="1:83" s="84" customFormat="1" ht="12.95" customHeight="1">
      <c r="A661" s="1"/>
      <c r="B661" s="1"/>
      <c r="C661" s="18" t="s">
        <v>906</v>
      </c>
      <c r="D661" s="52" t="s">
        <v>1715</v>
      </c>
      <c r="E661" s="52" t="s">
        <v>3288</v>
      </c>
      <c r="F661" s="53" t="s">
        <v>1200</v>
      </c>
      <c r="G661" s="179" t="s">
        <v>1429</v>
      </c>
      <c r="H661" s="180"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29" t="s">
        <v>906</v>
      </c>
      <c r="AR661" s="5"/>
      <c r="AS661" s="5"/>
      <c r="AT661" s="5"/>
      <c r="AU661" s="5"/>
      <c r="AV661" s="5"/>
      <c r="AW661" s="5"/>
      <c r="AX661" s="284"/>
      <c r="AY661" s="5"/>
      <c r="AZ661" s="5"/>
      <c r="BA661" s="230"/>
      <c r="BB661" s="5"/>
      <c r="BC661" s="232" t="s">
        <v>3536</v>
      </c>
      <c r="BD661" s="257"/>
      <c r="BE661" s="249"/>
      <c r="BF661" s="249"/>
      <c r="BG661" s="249"/>
      <c r="BH661" s="249"/>
      <c r="BI661" s="249"/>
      <c r="BJ661" s="249"/>
      <c r="BK661" s="249"/>
      <c r="BL661" s="249"/>
      <c r="BM661" s="249"/>
      <c r="BN661" s="249"/>
      <c r="BO661" s="249"/>
      <c r="BP661" s="249"/>
      <c r="BQ661" s="249"/>
      <c r="BR661" s="249"/>
      <c r="BS661" s="249"/>
      <c r="BT661" s="249"/>
      <c r="BU661" s="249"/>
      <c r="BV661" s="249"/>
      <c r="BW661" s="249"/>
      <c r="BX661" s="249"/>
      <c r="BY661" s="249"/>
      <c r="BZ661" s="249"/>
      <c r="CA661" s="249"/>
      <c r="CB661" s="249"/>
      <c r="CC661" s="249"/>
      <c r="CD661" s="249"/>
      <c r="CE661" s="249"/>
    </row>
    <row r="662" spans="1:83" s="84" customFormat="1" ht="12.95" customHeight="1">
      <c r="A662" s="1"/>
      <c r="B662" s="1"/>
      <c r="C662" s="18" t="s">
        <v>907</v>
      </c>
      <c r="D662" s="52" t="s">
        <v>1712</v>
      </c>
      <c r="E662" s="52" t="s">
        <v>3290</v>
      </c>
      <c r="F662" s="53" t="s">
        <v>1201</v>
      </c>
      <c r="G662" s="179" t="s">
        <v>1429</v>
      </c>
      <c r="H662" s="180"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29" t="s">
        <v>907</v>
      </c>
      <c r="AR662" s="5"/>
      <c r="AS662" s="5"/>
      <c r="AT662" s="5"/>
      <c r="AU662" s="5"/>
      <c r="AV662" s="5"/>
      <c r="AW662" s="5"/>
      <c r="AX662" s="284"/>
      <c r="AY662" s="5"/>
      <c r="AZ662" s="5"/>
      <c r="BA662" s="230"/>
      <c r="BB662" s="5"/>
      <c r="BC662" s="232" t="s">
        <v>3536</v>
      </c>
      <c r="BD662" s="257"/>
      <c r="BE662" s="249"/>
      <c r="BF662" s="249"/>
      <c r="BG662" s="249"/>
      <c r="BH662" s="249"/>
      <c r="BI662" s="249"/>
      <c r="BJ662" s="249"/>
      <c r="BK662" s="249"/>
      <c r="BL662" s="249"/>
      <c r="BM662" s="249"/>
      <c r="BN662" s="249"/>
      <c r="BO662" s="249"/>
      <c r="BP662" s="249"/>
      <c r="BQ662" s="249"/>
      <c r="BR662" s="249"/>
      <c r="BS662" s="249"/>
      <c r="BT662" s="249"/>
      <c r="BU662" s="249"/>
      <c r="BV662" s="249"/>
      <c r="BW662" s="249"/>
      <c r="BX662" s="249"/>
      <c r="BY662" s="249"/>
      <c r="BZ662" s="249"/>
      <c r="CA662" s="249"/>
      <c r="CB662" s="249"/>
      <c r="CC662" s="249"/>
      <c r="CD662" s="249"/>
      <c r="CE662" s="249"/>
    </row>
    <row r="663" spans="1:83" s="84" customFormat="1" ht="12.95" customHeight="1">
      <c r="A663" s="1"/>
      <c r="B663" s="1"/>
      <c r="C663" s="18" t="s">
        <v>908</v>
      </c>
      <c r="D663" s="52" t="s">
        <v>3292</v>
      </c>
      <c r="E663" s="52" t="s">
        <v>3293</v>
      </c>
      <c r="F663" s="53" t="s">
        <v>1202</v>
      </c>
      <c r="G663" s="179" t="s">
        <v>1429</v>
      </c>
      <c r="H663" s="180"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29" t="s">
        <v>908</v>
      </c>
      <c r="AR663" s="5"/>
      <c r="AS663" s="5"/>
      <c r="AT663" s="5"/>
      <c r="AU663" s="5"/>
      <c r="AV663" s="5"/>
      <c r="AW663" s="5"/>
      <c r="AX663" s="284"/>
      <c r="AY663" s="5"/>
      <c r="AZ663" s="5"/>
      <c r="BA663" s="230"/>
      <c r="BB663" s="5"/>
      <c r="BC663" s="232" t="s">
        <v>3536</v>
      </c>
      <c r="BD663" s="257"/>
      <c r="BE663" s="249"/>
      <c r="BF663" s="249"/>
      <c r="BG663" s="249"/>
      <c r="BH663" s="249"/>
      <c r="BI663" s="249"/>
      <c r="BJ663" s="249"/>
      <c r="BK663" s="249"/>
      <c r="BL663" s="249"/>
      <c r="BM663" s="249"/>
      <c r="BN663" s="249"/>
      <c r="BO663" s="249"/>
      <c r="BP663" s="249"/>
      <c r="BQ663" s="249"/>
      <c r="BR663" s="249"/>
      <c r="BS663" s="249"/>
      <c r="BT663" s="249"/>
      <c r="BU663" s="249"/>
      <c r="BV663" s="249"/>
      <c r="BW663" s="249"/>
      <c r="BX663" s="249"/>
      <c r="BY663" s="249"/>
      <c r="BZ663" s="249"/>
      <c r="CA663" s="249"/>
      <c r="CB663" s="249"/>
      <c r="CC663" s="249"/>
      <c r="CD663" s="249"/>
      <c r="CE663" s="249"/>
    </row>
    <row r="664" spans="1:83" s="84" customFormat="1" ht="12.95" customHeight="1">
      <c r="A664" s="1"/>
      <c r="B664" s="1"/>
      <c r="C664" s="21" t="s">
        <v>909</v>
      </c>
      <c r="D664" s="52" t="s">
        <v>3295</v>
      </c>
      <c r="E664" s="52" t="s">
        <v>3296</v>
      </c>
      <c r="F664" s="53" t="s">
        <v>1203</v>
      </c>
      <c r="G664" s="179" t="s">
        <v>1429</v>
      </c>
      <c r="H664" s="180"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29" t="s">
        <v>909</v>
      </c>
      <c r="AR664" s="5"/>
      <c r="AS664" s="5"/>
      <c r="AT664" s="5"/>
      <c r="AU664" s="5"/>
      <c r="AV664" s="5"/>
      <c r="AW664" s="5"/>
      <c r="AX664" s="284"/>
      <c r="AY664" s="5"/>
      <c r="AZ664" s="5"/>
      <c r="BA664" s="230"/>
      <c r="BB664" s="5"/>
      <c r="BC664" s="232" t="s">
        <v>3536</v>
      </c>
      <c r="BD664" s="257"/>
      <c r="BE664" s="249"/>
      <c r="BF664" s="249"/>
      <c r="BG664" s="249"/>
      <c r="BH664" s="249"/>
      <c r="BI664" s="249"/>
      <c r="BJ664" s="249"/>
      <c r="BK664" s="249"/>
      <c r="BL664" s="249"/>
      <c r="BM664" s="249"/>
      <c r="BN664" s="249"/>
      <c r="BO664" s="249"/>
      <c r="BP664" s="249"/>
      <c r="BQ664" s="249"/>
      <c r="BR664" s="249"/>
      <c r="BS664" s="249"/>
      <c r="BT664" s="249"/>
      <c r="BU664" s="249"/>
      <c r="BV664" s="249"/>
      <c r="BW664" s="249"/>
      <c r="BX664" s="249"/>
      <c r="BY664" s="249"/>
      <c r="BZ664" s="249"/>
      <c r="CA664" s="249"/>
      <c r="CB664" s="249"/>
      <c r="CC664" s="249"/>
      <c r="CD664" s="249"/>
      <c r="CE664" s="249"/>
    </row>
    <row r="665" spans="1:83" s="84" customFormat="1" ht="12.95" customHeight="1">
      <c r="A665" s="1"/>
      <c r="B665" s="1"/>
      <c r="C665" s="21" t="s">
        <v>910</v>
      </c>
      <c r="D665" s="52" t="s">
        <v>3298</v>
      </c>
      <c r="E665" s="52" t="s">
        <v>3299</v>
      </c>
      <c r="F665" s="53" t="s">
        <v>1204</v>
      </c>
      <c r="G665" s="179" t="s">
        <v>1429</v>
      </c>
      <c r="H665" s="180"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29" t="s">
        <v>910</v>
      </c>
      <c r="AR665" s="5"/>
      <c r="AS665" s="5"/>
      <c r="AT665" s="5"/>
      <c r="AU665" s="5"/>
      <c r="AV665" s="5"/>
      <c r="AW665" s="5"/>
      <c r="AX665" s="284"/>
      <c r="AY665" s="5"/>
      <c r="AZ665" s="5"/>
      <c r="BA665" s="230"/>
      <c r="BB665" s="5"/>
      <c r="BC665" s="232" t="s">
        <v>3536</v>
      </c>
      <c r="BD665" s="257"/>
      <c r="BE665" s="249"/>
      <c r="BF665" s="249"/>
      <c r="BG665" s="249"/>
      <c r="BH665" s="249"/>
      <c r="BI665" s="249"/>
      <c r="BJ665" s="249"/>
      <c r="BK665" s="249"/>
      <c r="BL665" s="249"/>
      <c r="BM665" s="249"/>
      <c r="BN665" s="249"/>
      <c r="BO665" s="249"/>
      <c r="BP665" s="249"/>
      <c r="BQ665" s="249"/>
      <c r="BR665" s="249"/>
      <c r="BS665" s="249"/>
      <c r="BT665" s="249"/>
      <c r="BU665" s="249"/>
      <c r="BV665" s="249"/>
      <c r="BW665" s="249"/>
      <c r="BX665" s="249"/>
      <c r="BY665" s="249"/>
      <c r="BZ665" s="249"/>
      <c r="CA665" s="249"/>
      <c r="CB665" s="249"/>
      <c r="CC665" s="249"/>
      <c r="CD665" s="249"/>
      <c r="CE665" s="249"/>
    </row>
    <row r="666" spans="1:83" s="84" customFormat="1" ht="12.95" customHeight="1">
      <c r="A666" s="1"/>
      <c r="B666" s="1"/>
      <c r="C666" s="195" t="s">
        <v>1437</v>
      </c>
      <c r="D666" s="52" t="s">
        <v>3301</v>
      </c>
      <c r="E666" s="52" t="s">
        <v>3302</v>
      </c>
      <c r="F666" s="53" t="s">
        <v>3303</v>
      </c>
      <c r="G666" s="179" t="s">
        <v>1429</v>
      </c>
      <c r="H666" s="180"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29" t="s">
        <v>1437</v>
      </c>
      <c r="AR666" s="5"/>
      <c r="AS666" s="5"/>
      <c r="AT666" s="5"/>
      <c r="AU666" s="5"/>
      <c r="AV666" s="5"/>
      <c r="AW666" s="5"/>
      <c r="AX666" s="284"/>
      <c r="AY666" s="5"/>
      <c r="AZ666" s="5"/>
      <c r="BA666" s="230"/>
      <c r="BB666" s="5"/>
      <c r="BC666" s="232" t="s">
        <v>3536</v>
      </c>
      <c r="BD666" s="257"/>
      <c r="BE666" s="249"/>
      <c r="BF666" s="249"/>
      <c r="BG666" s="249"/>
      <c r="BH666" s="249"/>
      <c r="BI666" s="249"/>
      <c r="BJ666" s="249"/>
      <c r="BK666" s="249"/>
      <c r="BL666" s="249"/>
      <c r="BM666" s="249"/>
      <c r="BN666" s="249"/>
      <c r="BO666" s="249"/>
      <c r="BP666" s="249"/>
      <c r="BQ666" s="249"/>
      <c r="BR666" s="249"/>
      <c r="BS666" s="249"/>
      <c r="BT666" s="249"/>
      <c r="BU666" s="249"/>
      <c r="BV666" s="249"/>
      <c r="BW666" s="249"/>
      <c r="BX666" s="249"/>
      <c r="BY666" s="249"/>
      <c r="BZ666" s="249"/>
      <c r="CA666" s="249"/>
      <c r="CB666" s="249"/>
      <c r="CC666" s="249"/>
      <c r="CD666" s="249"/>
      <c r="CE666" s="249"/>
    </row>
    <row r="667" spans="1:83" s="94" customFormat="1" ht="18" customHeight="1">
      <c r="A667" s="88" t="s">
        <v>235</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1"/>
      <c r="AR667" s="251"/>
      <c r="AS667" s="252"/>
      <c r="AT667" s="252"/>
      <c r="AU667" s="252"/>
      <c r="AV667" s="252"/>
      <c r="AW667" s="252"/>
      <c r="AX667" s="291"/>
      <c r="AY667" s="252"/>
      <c r="AZ667" s="252"/>
      <c r="BA667" s="252"/>
      <c r="BB667" s="252"/>
      <c r="BC667" s="252"/>
      <c r="BD667" s="253"/>
      <c r="BE667" s="309"/>
      <c r="BF667" s="254"/>
      <c r="BG667" s="254"/>
      <c r="BH667" s="254"/>
      <c r="BI667" s="254"/>
      <c r="BJ667" s="254"/>
      <c r="BK667" s="254"/>
      <c r="BL667" s="254"/>
      <c r="BM667" s="254"/>
      <c r="BN667" s="254"/>
      <c r="BO667" s="254"/>
      <c r="BP667" s="254"/>
      <c r="BQ667" s="254"/>
      <c r="BR667" s="254"/>
      <c r="BS667" s="254"/>
      <c r="BT667" s="254"/>
      <c r="BU667" s="254"/>
      <c r="BV667" s="254"/>
      <c r="BW667" s="254"/>
      <c r="BX667" s="254"/>
      <c r="BY667" s="254"/>
      <c r="BZ667" s="254"/>
      <c r="CA667" s="254"/>
      <c r="CB667" s="254"/>
      <c r="CC667" s="254"/>
      <c r="CD667" s="254"/>
      <c r="CE667" s="254"/>
    </row>
    <row r="668" spans="1:83" s="84" customFormat="1" ht="12.95" customHeight="1">
      <c r="A668" s="1"/>
      <c r="B668" s="1"/>
      <c r="C668" s="104" t="s">
        <v>236</v>
      </c>
      <c r="D668" s="105" t="s">
        <v>2197</v>
      </c>
      <c r="E668" s="105" t="s">
        <v>3305</v>
      </c>
      <c r="F668" s="106" t="s">
        <v>3306</v>
      </c>
      <c r="G668" s="187"/>
      <c r="H668" s="107" t="s">
        <v>236</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0" t="s">
        <v>236</v>
      </c>
      <c r="AR668" s="214"/>
      <c r="AS668" s="214"/>
      <c r="AT668" s="214"/>
      <c r="AU668" s="214"/>
      <c r="AV668" s="214"/>
      <c r="AW668" s="214"/>
      <c r="AX668" s="292"/>
      <c r="AY668" s="214"/>
      <c r="AZ668" s="214"/>
      <c r="BA668" s="271"/>
      <c r="BB668" s="214"/>
      <c r="BC668" s="231" t="s">
        <v>3779</v>
      </c>
      <c r="BD668" s="261" t="s">
        <v>235</v>
      </c>
      <c r="BE668" s="249"/>
      <c r="BF668" s="249"/>
      <c r="BG668" s="249"/>
      <c r="BH668" s="249"/>
      <c r="BI668" s="249"/>
      <c r="BJ668" s="249"/>
      <c r="BK668" s="249"/>
      <c r="BL668" s="249"/>
      <c r="BM668" s="249"/>
      <c r="BN668" s="249"/>
      <c r="BO668" s="249"/>
      <c r="BP668" s="249"/>
      <c r="BQ668" s="249"/>
      <c r="BR668" s="249"/>
      <c r="BS668" s="249"/>
      <c r="BT668" s="249"/>
      <c r="BU668" s="249"/>
      <c r="BV668" s="249"/>
      <c r="BW668" s="249"/>
      <c r="BX668" s="249"/>
      <c r="BY668" s="249"/>
      <c r="BZ668" s="249"/>
      <c r="CA668" s="249"/>
      <c r="CB668" s="249"/>
      <c r="CC668" s="249"/>
      <c r="CD668" s="249"/>
      <c r="CE668" s="249"/>
    </row>
    <row r="669" spans="1:83" s="84" customFormat="1" ht="12.95" customHeight="1">
      <c r="A669" s="1"/>
      <c r="B669" s="1"/>
      <c r="C669" s="112" t="s">
        <v>237</v>
      </c>
      <c r="D669" s="113" t="s">
        <v>2190</v>
      </c>
      <c r="E669" s="113" t="s">
        <v>2157</v>
      </c>
      <c r="F669" s="114" t="s">
        <v>3308</v>
      </c>
      <c r="G669" s="188"/>
      <c r="H669" s="115" t="s">
        <v>237</v>
      </c>
      <c r="I669" s="115"/>
      <c r="J669" s="115"/>
      <c r="K669" s="116"/>
      <c r="L669" s="114"/>
      <c r="M669" s="114"/>
      <c r="N669" s="114"/>
      <c r="O669" s="114"/>
      <c r="P669" s="117"/>
      <c r="Q669" s="118"/>
      <c r="R669" s="118"/>
      <c r="S669" s="118"/>
      <c r="T669" s="118"/>
      <c r="U669" s="118"/>
      <c r="V669" s="189"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2" t="s">
        <v>237</v>
      </c>
      <c r="AR669" s="273"/>
      <c r="AS669" s="273"/>
      <c r="AT669" s="273"/>
      <c r="AU669" s="273"/>
      <c r="AV669" s="273"/>
      <c r="AW669" s="273"/>
      <c r="AX669" s="293"/>
      <c r="AY669" s="273"/>
      <c r="AZ669" s="273"/>
      <c r="BA669" s="274"/>
      <c r="BB669" s="273"/>
      <c r="BC669" s="231" t="s">
        <v>3779</v>
      </c>
      <c r="BD669" s="264"/>
      <c r="BE669" s="249"/>
      <c r="BF669" s="249"/>
      <c r="BG669" s="249"/>
      <c r="BH669" s="249"/>
      <c r="BI669" s="249"/>
      <c r="BJ669" s="249"/>
      <c r="BK669" s="249"/>
      <c r="BL669" s="249"/>
      <c r="BM669" s="249"/>
      <c r="BN669" s="249"/>
      <c r="BO669" s="249"/>
      <c r="BP669" s="249"/>
      <c r="BQ669" s="249"/>
      <c r="BR669" s="249"/>
      <c r="BS669" s="249"/>
      <c r="BT669" s="249"/>
      <c r="BU669" s="249"/>
      <c r="BV669" s="249"/>
      <c r="BW669" s="249"/>
      <c r="BX669" s="249"/>
      <c r="BY669" s="249"/>
      <c r="BZ669" s="249"/>
      <c r="CA669" s="249"/>
      <c r="CB669" s="249"/>
      <c r="CC669" s="249"/>
      <c r="CD669" s="249"/>
      <c r="CE669" s="249"/>
    </row>
    <row r="670" spans="1:83" s="20" customFormat="1" ht="15">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5"/>
      <c r="AR670" s="275"/>
      <c r="AS670" s="276"/>
      <c r="AT670" s="276"/>
      <c r="AU670" s="276"/>
      <c r="AV670" s="276"/>
      <c r="AW670" s="276"/>
      <c r="AX670" s="294"/>
      <c r="AY670" s="276"/>
      <c r="AZ670" s="276"/>
      <c r="BA670" s="276"/>
      <c r="BB670" s="276"/>
      <c r="BC670" s="276"/>
      <c r="BD670" s="152"/>
      <c r="BE670" s="277"/>
      <c r="BF670" s="277"/>
      <c r="BG670" s="277"/>
      <c r="BH670" s="277"/>
      <c r="BI670" s="277"/>
      <c r="BJ670" s="277"/>
      <c r="BK670" s="277"/>
      <c r="BL670" s="277"/>
      <c r="BM670" s="277"/>
      <c r="BN670" s="277"/>
      <c r="BO670" s="277"/>
      <c r="BP670" s="277"/>
      <c r="BQ670" s="277"/>
      <c r="BR670" s="277"/>
      <c r="BS670" s="277"/>
      <c r="BT670" s="277"/>
      <c r="BU670" s="277"/>
      <c r="BV670" s="277"/>
      <c r="BW670" s="277"/>
      <c r="BX670" s="277"/>
      <c r="BY670" s="277"/>
      <c r="BZ670" s="277"/>
      <c r="CA670" s="277"/>
      <c r="CB670" s="277"/>
      <c r="CC670" s="277"/>
      <c r="CD670" s="277"/>
      <c r="CE670" s="277"/>
    </row>
    <row r="671" spans="1:83" s="20" customFormat="1" ht="15">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90" t="s">
        <v>1430</v>
      </c>
      <c r="AE671" s="190"/>
      <c r="AF671" s="120"/>
      <c r="AG671" s="120"/>
      <c r="AH671" s="120"/>
      <c r="AI671" s="120"/>
      <c r="AJ671" s="120"/>
      <c r="AK671" s="120"/>
      <c r="AL671" s="120"/>
      <c r="AM671" s="120"/>
      <c r="AN671" s="120"/>
      <c r="AO671" s="120"/>
      <c r="AP671" s="120"/>
      <c r="AQ671" s="275"/>
      <c r="AR671" s="275"/>
      <c r="AS671" s="276"/>
      <c r="AT671" s="276"/>
      <c r="AU671" s="276"/>
      <c r="AV671" s="276"/>
      <c r="AW671" s="276"/>
      <c r="AX671" s="294"/>
      <c r="AY671" s="276"/>
      <c r="AZ671" s="276"/>
      <c r="BA671" s="276"/>
      <c r="BB671" s="276"/>
      <c r="BC671" s="276"/>
      <c r="BD671" s="152"/>
      <c r="BE671" s="277"/>
      <c r="BF671" s="277"/>
      <c r="BG671" s="277"/>
      <c r="BH671" s="277"/>
      <c r="BI671" s="277"/>
      <c r="BJ671" s="277"/>
      <c r="BK671" s="277"/>
      <c r="BL671" s="277"/>
      <c r="BM671" s="277"/>
      <c r="BN671" s="277"/>
      <c r="BO671" s="277"/>
      <c r="BP671" s="277"/>
      <c r="BQ671" s="277"/>
      <c r="BR671" s="277"/>
      <c r="BS671" s="277"/>
      <c r="BT671" s="277"/>
      <c r="BU671" s="277"/>
      <c r="BV671" s="277"/>
      <c r="BW671" s="277"/>
      <c r="BX671" s="277"/>
      <c r="BY671" s="277"/>
      <c r="BZ671" s="277"/>
      <c r="CA671" s="277"/>
      <c r="CB671" s="277"/>
      <c r="CC671" s="277"/>
      <c r="CD671" s="277"/>
      <c r="CE671" s="277"/>
    </row>
    <row r="672" spans="1:83" s="122" customFormat="1" ht="15">
      <c r="C672" s="201"/>
      <c r="D672" s="201"/>
      <c r="E672" s="201"/>
      <c r="F672" s="201"/>
      <c r="G672" s="204"/>
      <c r="H672" s="204"/>
      <c r="I672" s="204"/>
      <c r="J672" s="204"/>
      <c r="K672" s="204"/>
      <c r="L672" s="201"/>
      <c r="M672" s="201"/>
      <c r="N672" s="201"/>
      <c r="O672" s="201"/>
      <c r="P672" s="201"/>
      <c r="Q672" s="201"/>
      <c r="R672" s="201"/>
      <c r="S672" s="201"/>
      <c r="T672" s="201"/>
      <c r="U672" s="201"/>
      <c r="V672" s="201"/>
      <c r="W672" s="201"/>
      <c r="X672" s="138"/>
      <c r="Y672" s="138"/>
      <c r="Z672" s="121"/>
      <c r="AA672" s="121"/>
      <c r="AB672" s="121"/>
      <c r="AC672" s="121"/>
      <c r="AD672" s="191" t="s">
        <v>1431</v>
      </c>
      <c r="AE672" s="191" t="s">
        <v>1432</v>
      </c>
      <c r="AF672" s="121"/>
      <c r="AG672" s="121"/>
      <c r="AH672" s="121"/>
      <c r="AI672" s="121"/>
      <c r="AJ672" s="121"/>
      <c r="AK672" s="121"/>
      <c r="AL672" s="121"/>
      <c r="AM672" s="121"/>
      <c r="AN672" s="121"/>
      <c r="AO672" s="121"/>
      <c r="AP672" s="121"/>
      <c r="AQ672" s="275"/>
      <c r="AR672" s="275"/>
      <c r="AS672" s="276"/>
      <c r="AT672" s="276"/>
      <c r="AU672" s="276"/>
      <c r="AV672" s="276"/>
      <c r="AW672" s="276"/>
      <c r="AX672" s="294"/>
      <c r="AY672" s="276"/>
      <c r="AZ672" s="276"/>
      <c r="BA672" s="276"/>
      <c r="BB672" s="276"/>
      <c r="BC672" s="276"/>
      <c r="BD672" s="152"/>
      <c r="BE672" s="277"/>
      <c r="BF672" s="277"/>
      <c r="BG672" s="277"/>
      <c r="BH672" s="277"/>
      <c r="BI672" s="277"/>
      <c r="BJ672" s="277"/>
      <c r="BK672" s="277"/>
      <c r="BL672" s="277"/>
      <c r="BM672" s="277"/>
      <c r="BN672" s="277"/>
      <c r="BO672" s="277"/>
      <c r="BP672" s="277"/>
      <c r="BQ672" s="277"/>
      <c r="BR672" s="277"/>
      <c r="BS672" s="277"/>
      <c r="BT672" s="277"/>
      <c r="BU672" s="277"/>
      <c r="BV672" s="277"/>
      <c r="BW672" s="277"/>
      <c r="BX672" s="277"/>
      <c r="BY672" s="277"/>
      <c r="BZ672" s="277"/>
      <c r="CA672" s="277"/>
      <c r="CB672" s="277"/>
      <c r="CC672" s="277"/>
      <c r="CD672" s="277"/>
      <c r="CE672" s="277"/>
    </row>
    <row r="673" spans="3:83" s="122" customFormat="1" ht="15">
      <c r="C673" s="201"/>
      <c r="D673" s="201"/>
      <c r="E673" s="201"/>
      <c r="F673" s="201"/>
      <c r="G673" s="204"/>
      <c r="H673" s="204"/>
      <c r="I673" s="204"/>
      <c r="J673" s="204"/>
      <c r="K673" s="204"/>
      <c r="L673" s="201"/>
      <c r="M673" s="201"/>
      <c r="N673" s="201"/>
      <c r="O673" s="201"/>
      <c r="P673" s="201"/>
      <c r="Q673" s="201"/>
      <c r="R673" s="201"/>
      <c r="S673" s="201"/>
      <c r="T673" s="201"/>
      <c r="U673" s="201"/>
      <c r="V673" s="201"/>
      <c r="W673" s="201"/>
      <c r="X673" s="138"/>
      <c r="Y673" s="138"/>
      <c r="Z673" s="121"/>
      <c r="AA673" s="121"/>
      <c r="AB673" s="121"/>
      <c r="AC673" s="121"/>
      <c r="AD673" s="192" t="s">
        <v>318</v>
      </c>
      <c r="AE673" s="192" t="str">
        <f>$BB$34</f>
        <v>1.8V</v>
      </c>
      <c r="AF673" s="121"/>
      <c r="AG673" s="121"/>
      <c r="AH673" s="121"/>
      <c r="AI673" s="121"/>
      <c r="AJ673" s="121"/>
      <c r="AK673" s="121"/>
      <c r="AL673" s="121"/>
      <c r="AM673" s="121"/>
      <c r="AN673" s="121"/>
      <c r="AO673" s="121"/>
      <c r="AP673" s="121"/>
      <c r="AQ673" s="275"/>
      <c r="AR673" s="275"/>
      <c r="AS673" s="276"/>
      <c r="AT673" s="276"/>
      <c r="AU673" s="276"/>
      <c r="AV673" s="276"/>
      <c r="AW673" s="276"/>
      <c r="AX673" s="294"/>
      <c r="AY673" s="276"/>
      <c r="AZ673" s="276"/>
      <c r="BA673" s="276"/>
      <c r="BB673" s="276"/>
      <c r="BC673" s="276"/>
      <c r="BD673" s="152"/>
      <c r="BE673" s="277"/>
      <c r="BF673" s="277"/>
      <c r="BG673" s="277"/>
      <c r="BH673" s="277"/>
      <c r="BI673" s="277"/>
      <c r="BJ673" s="277"/>
      <c r="BK673" s="277"/>
      <c r="BL673" s="277"/>
      <c r="BM673" s="277"/>
      <c r="BN673" s="277"/>
      <c r="BO673" s="277"/>
      <c r="BP673" s="277"/>
      <c r="BQ673" s="277"/>
      <c r="BR673" s="277"/>
      <c r="BS673" s="277"/>
      <c r="BT673" s="277"/>
      <c r="BU673" s="277"/>
      <c r="BV673" s="277"/>
      <c r="BW673" s="277"/>
      <c r="BX673" s="277"/>
      <c r="BY673" s="277"/>
      <c r="BZ673" s="277"/>
      <c r="CA673" s="277"/>
      <c r="CB673" s="277"/>
      <c r="CC673" s="277"/>
      <c r="CD673" s="277"/>
      <c r="CE673" s="277"/>
    </row>
    <row r="674" spans="3:83" s="122" customFormat="1" ht="15">
      <c r="C674" s="201"/>
      <c r="D674" s="201"/>
      <c r="E674" s="201"/>
      <c r="F674" s="201"/>
      <c r="G674" s="204"/>
      <c r="H674" s="204"/>
      <c r="I674" s="204"/>
      <c r="J674" s="204"/>
      <c r="K674" s="204"/>
      <c r="L674" s="201"/>
      <c r="M674" s="201"/>
      <c r="N674" s="201"/>
      <c r="O674" s="201"/>
      <c r="P674" s="201"/>
      <c r="Q674" s="201"/>
      <c r="R674" s="201"/>
      <c r="S674" s="201"/>
      <c r="T674" s="201"/>
      <c r="U674" s="201"/>
      <c r="V674" s="201"/>
      <c r="W674" s="201"/>
      <c r="X674" s="138"/>
      <c r="Y674" s="138"/>
      <c r="Z674" s="121"/>
      <c r="AA674" s="121"/>
      <c r="AB674" s="121"/>
      <c r="AC674" s="121"/>
      <c r="AD674" s="192" t="s">
        <v>922</v>
      </c>
      <c r="AE674" s="192" t="str">
        <f>$BB$45</f>
        <v>1.8V</v>
      </c>
      <c r="AF674" s="121"/>
      <c r="AG674" s="121"/>
      <c r="AH674" s="121"/>
      <c r="AI674" s="121"/>
      <c r="AJ674" s="121"/>
      <c r="AK674" s="121"/>
      <c r="AL674" s="121"/>
      <c r="AM674" s="121"/>
      <c r="AN674" s="121"/>
      <c r="AO674" s="121"/>
      <c r="AP674" s="121"/>
      <c r="AQ674" s="275"/>
      <c r="AR674" s="275"/>
      <c r="AS674" s="276"/>
      <c r="AT674" s="276"/>
      <c r="AU674" s="276"/>
      <c r="AV674" s="276"/>
      <c r="AW674" s="276"/>
      <c r="AX674" s="294"/>
      <c r="AY674" s="276"/>
      <c r="AZ674" s="276"/>
      <c r="BA674" s="276"/>
      <c r="BB674" s="276"/>
      <c r="BC674" s="276"/>
      <c r="BD674" s="152"/>
      <c r="BE674" s="277"/>
      <c r="BF674" s="277"/>
      <c r="BG674" s="277"/>
      <c r="BH674" s="277"/>
      <c r="BI674" s="277"/>
      <c r="BJ674" s="277"/>
      <c r="BK674" s="277"/>
      <c r="BL674" s="277"/>
      <c r="BM674" s="277"/>
      <c r="BN674" s="277"/>
      <c r="BO674" s="277"/>
      <c r="BP674" s="277"/>
      <c r="BQ674" s="277"/>
      <c r="BR674" s="277"/>
      <c r="BS674" s="277"/>
      <c r="BT674" s="277"/>
      <c r="BU674" s="277"/>
      <c r="BV674" s="277"/>
      <c r="BW674" s="277"/>
      <c r="BX674" s="277"/>
      <c r="BY674" s="277"/>
      <c r="BZ674" s="277"/>
      <c r="CA674" s="277"/>
      <c r="CB674" s="277"/>
      <c r="CC674" s="277"/>
      <c r="CD674" s="277"/>
      <c r="CE674" s="277"/>
    </row>
    <row r="675" spans="3:83" s="20" customFormat="1" ht="15">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3" t="s">
        <v>1433</v>
      </c>
      <c r="AE675" s="193" t="str">
        <f>$BB$81</f>
        <v>1.8V/3.3V</v>
      </c>
      <c r="AF675" s="120"/>
      <c r="AG675" s="120"/>
      <c r="AH675" s="120"/>
      <c r="AI675" s="120"/>
      <c r="AJ675" s="120"/>
      <c r="AK675" s="120"/>
      <c r="AL675" s="120"/>
      <c r="AM675" s="120"/>
      <c r="AN675" s="120"/>
      <c r="AO675" s="120"/>
      <c r="AP675" s="120"/>
      <c r="AQ675" s="275"/>
      <c r="AR675" s="275"/>
      <c r="AS675" s="276"/>
      <c r="AT675" s="276"/>
      <c r="AU675" s="276"/>
      <c r="AV675" s="276"/>
      <c r="AW675" s="276"/>
      <c r="AX675" s="294"/>
      <c r="AY675" s="276"/>
      <c r="AZ675" s="276"/>
      <c r="BA675" s="276"/>
      <c r="BB675" s="276"/>
      <c r="BC675" s="276"/>
      <c r="BD675" s="152"/>
      <c r="BE675" s="277"/>
      <c r="BF675" s="277"/>
      <c r="BG675" s="277"/>
      <c r="BH675" s="277"/>
      <c r="BI675" s="277"/>
      <c r="BJ675" s="277"/>
      <c r="BK675" s="277"/>
      <c r="BL675" s="277"/>
      <c r="BM675" s="277"/>
      <c r="BN675" s="277"/>
      <c r="BO675" s="277"/>
      <c r="BP675" s="277"/>
      <c r="BQ675" s="277"/>
      <c r="BR675" s="277"/>
      <c r="BS675" s="277"/>
      <c r="BT675" s="277"/>
      <c r="BU675" s="277"/>
      <c r="BV675" s="277"/>
      <c r="BW675" s="277"/>
      <c r="BX675" s="277"/>
      <c r="BY675" s="277"/>
      <c r="BZ675" s="277"/>
      <c r="CA675" s="277"/>
      <c r="CB675" s="277"/>
      <c r="CC675" s="277"/>
      <c r="CD675" s="277"/>
      <c r="CE675" s="277"/>
    </row>
    <row r="676" spans="3:83" s="20" customFormat="1">
      <c r="G676" s="123"/>
      <c r="H676" s="123"/>
      <c r="I676" s="123"/>
      <c r="J676" s="123"/>
      <c r="K676" s="123"/>
      <c r="X676" s="137"/>
      <c r="Y676" s="137"/>
      <c r="Z676" s="124"/>
      <c r="AA676" s="124"/>
      <c r="AB676" s="124"/>
      <c r="AC676" s="124"/>
      <c r="AD676" s="194" t="s">
        <v>1434</v>
      </c>
      <c r="AE676" s="194" t="str">
        <f>$BB$105</f>
        <v>1.8V/3.3V</v>
      </c>
      <c r="AF676" s="124"/>
      <c r="AG676" s="124"/>
      <c r="AH676" s="124"/>
      <c r="AI676" s="124"/>
      <c r="AJ676" s="124"/>
      <c r="AK676" s="124"/>
      <c r="AL676" s="124"/>
      <c r="AM676" s="124"/>
      <c r="AN676" s="124"/>
      <c r="AO676" s="124"/>
      <c r="AP676" s="124"/>
      <c r="AQ676" s="277"/>
      <c r="AR676" s="277"/>
      <c r="AS676" s="278"/>
      <c r="AT676" s="278"/>
      <c r="AU676" s="278"/>
      <c r="AV676" s="278"/>
      <c r="AW676" s="278"/>
      <c r="AX676" s="295"/>
      <c r="AY676" s="278"/>
      <c r="AZ676" s="278"/>
      <c r="BA676" s="278"/>
      <c r="BB676" s="278"/>
      <c r="BC676" s="278"/>
      <c r="BD676" s="279"/>
      <c r="BE676" s="277"/>
      <c r="BF676" s="277"/>
      <c r="BG676" s="277"/>
      <c r="BH676" s="277"/>
      <c r="BI676" s="277"/>
      <c r="BJ676" s="277"/>
      <c r="BK676" s="277"/>
      <c r="BL676" s="277"/>
      <c r="BM676" s="277"/>
      <c r="BN676" s="277"/>
      <c r="BO676" s="277"/>
      <c r="BP676" s="277"/>
      <c r="BQ676" s="277"/>
      <c r="BR676" s="277"/>
      <c r="BS676" s="277"/>
      <c r="BT676" s="277"/>
      <c r="BU676" s="277"/>
      <c r="BV676" s="277"/>
      <c r="BW676" s="277"/>
      <c r="BX676" s="277"/>
      <c r="BY676" s="277"/>
      <c r="BZ676" s="277"/>
      <c r="CA676" s="277"/>
      <c r="CB676" s="277"/>
      <c r="CC676" s="277"/>
      <c r="CD676" s="277"/>
      <c r="CE676" s="277"/>
    </row>
    <row r="677" spans="3:83" s="20" customFormat="1">
      <c r="G677" s="123"/>
      <c r="H677" s="123"/>
      <c r="I677" s="123"/>
      <c r="J677" s="123"/>
      <c r="K677" s="123"/>
      <c r="X677" s="137"/>
      <c r="Y677" s="137"/>
      <c r="Z677" s="124"/>
      <c r="AA677" s="124"/>
      <c r="AB677" s="124"/>
      <c r="AC677" s="124"/>
      <c r="AD677" s="194" t="s">
        <v>969</v>
      </c>
      <c r="AE677" s="194" t="str">
        <f>$BB$212</f>
        <v>3.3V</v>
      </c>
      <c r="AF677" s="124"/>
      <c r="AG677" s="124"/>
      <c r="AH677" s="124"/>
      <c r="AI677" s="124"/>
      <c r="AJ677" s="124"/>
      <c r="AK677" s="124"/>
      <c r="AL677" s="124"/>
      <c r="AM677" s="124"/>
      <c r="AN677" s="124"/>
      <c r="AO677" s="124"/>
      <c r="AP677" s="124"/>
      <c r="AQ677" s="277"/>
      <c r="AR677" s="277"/>
      <c r="AS677" s="278"/>
      <c r="AT677" s="278"/>
      <c r="AU677" s="278"/>
      <c r="AV677" s="278"/>
      <c r="AW677" s="278"/>
      <c r="AX677" s="295"/>
      <c r="AY677" s="278"/>
      <c r="AZ677" s="278"/>
      <c r="BA677" s="278"/>
      <c r="BB677" s="278"/>
      <c r="BC677" s="278"/>
      <c r="BD677" s="279"/>
      <c r="BE677" s="277"/>
      <c r="BF677" s="277"/>
      <c r="BG677" s="277"/>
      <c r="BH677" s="277"/>
      <c r="BI677" s="277"/>
      <c r="BJ677" s="277"/>
      <c r="BK677" s="277"/>
      <c r="BL677" s="277"/>
      <c r="BM677" s="277"/>
      <c r="BN677" s="277"/>
      <c r="BO677" s="277"/>
      <c r="BP677" s="277"/>
      <c r="BQ677" s="277"/>
      <c r="BR677" s="277"/>
      <c r="BS677" s="277"/>
      <c r="BT677" s="277"/>
      <c r="BU677" s="277"/>
      <c r="BV677" s="277"/>
      <c r="BW677" s="277"/>
      <c r="BX677" s="277"/>
      <c r="BY677" s="277"/>
      <c r="BZ677" s="277"/>
      <c r="CA677" s="277"/>
      <c r="CB677" s="277"/>
      <c r="CC677" s="277"/>
      <c r="CD677" s="277"/>
      <c r="CE677" s="277"/>
    </row>
    <row r="678" spans="3:83" s="20" customFormat="1">
      <c r="G678" s="123"/>
      <c r="H678" s="123"/>
      <c r="I678" s="123"/>
      <c r="J678" s="123"/>
      <c r="K678" s="123"/>
      <c r="X678" s="137"/>
      <c r="Y678" s="137"/>
      <c r="Z678" s="124"/>
      <c r="AA678" s="124"/>
      <c r="AB678" s="124"/>
      <c r="AC678" s="124"/>
      <c r="AD678" s="194" t="s">
        <v>1050</v>
      </c>
      <c r="AE678" s="194" t="str">
        <f>$BB$245</f>
        <v>1.8V</v>
      </c>
      <c r="AF678" s="124"/>
      <c r="AG678" s="124"/>
      <c r="AH678" s="124"/>
      <c r="AI678" s="124"/>
      <c r="AJ678" s="124"/>
      <c r="AK678" s="124"/>
      <c r="AL678" s="124"/>
      <c r="AM678" s="124"/>
      <c r="AN678" s="124"/>
      <c r="AO678" s="124"/>
      <c r="AP678" s="124"/>
      <c r="AQ678" s="277"/>
      <c r="AR678" s="277"/>
      <c r="AS678" s="278"/>
      <c r="AT678" s="278"/>
      <c r="AU678" s="278"/>
      <c r="AV678" s="278"/>
      <c r="AW678" s="278"/>
      <c r="AX678" s="295"/>
      <c r="AY678" s="278"/>
      <c r="AZ678" s="278"/>
      <c r="BA678" s="278"/>
      <c r="BB678" s="278"/>
      <c r="BC678" s="278"/>
      <c r="BD678" s="279"/>
      <c r="BE678" s="277"/>
      <c r="BF678" s="277"/>
      <c r="BG678" s="277"/>
      <c r="BH678" s="277"/>
      <c r="BI678" s="277"/>
      <c r="BJ678" s="277"/>
      <c r="BK678" s="277"/>
      <c r="BL678" s="277"/>
      <c r="BM678" s="277"/>
      <c r="BN678" s="277"/>
      <c r="BO678" s="277"/>
      <c r="BP678" s="277"/>
      <c r="BQ678" s="277"/>
      <c r="BR678" s="277"/>
      <c r="BS678" s="277"/>
      <c r="BT678" s="277"/>
      <c r="BU678" s="277"/>
      <c r="BV678" s="277"/>
      <c r="BW678" s="277"/>
      <c r="BX678" s="277"/>
      <c r="BY678" s="277"/>
      <c r="BZ678" s="277"/>
      <c r="CA678" s="277"/>
      <c r="CB678" s="277"/>
      <c r="CC678" s="277"/>
      <c r="CD678" s="277"/>
      <c r="CE678" s="277"/>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7"/>
      <c r="AR679" s="277"/>
      <c r="AS679" s="278"/>
      <c r="AT679" s="278"/>
      <c r="AU679" s="278"/>
      <c r="AV679" s="278"/>
      <c r="AW679" s="278"/>
      <c r="AX679" s="295"/>
      <c r="AY679" s="278"/>
      <c r="AZ679" s="278"/>
      <c r="BA679" s="278"/>
      <c r="BB679" s="278"/>
      <c r="BC679" s="278"/>
      <c r="BD679" s="279"/>
      <c r="BE679" s="277"/>
      <c r="BF679" s="277"/>
      <c r="BG679" s="277"/>
      <c r="BH679" s="277"/>
      <c r="BI679" s="277"/>
      <c r="BJ679" s="277"/>
      <c r="BK679" s="277"/>
      <c r="BL679" s="277"/>
      <c r="BM679" s="277"/>
      <c r="BN679" s="277"/>
      <c r="BO679" s="277"/>
      <c r="BP679" s="277"/>
      <c r="BQ679" s="277"/>
      <c r="BR679" s="277"/>
      <c r="BS679" s="277"/>
      <c r="BT679" s="277"/>
      <c r="BU679" s="277"/>
      <c r="BV679" s="277"/>
      <c r="BW679" s="277"/>
      <c r="BX679" s="277"/>
      <c r="BY679" s="277"/>
      <c r="BZ679" s="277"/>
      <c r="CA679" s="277"/>
      <c r="CB679" s="277"/>
      <c r="CC679" s="277"/>
      <c r="CD679" s="277"/>
      <c r="CE679" s="277"/>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7"/>
      <c r="AR680" s="277"/>
      <c r="AS680" s="278"/>
      <c r="AT680" s="278"/>
      <c r="AU680" s="278"/>
      <c r="AV680" s="278"/>
      <c r="AW680" s="278"/>
      <c r="AX680" s="295"/>
      <c r="AY680" s="278"/>
      <c r="AZ680" s="278"/>
      <c r="BA680" s="278"/>
      <c r="BB680" s="278"/>
      <c r="BC680" s="278"/>
      <c r="BD680" s="279"/>
      <c r="BE680" s="277"/>
      <c r="BF680" s="277"/>
      <c r="BG680" s="277"/>
      <c r="BH680" s="277"/>
      <c r="BI680" s="277"/>
      <c r="BJ680" s="277"/>
      <c r="BK680" s="277"/>
      <c r="BL680" s="277"/>
      <c r="BM680" s="277"/>
      <c r="BN680" s="277"/>
      <c r="BO680" s="277"/>
      <c r="BP680" s="277"/>
      <c r="BQ680" s="277"/>
      <c r="BR680" s="277"/>
      <c r="BS680" s="277"/>
      <c r="BT680" s="277"/>
      <c r="BU680" s="277"/>
      <c r="BV680" s="277"/>
      <c r="BW680" s="277"/>
      <c r="BX680" s="277"/>
      <c r="BY680" s="277"/>
      <c r="BZ680" s="277"/>
      <c r="CA680" s="277"/>
      <c r="CB680" s="277"/>
      <c r="CC680" s="277"/>
      <c r="CD680" s="277"/>
      <c r="CE680" s="277"/>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7"/>
      <c r="AR681" s="277"/>
      <c r="AS681" s="278"/>
      <c r="AT681" s="278"/>
      <c r="AU681" s="278"/>
      <c r="AV681" s="278"/>
      <c r="AW681" s="278"/>
      <c r="AX681" s="295"/>
      <c r="AY681" s="278"/>
      <c r="AZ681" s="278"/>
      <c r="BA681" s="278"/>
      <c r="BB681" s="278"/>
      <c r="BC681" s="278"/>
      <c r="BD681" s="279"/>
      <c r="BE681" s="277"/>
      <c r="BF681" s="277"/>
      <c r="BG681" s="277"/>
      <c r="BH681" s="277"/>
      <c r="BI681" s="277"/>
      <c r="BJ681" s="277"/>
      <c r="BK681" s="277"/>
      <c r="BL681" s="277"/>
      <c r="BM681" s="277"/>
      <c r="BN681" s="277"/>
      <c r="BO681" s="277"/>
      <c r="BP681" s="277"/>
      <c r="BQ681" s="277"/>
      <c r="BR681" s="277"/>
      <c r="BS681" s="277"/>
      <c r="BT681" s="277"/>
      <c r="BU681" s="277"/>
      <c r="BV681" s="277"/>
      <c r="BW681" s="277"/>
      <c r="BX681" s="277"/>
      <c r="BY681" s="277"/>
      <c r="BZ681" s="277"/>
      <c r="CA681" s="277"/>
      <c r="CB681" s="277"/>
      <c r="CC681" s="277"/>
      <c r="CD681" s="277"/>
      <c r="CE681" s="277"/>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7"/>
      <c r="AR682" s="277"/>
      <c r="AS682" s="278"/>
      <c r="AT682" s="278"/>
      <c r="AU682" s="278"/>
      <c r="AV682" s="278"/>
      <c r="AW682" s="278"/>
      <c r="AX682" s="295"/>
      <c r="AY682" s="278"/>
      <c r="AZ682" s="278"/>
      <c r="BA682" s="278"/>
      <c r="BB682" s="278"/>
      <c r="BC682" s="278"/>
      <c r="BD682" s="279"/>
      <c r="BE682" s="277"/>
      <c r="BF682" s="277"/>
      <c r="BG682" s="277"/>
      <c r="BH682" s="277"/>
      <c r="BI682" s="277"/>
      <c r="BJ682" s="277"/>
      <c r="BK682" s="277"/>
      <c r="BL682" s="277"/>
      <c r="BM682" s="277"/>
      <c r="BN682" s="277"/>
      <c r="BO682" s="277"/>
      <c r="BP682" s="277"/>
      <c r="BQ682" s="277"/>
      <c r="BR682" s="277"/>
      <c r="BS682" s="277"/>
      <c r="BT682" s="277"/>
      <c r="BU682" s="277"/>
      <c r="BV682" s="277"/>
      <c r="BW682" s="277"/>
      <c r="BX682" s="277"/>
      <c r="BY682" s="277"/>
      <c r="BZ682" s="277"/>
      <c r="CA682" s="277"/>
      <c r="CB682" s="277"/>
      <c r="CC682" s="277"/>
      <c r="CD682" s="277"/>
      <c r="CE682" s="277"/>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7"/>
      <c r="AR683" s="277"/>
      <c r="AS683" s="278"/>
      <c r="AT683" s="278"/>
      <c r="AU683" s="278"/>
      <c r="AV683" s="278"/>
      <c r="AW683" s="278"/>
      <c r="AX683" s="295"/>
      <c r="AY683" s="278"/>
      <c r="AZ683" s="278"/>
      <c r="BA683" s="278"/>
      <c r="BB683" s="278"/>
      <c r="BC683" s="278"/>
      <c r="BD683" s="279"/>
      <c r="BE683" s="277"/>
      <c r="BF683" s="277"/>
      <c r="BG683" s="277"/>
      <c r="BH683" s="277"/>
      <c r="BI683" s="277"/>
      <c r="BJ683" s="277"/>
      <c r="BK683" s="277"/>
      <c r="BL683" s="277"/>
      <c r="BM683" s="277"/>
      <c r="BN683" s="277"/>
      <c r="BO683" s="277"/>
      <c r="BP683" s="277"/>
      <c r="BQ683" s="277"/>
      <c r="BR683" s="277"/>
      <c r="BS683" s="277"/>
      <c r="BT683" s="277"/>
      <c r="BU683" s="277"/>
      <c r="BV683" s="277"/>
      <c r="BW683" s="277"/>
      <c r="BX683" s="277"/>
      <c r="BY683" s="277"/>
      <c r="BZ683" s="277"/>
      <c r="CA683" s="277"/>
      <c r="CB683" s="277"/>
      <c r="CC683" s="277"/>
      <c r="CD683" s="277"/>
      <c r="CE683" s="277"/>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7"/>
      <c r="AR684" s="277"/>
      <c r="AS684" s="278"/>
      <c r="AT684" s="278"/>
      <c r="AU684" s="278"/>
      <c r="AV684" s="278"/>
      <c r="AW684" s="278"/>
      <c r="AX684" s="295"/>
      <c r="AY684" s="278"/>
      <c r="AZ684" s="278"/>
      <c r="BA684" s="278"/>
      <c r="BB684" s="278"/>
      <c r="BC684" s="278"/>
      <c r="BD684" s="279"/>
      <c r="BE684" s="277"/>
      <c r="BF684" s="277"/>
      <c r="BG684" s="277"/>
      <c r="BH684" s="277"/>
      <c r="BI684" s="277"/>
      <c r="BJ684" s="277"/>
      <c r="BK684" s="277"/>
      <c r="BL684" s="277"/>
      <c r="BM684" s="277"/>
      <c r="BN684" s="277"/>
      <c r="BO684" s="277"/>
      <c r="BP684" s="277"/>
      <c r="BQ684" s="277"/>
      <c r="BR684" s="277"/>
      <c r="BS684" s="277"/>
      <c r="BT684" s="277"/>
      <c r="BU684" s="277"/>
      <c r="BV684" s="277"/>
      <c r="BW684" s="277"/>
      <c r="BX684" s="277"/>
      <c r="BY684" s="277"/>
      <c r="BZ684" s="277"/>
      <c r="CA684" s="277"/>
      <c r="CB684" s="277"/>
      <c r="CC684" s="277"/>
      <c r="CD684" s="277"/>
      <c r="CE684" s="277"/>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7"/>
      <c r="AR685" s="277"/>
      <c r="AS685" s="278"/>
      <c r="AT685" s="278"/>
      <c r="AU685" s="278"/>
      <c r="AV685" s="278"/>
      <c r="AW685" s="278"/>
      <c r="AX685" s="295"/>
      <c r="AY685" s="278"/>
      <c r="AZ685" s="278"/>
      <c r="BA685" s="278"/>
      <c r="BB685" s="278"/>
      <c r="BC685" s="278"/>
      <c r="BD685" s="279"/>
      <c r="BE685" s="277"/>
      <c r="BF685" s="277"/>
      <c r="BG685" s="277"/>
      <c r="BH685" s="277"/>
      <c r="BI685" s="277"/>
      <c r="BJ685" s="277"/>
      <c r="BK685" s="277"/>
      <c r="BL685" s="277"/>
      <c r="BM685" s="277"/>
      <c r="BN685" s="277"/>
      <c r="BO685" s="277"/>
      <c r="BP685" s="277"/>
      <c r="BQ685" s="277"/>
      <c r="BR685" s="277"/>
      <c r="BS685" s="277"/>
      <c r="BT685" s="277"/>
      <c r="BU685" s="277"/>
      <c r="BV685" s="277"/>
      <c r="BW685" s="277"/>
      <c r="BX685" s="277"/>
      <c r="BY685" s="277"/>
      <c r="BZ685" s="277"/>
      <c r="CA685" s="277"/>
      <c r="CB685" s="277"/>
      <c r="CC685" s="277"/>
      <c r="CD685" s="277"/>
      <c r="CE685" s="277"/>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7"/>
      <c r="AR686" s="277"/>
      <c r="AS686" s="278"/>
      <c r="AT686" s="278"/>
      <c r="AU686" s="278"/>
      <c r="AV686" s="278"/>
      <c r="AW686" s="278"/>
      <c r="AX686" s="295"/>
      <c r="AY686" s="278"/>
      <c r="AZ686" s="278"/>
      <c r="BA686" s="278"/>
      <c r="BB686" s="278"/>
      <c r="BC686" s="278"/>
      <c r="BD686" s="279"/>
      <c r="BE686" s="277"/>
      <c r="BF686" s="277"/>
      <c r="BG686" s="277"/>
      <c r="BH686" s="277"/>
      <c r="BI686" s="277"/>
      <c r="BJ686" s="277"/>
      <c r="BK686" s="277"/>
      <c r="BL686" s="277"/>
      <c r="BM686" s="277"/>
      <c r="BN686" s="277"/>
      <c r="BO686" s="277"/>
      <c r="BP686" s="277"/>
      <c r="BQ686" s="277"/>
      <c r="BR686" s="277"/>
      <c r="BS686" s="277"/>
      <c r="BT686" s="277"/>
      <c r="BU686" s="277"/>
      <c r="BV686" s="277"/>
      <c r="BW686" s="277"/>
      <c r="BX686" s="277"/>
      <c r="BY686" s="277"/>
      <c r="BZ686" s="277"/>
      <c r="CA686" s="277"/>
      <c r="CB686" s="277"/>
      <c r="CC686" s="277"/>
      <c r="CD686" s="277"/>
      <c r="CE686" s="277"/>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7"/>
      <c r="AR687" s="277"/>
      <c r="AS687" s="278"/>
      <c r="AT687" s="278"/>
      <c r="AU687" s="278"/>
      <c r="AV687" s="278"/>
      <c r="AW687" s="278"/>
      <c r="AX687" s="295"/>
      <c r="AY687" s="278"/>
      <c r="AZ687" s="278"/>
      <c r="BA687" s="278"/>
      <c r="BB687" s="278"/>
      <c r="BC687" s="278"/>
      <c r="BD687" s="279"/>
      <c r="BE687" s="277"/>
      <c r="BF687" s="277"/>
      <c r="BG687" s="277"/>
      <c r="BH687" s="277"/>
      <c r="BI687" s="277"/>
      <c r="BJ687" s="277"/>
      <c r="BK687" s="277"/>
      <c r="BL687" s="277"/>
      <c r="BM687" s="277"/>
      <c r="BN687" s="277"/>
      <c r="BO687" s="277"/>
      <c r="BP687" s="277"/>
      <c r="BQ687" s="277"/>
      <c r="BR687" s="277"/>
      <c r="BS687" s="277"/>
      <c r="BT687" s="277"/>
      <c r="BU687" s="277"/>
      <c r="BV687" s="277"/>
      <c r="BW687" s="277"/>
      <c r="BX687" s="277"/>
      <c r="BY687" s="277"/>
      <c r="BZ687" s="277"/>
      <c r="CA687" s="277"/>
      <c r="CB687" s="277"/>
      <c r="CC687" s="277"/>
      <c r="CD687" s="277"/>
      <c r="CE687" s="277"/>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7"/>
      <c r="AR688" s="277"/>
      <c r="AS688" s="278"/>
      <c r="AT688" s="278"/>
      <c r="AU688" s="278"/>
      <c r="AV688" s="278"/>
      <c r="AW688" s="278"/>
      <c r="AX688" s="295"/>
      <c r="AY688" s="278"/>
      <c r="AZ688" s="278"/>
      <c r="BA688" s="278"/>
      <c r="BB688" s="278"/>
      <c r="BC688" s="278"/>
      <c r="BD688" s="279"/>
      <c r="BE688" s="277"/>
      <c r="BF688" s="277"/>
      <c r="BG688" s="277"/>
      <c r="BH688" s="277"/>
      <c r="BI688" s="277"/>
      <c r="BJ688" s="277"/>
      <c r="BK688" s="277"/>
      <c r="BL688" s="277"/>
      <c r="BM688" s="277"/>
      <c r="BN688" s="277"/>
      <c r="BO688" s="277"/>
      <c r="BP688" s="277"/>
      <c r="BQ688" s="277"/>
      <c r="BR688" s="277"/>
      <c r="BS688" s="277"/>
      <c r="BT688" s="277"/>
      <c r="BU688" s="277"/>
      <c r="BV688" s="277"/>
      <c r="BW688" s="277"/>
      <c r="BX688" s="277"/>
      <c r="BY688" s="277"/>
      <c r="BZ688" s="277"/>
      <c r="CA688" s="277"/>
      <c r="CB688" s="277"/>
      <c r="CC688" s="277"/>
      <c r="CD688" s="277"/>
      <c r="CE688" s="277"/>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7"/>
      <c r="AR689" s="277"/>
      <c r="AS689" s="278"/>
      <c r="AT689" s="278"/>
      <c r="AU689" s="278"/>
      <c r="AV689" s="278"/>
      <c r="AW689" s="278"/>
      <c r="AX689" s="295"/>
      <c r="AY689" s="278"/>
      <c r="AZ689" s="278"/>
      <c r="BA689" s="278"/>
      <c r="BB689" s="278"/>
      <c r="BC689" s="278"/>
      <c r="BD689" s="279"/>
      <c r="BE689" s="277"/>
      <c r="BF689" s="277"/>
      <c r="BG689" s="277"/>
      <c r="BH689" s="277"/>
      <c r="BI689" s="277"/>
      <c r="BJ689" s="277"/>
      <c r="BK689" s="277"/>
      <c r="BL689" s="277"/>
      <c r="BM689" s="277"/>
      <c r="BN689" s="277"/>
      <c r="BO689" s="277"/>
      <c r="BP689" s="277"/>
      <c r="BQ689" s="277"/>
      <c r="BR689" s="277"/>
      <c r="BS689" s="277"/>
      <c r="BT689" s="277"/>
      <c r="BU689" s="277"/>
      <c r="BV689" s="277"/>
      <c r="BW689" s="277"/>
      <c r="BX689" s="277"/>
      <c r="BY689" s="277"/>
      <c r="BZ689" s="277"/>
      <c r="CA689" s="277"/>
      <c r="CB689" s="277"/>
      <c r="CC689" s="277"/>
      <c r="CD689" s="277"/>
      <c r="CE689" s="277"/>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7"/>
      <c r="AR690" s="277"/>
      <c r="AS690" s="278"/>
      <c r="AT690" s="278"/>
      <c r="AU690" s="278"/>
      <c r="AV690" s="278"/>
      <c r="AW690" s="278"/>
      <c r="AX690" s="295"/>
      <c r="AY690" s="278"/>
      <c r="AZ690" s="278"/>
      <c r="BA690" s="278"/>
      <c r="BB690" s="278"/>
      <c r="BC690" s="278"/>
      <c r="BD690" s="279"/>
      <c r="BE690" s="277"/>
      <c r="BF690" s="277"/>
      <c r="BG690" s="277"/>
      <c r="BH690" s="277"/>
      <c r="BI690" s="277"/>
      <c r="BJ690" s="277"/>
      <c r="BK690" s="277"/>
      <c r="BL690" s="277"/>
      <c r="BM690" s="277"/>
      <c r="BN690" s="277"/>
      <c r="BO690" s="277"/>
      <c r="BP690" s="277"/>
      <c r="BQ690" s="277"/>
      <c r="BR690" s="277"/>
      <c r="BS690" s="277"/>
      <c r="BT690" s="277"/>
      <c r="BU690" s="277"/>
      <c r="BV690" s="277"/>
      <c r="BW690" s="277"/>
      <c r="BX690" s="277"/>
      <c r="BY690" s="277"/>
      <c r="BZ690" s="277"/>
      <c r="CA690" s="277"/>
      <c r="CB690" s="277"/>
      <c r="CC690" s="277"/>
      <c r="CD690" s="277"/>
      <c r="CE690" s="277"/>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7"/>
      <c r="AR691" s="277"/>
      <c r="AS691" s="278"/>
      <c r="AT691" s="278"/>
      <c r="AU691" s="278"/>
      <c r="AV691" s="278"/>
      <c r="AW691" s="278"/>
      <c r="AX691" s="295"/>
      <c r="AY691" s="278"/>
      <c r="AZ691" s="278"/>
      <c r="BA691" s="278"/>
      <c r="BB691" s="278"/>
      <c r="BC691" s="278"/>
      <c r="BD691" s="279"/>
      <c r="BE691" s="277"/>
      <c r="BF691" s="277"/>
      <c r="BG691" s="277"/>
      <c r="BH691" s="277"/>
      <c r="BI691" s="277"/>
      <c r="BJ691" s="277"/>
      <c r="BK691" s="277"/>
      <c r="BL691" s="277"/>
      <c r="BM691" s="277"/>
      <c r="BN691" s="277"/>
      <c r="BO691" s="277"/>
      <c r="BP691" s="277"/>
      <c r="BQ691" s="277"/>
      <c r="BR691" s="277"/>
      <c r="BS691" s="277"/>
      <c r="BT691" s="277"/>
      <c r="BU691" s="277"/>
      <c r="BV691" s="277"/>
      <c r="BW691" s="277"/>
      <c r="BX691" s="277"/>
      <c r="BY691" s="277"/>
      <c r="BZ691" s="277"/>
      <c r="CA691" s="277"/>
      <c r="CB691" s="277"/>
      <c r="CC691" s="277"/>
      <c r="CD691" s="277"/>
      <c r="CE691" s="277"/>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7"/>
      <c r="AR692" s="277"/>
      <c r="AS692" s="278"/>
      <c r="AT692" s="278"/>
      <c r="AU692" s="278"/>
      <c r="AV692" s="278"/>
      <c r="AW692" s="278"/>
      <c r="AX692" s="295"/>
      <c r="AY692" s="278"/>
      <c r="AZ692" s="278"/>
      <c r="BA692" s="278"/>
      <c r="BB692" s="278"/>
      <c r="BC692" s="278"/>
      <c r="BD692" s="279"/>
      <c r="BE692" s="277"/>
      <c r="BF692" s="277"/>
      <c r="BG692" s="277"/>
      <c r="BH692" s="277"/>
      <c r="BI692" s="277"/>
      <c r="BJ692" s="277"/>
      <c r="BK692" s="277"/>
      <c r="BL692" s="277"/>
      <c r="BM692" s="277"/>
      <c r="BN692" s="277"/>
      <c r="BO692" s="277"/>
      <c r="BP692" s="277"/>
      <c r="BQ692" s="277"/>
      <c r="BR692" s="277"/>
      <c r="BS692" s="277"/>
      <c r="BT692" s="277"/>
      <c r="BU692" s="277"/>
      <c r="BV692" s="277"/>
      <c r="BW692" s="277"/>
      <c r="BX692" s="277"/>
      <c r="BY692" s="277"/>
      <c r="BZ692" s="277"/>
      <c r="CA692" s="277"/>
      <c r="CB692" s="277"/>
      <c r="CC692" s="277"/>
      <c r="CD692" s="277"/>
      <c r="CE692" s="277"/>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7"/>
      <c r="AR693" s="277"/>
      <c r="AS693" s="278"/>
      <c r="AT693" s="278"/>
      <c r="AU693" s="278"/>
      <c r="AV693" s="278"/>
      <c r="AW693" s="278"/>
      <c r="AX693" s="295"/>
      <c r="AY693" s="278"/>
      <c r="AZ693" s="278"/>
      <c r="BA693" s="278"/>
      <c r="BB693" s="278"/>
      <c r="BC693" s="278"/>
      <c r="BD693" s="279"/>
      <c r="BE693" s="277"/>
      <c r="BF693" s="277"/>
      <c r="BG693" s="277"/>
      <c r="BH693" s="277"/>
      <c r="BI693" s="277"/>
      <c r="BJ693" s="277"/>
      <c r="BK693" s="277"/>
      <c r="BL693" s="277"/>
      <c r="BM693" s="277"/>
      <c r="BN693" s="277"/>
      <c r="BO693" s="277"/>
      <c r="BP693" s="277"/>
      <c r="BQ693" s="277"/>
      <c r="BR693" s="277"/>
      <c r="BS693" s="277"/>
      <c r="BT693" s="277"/>
      <c r="BU693" s="277"/>
      <c r="BV693" s="277"/>
      <c r="BW693" s="277"/>
      <c r="BX693" s="277"/>
      <c r="BY693" s="277"/>
      <c r="BZ693" s="277"/>
      <c r="CA693" s="277"/>
      <c r="CB693" s="277"/>
      <c r="CC693" s="277"/>
      <c r="CD693" s="277"/>
      <c r="CE693" s="277"/>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7"/>
      <c r="AR694" s="277"/>
      <c r="AS694" s="278"/>
      <c r="AT694" s="278"/>
      <c r="AU694" s="278"/>
      <c r="AV694" s="278"/>
      <c r="AW694" s="278"/>
      <c r="AX694" s="295"/>
      <c r="AY694" s="278"/>
      <c r="AZ694" s="278"/>
      <c r="BA694" s="278"/>
      <c r="BB694" s="278"/>
      <c r="BC694" s="278"/>
      <c r="BD694" s="279"/>
      <c r="BE694" s="277"/>
      <c r="BF694" s="277"/>
      <c r="BG694" s="277"/>
      <c r="BH694" s="277"/>
      <c r="BI694" s="277"/>
      <c r="BJ694" s="277"/>
      <c r="BK694" s="277"/>
      <c r="BL694" s="277"/>
      <c r="BM694" s="277"/>
      <c r="BN694" s="277"/>
      <c r="BO694" s="277"/>
      <c r="BP694" s="277"/>
      <c r="BQ694" s="277"/>
      <c r="BR694" s="277"/>
      <c r="BS694" s="277"/>
      <c r="BT694" s="277"/>
      <c r="BU694" s="277"/>
      <c r="BV694" s="277"/>
      <c r="BW694" s="277"/>
      <c r="BX694" s="277"/>
      <c r="BY694" s="277"/>
      <c r="BZ694" s="277"/>
      <c r="CA694" s="277"/>
      <c r="CB694" s="277"/>
      <c r="CC694" s="277"/>
      <c r="CD694" s="277"/>
      <c r="CE694" s="277"/>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7"/>
      <c r="AR695" s="277"/>
      <c r="AS695" s="278"/>
      <c r="AT695" s="278"/>
      <c r="AU695" s="278"/>
      <c r="AV695" s="278"/>
      <c r="AW695" s="278"/>
      <c r="AX695" s="295"/>
      <c r="AY695" s="278"/>
      <c r="AZ695" s="278"/>
      <c r="BA695" s="278"/>
      <c r="BB695" s="278"/>
      <c r="BC695" s="278"/>
      <c r="BD695" s="279"/>
      <c r="BE695" s="277"/>
      <c r="BF695" s="277"/>
      <c r="BG695" s="277"/>
      <c r="BH695" s="277"/>
      <c r="BI695" s="277"/>
      <c r="BJ695" s="277"/>
      <c r="BK695" s="277"/>
      <c r="BL695" s="277"/>
      <c r="BM695" s="277"/>
      <c r="BN695" s="277"/>
      <c r="BO695" s="277"/>
      <c r="BP695" s="277"/>
      <c r="BQ695" s="277"/>
      <c r="BR695" s="277"/>
      <c r="BS695" s="277"/>
      <c r="BT695" s="277"/>
      <c r="BU695" s="277"/>
      <c r="BV695" s="277"/>
      <c r="BW695" s="277"/>
      <c r="BX695" s="277"/>
      <c r="BY695" s="277"/>
      <c r="BZ695" s="277"/>
      <c r="CA695" s="277"/>
      <c r="CB695" s="277"/>
      <c r="CC695" s="277"/>
      <c r="CD695" s="277"/>
      <c r="CE695" s="277"/>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7"/>
      <c r="AR696" s="277"/>
      <c r="AS696" s="278"/>
      <c r="AT696" s="278"/>
      <c r="AU696" s="278"/>
      <c r="AV696" s="278"/>
      <c r="AW696" s="278"/>
      <c r="AX696" s="295"/>
      <c r="AY696" s="278"/>
      <c r="AZ696" s="278"/>
      <c r="BA696" s="278"/>
      <c r="BB696" s="278"/>
      <c r="BC696" s="278"/>
      <c r="BD696" s="279"/>
      <c r="BE696" s="277"/>
      <c r="BF696" s="277"/>
      <c r="BG696" s="277"/>
      <c r="BH696" s="277"/>
      <c r="BI696" s="277"/>
      <c r="BJ696" s="277"/>
      <c r="BK696" s="277"/>
      <c r="BL696" s="277"/>
      <c r="BM696" s="277"/>
      <c r="BN696" s="277"/>
      <c r="BO696" s="277"/>
      <c r="BP696" s="277"/>
      <c r="BQ696" s="277"/>
      <c r="BR696" s="277"/>
      <c r="BS696" s="277"/>
      <c r="BT696" s="277"/>
      <c r="BU696" s="277"/>
      <c r="BV696" s="277"/>
      <c r="BW696" s="277"/>
      <c r="BX696" s="277"/>
      <c r="BY696" s="277"/>
      <c r="BZ696" s="277"/>
      <c r="CA696" s="277"/>
      <c r="CB696" s="277"/>
      <c r="CC696" s="277"/>
      <c r="CD696" s="277"/>
      <c r="CE696" s="277"/>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7"/>
      <c r="AR697" s="277"/>
      <c r="AS697" s="278"/>
      <c r="AT697" s="278"/>
      <c r="AU697" s="278"/>
      <c r="AV697" s="278"/>
      <c r="AW697" s="278"/>
      <c r="AX697" s="295"/>
      <c r="AY697" s="278"/>
      <c r="AZ697" s="278"/>
      <c r="BA697" s="278"/>
      <c r="BB697" s="278"/>
      <c r="BC697" s="278"/>
      <c r="BD697" s="279"/>
      <c r="BE697" s="277"/>
      <c r="BF697" s="277"/>
      <c r="BG697" s="277"/>
      <c r="BH697" s="277"/>
      <c r="BI697" s="277"/>
      <c r="BJ697" s="277"/>
      <c r="BK697" s="277"/>
      <c r="BL697" s="277"/>
      <c r="BM697" s="277"/>
      <c r="BN697" s="277"/>
      <c r="BO697" s="277"/>
      <c r="BP697" s="277"/>
      <c r="BQ697" s="277"/>
      <c r="BR697" s="277"/>
      <c r="BS697" s="277"/>
      <c r="BT697" s="277"/>
      <c r="BU697" s="277"/>
      <c r="BV697" s="277"/>
      <c r="BW697" s="277"/>
      <c r="BX697" s="277"/>
      <c r="BY697" s="277"/>
      <c r="BZ697" s="277"/>
      <c r="CA697" s="277"/>
      <c r="CB697" s="277"/>
      <c r="CC697" s="277"/>
      <c r="CD697" s="277"/>
      <c r="CE697" s="277"/>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7"/>
      <c r="AR698" s="277"/>
      <c r="AS698" s="278"/>
      <c r="AT698" s="278"/>
      <c r="AU698" s="278"/>
      <c r="AV698" s="278"/>
      <c r="AW698" s="278"/>
      <c r="AX698" s="295"/>
      <c r="AY698" s="278"/>
      <c r="AZ698" s="278"/>
      <c r="BA698" s="278"/>
      <c r="BB698" s="278"/>
      <c r="BC698" s="278"/>
      <c r="BD698" s="279"/>
      <c r="BE698" s="277"/>
      <c r="BF698" s="277"/>
      <c r="BG698" s="277"/>
      <c r="BH698" s="277"/>
      <c r="BI698" s="277"/>
      <c r="BJ698" s="277"/>
      <c r="BK698" s="277"/>
      <c r="BL698" s="277"/>
      <c r="BM698" s="277"/>
      <c r="BN698" s="277"/>
      <c r="BO698" s="277"/>
      <c r="BP698" s="277"/>
      <c r="BQ698" s="277"/>
      <c r="BR698" s="277"/>
      <c r="BS698" s="277"/>
      <c r="BT698" s="277"/>
      <c r="BU698" s="277"/>
      <c r="BV698" s="277"/>
      <c r="BW698" s="277"/>
      <c r="BX698" s="277"/>
      <c r="BY698" s="277"/>
      <c r="BZ698" s="277"/>
      <c r="CA698" s="277"/>
      <c r="CB698" s="277"/>
      <c r="CC698" s="277"/>
      <c r="CD698" s="277"/>
      <c r="CE698" s="277"/>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7"/>
      <c r="AR699" s="277"/>
      <c r="AS699" s="278"/>
      <c r="AT699" s="278"/>
      <c r="AU699" s="278"/>
      <c r="AV699" s="278"/>
      <c r="AW699" s="278"/>
      <c r="AX699" s="295"/>
      <c r="AY699" s="278"/>
      <c r="AZ699" s="278"/>
      <c r="BA699" s="278"/>
      <c r="BB699" s="278"/>
      <c r="BC699" s="278"/>
      <c r="BD699" s="279"/>
      <c r="BE699" s="277"/>
      <c r="BF699" s="277"/>
      <c r="BG699" s="277"/>
      <c r="BH699" s="277"/>
      <c r="BI699" s="277"/>
      <c r="BJ699" s="277"/>
      <c r="BK699" s="277"/>
      <c r="BL699" s="277"/>
      <c r="BM699" s="277"/>
      <c r="BN699" s="277"/>
      <c r="BO699" s="277"/>
      <c r="BP699" s="277"/>
      <c r="BQ699" s="277"/>
      <c r="BR699" s="277"/>
      <c r="BS699" s="277"/>
      <c r="BT699" s="277"/>
      <c r="BU699" s="277"/>
      <c r="BV699" s="277"/>
      <c r="BW699" s="277"/>
      <c r="BX699" s="277"/>
      <c r="BY699" s="277"/>
      <c r="BZ699" s="277"/>
      <c r="CA699" s="277"/>
      <c r="CB699" s="277"/>
      <c r="CC699" s="277"/>
      <c r="CD699" s="277"/>
      <c r="CE699" s="277"/>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7"/>
      <c r="AR700" s="277"/>
      <c r="AS700" s="278"/>
      <c r="AT700" s="278"/>
      <c r="AU700" s="278"/>
      <c r="AV700" s="278"/>
      <c r="AW700" s="278"/>
      <c r="AX700" s="295"/>
      <c r="AY700" s="278"/>
      <c r="AZ700" s="278"/>
      <c r="BA700" s="278"/>
      <c r="BB700" s="278"/>
      <c r="BC700" s="278"/>
      <c r="BD700" s="279"/>
      <c r="BE700" s="277"/>
      <c r="BF700" s="277"/>
      <c r="BG700" s="277"/>
      <c r="BH700" s="277"/>
      <c r="BI700" s="277"/>
      <c r="BJ700" s="277"/>
      <c r="BK700" s="277"/>
      <c r="BL700" s="277"/>
      <c r="BM700" s="277"/>
      <c r="BN700" s="277"/>
      <c r="BO700" s="277"/>
      <c r="BP700" s="277"/>
      <c r="BQ700" s="277"/>
      <c r="BR700" s="277"/>
      <c r="BS700" s="277"/>
      <c r="BT700" s="277"/>
      <c r="BU700" s="277"/>
      <c r="BV700" s="277"/>
      <c r="BW700" s="277"/>
      <c r="BX700" s="277"/>
      <c r="BY700" s="277"/>
      <c r="BZ700" s="277"/>
      <c r="CA700" s="277"/>
      <c r="CB700" s="277"/>
      <c r="CC700" s="277"/>
      <c r="CD700" s="277"/>
      <c r="CE700" s="277"/>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7"/>
      <c r="AR701" s="277"/>
      <c r="AS701" s="278"/>
      <c r="AT701" s="278"/>
      <c r="AU701" s="278"/>
      <c r="AV701" s="278"/>
      <c r="AW701" s="278"/>
      <c r="AX701" s="295"/>
      <c r="AY701" s="278"/>
      <c r="AZ701" s="278"/>
      <c r="BA701" s="278"/>
      <c r="BB701" s="278"/>
      <c r="BC701" s="278"/>
      <c r="BD701" s="279"/>
      <c r="BE701" s="277"/>
      <c r="BF701" s="277"/>
      <c r="BG701" s="277"/>
      <c r="BH701" s="277"/>
      <c r="BI701" s="277"/>
      <c r="BJ701" s="277"/>
      <c r="BK701" s="277"/>
      <c r="BL701" s="277"/>
      <c r="BM701" s="277"/>
      <c r="BN701" s="277"/>
      <c r="BO701" s="277"/>
      <c r="BP701" s="277"/>
      <c r="BQ701" s="277"/>
      <c r="BR701" s="277"/>
      <c r="BS701" s="277"/>
      <c r="BT701" s="277"/>
      <c r="BU701" s="277"/>
      <c r="BV701" s="277"/>
      <c r="BW701" s="277"/>
      <c r="BX701" s="277"/>
      <c r="BY701" s="277"/>
      <c r="BZ701" s="277"/>
      <c r="CA701" s="277"/>
      <c r="CB701" s="277"/>
      <c r="CC701" s="277"/>
      <c r="CD701" s="277"/>
      <c r="CE701" s="277"/>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7"/>
      <c r="AR702" s="277"/>
      <c r="AS702" s="278"/>
      <c r="AT702" s="278"/>
      <c r="AU702" s="278"/>
      <c r="AV702" s="278"/>
      <c r="AW702" s="278"/>
      <c r="AX702" s="295"/>
      <c r="AY702" s="278"/>
      <c r="AZ702" s="278"/>
      <c r="BA702" s="278"/>
      <c r="BB702" s="278"/>
      <c r="BC702" s="278"/>
      <c r="BD702" s="279"/>
      <c r="BE702" s="277"/>
      <c r="BF702" s="277"/>
      <c r="BG702" s="277"/>
      <c r="BH702" s="277"/>
      <c r="BI702" s="277"/>
      <c r="BJ702" s="277"/>
      <c r="BK702" s="277"/>
      <c r="BL702" s="277"/>
      <c r="BM702" s="277"/>
      <c r="BN702" s="277"/>
      <c r="BO702" s="277"/>
      <c r="BP702" s="277"/>
      <c r="BQ702" s="277"/>
      <c r="BR702" s="277"/>
      <c r="BS702" s="277"/>
      <c r="BT702" s="277"/>
      <c r="BU702" s="277"/>
      <c r="BV702" s="277"/>
      <c r="BW702" s="277"/>
      <c r="BX702" s="277"/>
      <c r="BY702" s="277"/>
      <c r="BZ702" s="277"/>
      <c r="CA702" s="277"/>
      <c r="CB702" s="277"/>
      <c r="CC702" s="277"/>
      <c r="CD702" s="277"/>
      <c r="CE702" s="277"/>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7"/>
      <c r="AR703" s="277"/>
      <c r="AS703" s="278"/>
      <c r="AT703" s="278"/>
      <c r="AU703" s="278"/>
      <c r="AV703" s="278"/>
      <c r="AW703" s="278"/>
      <c r="AX703" s="295"/>
      <c r="AY703" s="278"/>
      <c r="AZ703" s="278"/>
      <c r="BA703" s="278"/>
      <c r="BB703" s="278"/>
      <c r="BC703" s="278"/>
      <c r="BD703" s="279"/>
      <c r="BE703" s="277"/>
      <c r="BF703" s="277"/>
      <c r="BG703" s="277"/>
      <c r="BH703" s="277"/>
      <c r="BI703" s="277"/>
      <c r="BJ703" s="277"/>
      <c r="BK703" s="277"/>
      <c r="BL703" s="277"/>
      <c r="BM703" s="277"/>
      <c r="BN703" s="277"/>
      <c r="BO703" s="277"/>
      <c r="BP703" s="277"/>
      <c r="BQ703" s="277"/>
      <c r="BR703" s="277"/>
      <c r="BS703" s="277"/>
      <c r="BT703" s="277"/>
      <c r="BU703" s="277"/>
      <c r="BV703" s="277"/>
      <c r="BW703" s="277"/>
      <c r="BX703" s="277"/>
      <c r="BY703" s="277"/>
      <c r="BZ703" s="277"/>
      <c r="CA703" s="277"/>
      <c r="CB703" s="277"/>
      <c r="CC703" s="277"/>
      <c r="CD703" s="277"/>
      <c r="CE703" s="277"/>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7"/>
      <c r="AR704" s="277"/>
      <c r="AS704" s="278"/>
      <c r="AT704" s="278"/>
      <c r="AU704" s="278"/>
      <c r="AV704" s="278"/>
      <c r="AW704" s="278"/>
      <c r="AX704" s="295"/>
      <c r="AY704" s="278"/>
      <c r="AZ704" s="278"/>
      <c r="BA704" s="278"/>
      <c r="BB704" s="278"/>
      <c r="BC704" s="278"/>
      <c r="BD704" s="279"/>
      <c r="BE704" s="277"/>
      <c r="BF704" s="277"/>
      <c r="BG704" s="277"/>
      <c r="BH704" s="277"/>
      <c r="BI704" s="277"/>
      <c r="BJ704" s="277"/>
      <c r="BK704" s="277"/>
      <c r="BL704" s="277"/>
      <c r="BM704" s="277"/>
      <c r="BN704" s="277"/>
      <c r="BO704" s="277"/>
      <c r="BP704" s="277"/>
      <c r="BQ704" s="277"/>
      <c r="BR704" s="277"/>
      <c r="BS704" s="277"/>
      <c r="BT704" s="277"/>
      <c r="BU704" s="277"/>
      <c r="BV704" s="277"/>
      <c r="BW704" s="277"/>
      <c r="BX704" s="277"/>
      <c r="BY704" s="277"/>
      <c r="BZ704" s="277"/>
      <c r="CA704" s="277"/>
      <c r="CB704" s="277"/>
      <c r="CC704" s="277"/>
      <c r="CD704" s="277"/>
      <c r="CE704" s="277"/>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7"/>
      <c r="AR705" s="277"/>
      <c r="AS705" s="278"/>
      <c r="AT705" s="278"/>
      <c r="AU705" s="278"/>
      <c r="AV705" s="278"/>
      <c r="AW705" s="278"/>
      <c r="AX705" s="295"/>
      <c r="AY705" s="278"/>
      <c r="AZ705" s="278"/>
      <c r="BA705" s="278"/>
      <c r="BB705" s="278"/>
      <c r="BC705" s="278"/>
      <c r="BD705" s="279"/>
      <c r="BE705" s="277"/>
      <c r="BF705" s="277"/>
      <c r="BG705" s="277"/>
      <c r="BH705" s="277"/>
      <c r="BI705" s="277"/>
      <c r="BJ705" s="277"/>
      <c r="BK705" s="277"/>
      <c r="BL705" s="277"/>
      <c r="BM705" s="277"/>
      <c r="BN705" s="277"/>
      <c r="BO705" s="277"/>
      <c r="BP705" s="277"/>
      <c r="BQ705" s="277"/>
      <c r="BR705" s="277"/>
      <c r="BS705" s="277"/>
      <c r="BT705" s="277"/>
      <c r="BU705" s="277"/>
      <c r="BV705" s="277"/>
      <c r="BW705" s="277"/>
      <c r="BX705" s="277"/>
      <c r="BY705" s="277"/>
      <c r="BZ705" s="277"/>
      <c r="CA705" s="277"/>
      <c r="CB705" s="277"/>
      <c r="CC705" s="277"/>
      <c r="CD705" s="277"/>
      <c r="CE705" s="277"/>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7"/>
      <c r="AR706" s="277"/>
      <c r="AS706" s="278"/>
      <c r="AT706" s="278"/>
      <c r="AU706" s="278"/>
      <c r="AV706" s="278"/>
      <c r="AW706" s="278"/>
      <c r="AX706" s="295"/>
      <c r="AY706" s="278"/>
      <c r="AZ706" s="278"/>
      <c r="BA706" s="278"/>
      <c r="BB706" s="278"/>
      <c r="BC706" s="278"/>
      <c r="BD706" s="279"/>
      <c r="BE706" s="277"/>
      <c r="BF706" s="277"/>
      <c r="BG706" s="277"/>
      <c r="BH706" s="277"/>
      <c r="BI706" s="277"/>
      <c r="BJ706" s="277"/>
      <c r="BK706" s="277"/>
      <c r="BL706" s="277"/>
      <c r="BM706" s="277"/>
      <c r="BN706" s="277"/>
      <c r="BO706" s="277"/>
      <c r="BP706" s="277"/>
      <c r="BQ706" s="277"/>
      <c r="BR706" s="277"/>
      <c r="BS706" s="277"/>
      <c r="BT706" s="277"/>
      <c r="BU706" s="277"/>
      <c r="BV706" s="277"/>
      <c r="BW706" s="277"/>
      <c r="BX706" s="277"/>
      <c r="BY706" s="277"/>
      <c r="BZ706" s="277"/>
      <c r="CA706" s="277"/>
      <c r="CB706" s="277"/>
      <c r="CC706" s="277"/>
      <c r="CD706" s="277"/>
      <c r="CE706" s="277"/>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7"/>
      <c r="AR707" s="277"/>
      <c r="AS707" s="278"/>
      <c r="AT707" s="278"/>
      <c r="AU707" s="278"/>
      <c r="AV707" s="278"/>
      <c r="AW707" s="278"/>
      <c r="AX707" s="295"/>
      <c r="AY707" s="278"/>
      <c r="AZ707" s="278"/>
      <c r="BA707" s="278"/>
      <c r="BB707" s="278"/>
      <c r="BC707" s="278"/>
      <c r="BD707" s="279"/>
      <c r="BE707" s="277"/>
      <c r="BF707" s="277"/>
      <c r="BG707" s="277"/>
      <c r="BH707" s="277"/>
      <c r="BI707" s="277"/>
      <c r="BJ707" s="277"/>
      <c r="BK707" s="277"/>
      <c r="BL707" s="277"/>
      <c r="BM707" s="277"/>
      <c r="BN707" s="277"/>
      <c r="BO707" s="277"/>
      <c r="BP707" s="277"/>
      <c r="BQ707" s="277"/>
      <c r="BR707" s="277"/>
      <c r="BS707" s="277"/>
      <c r="BT707" s="277"/>
      <c r="BU707" s="277"/>
      <c r="BV707" s="277"/>
      <c r="BW707" s="277"/>
      <c r="BX707" s="277"/>
      <c r="BY707" s="277"/>
      <c r="BZ707" s="277"/>
      <c r="CA707" s="277"/>
      <c r="CB707" s="277"/>
      <c r="CC707" s="277"/>
      <c r="CD707" s="277"/>
      <c r="CE707" s="277"/>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7"/>
      <c r="AR708" s="277"/>
      <c r="AS708" s="278"/>
      <c r="AT708" s="278"/>
      <c r="AU708" s="278"/>
      <c r="AV708" s="278"/>
      <c r="AW708" s="278"/>
      <c r="AX708" s="295"/>
      <c r="AY708" s="278"/>
      <c r="AZ708" s="278"/>
      <c r="BA708" s="278"/>
      <c r="BB708" s="278"/>
      <c r="BC708" s="278"/>
      <c r="BD708" s="279"/>
      <c r="BE708" s="277"/>
      <c r="BF708" s="277"/>
      <c r="BG708" s="277"/>
      <c r="BH708" s="277"/>
      <c r="BI708" s="277"/>
      <c r="BJ708" s="277"/>
      <c r="BK708" s="277"/>
      <c r="BL708" s="277"/>
      <c r="BM708" s="277"/>
      <c r="BN708" s="277"/>
      <c r="BO708" s="277"/>
      <c r="BP708" s="277"/>
      <c r="BQ708" s="277"/>
      <c r="BR708" s="277"/>
      <c r="BS708" s="277"/>
      <c r="BT708" s="277"/>
      <c r="BU708" s="277"/>
      <c r="BV708" s="277"/>
      <c r="BW708" s="277"/>
      <c r="BX708" s="277"/>
      <c r="BY708" s="277"/>
      <c r="BZ708" s="277"/>
      <c r="CA708" s="277"/>
      <c r="CB708" s="277"/>
      <c r="CC708" s="277"/>
      <c r="CD708" s="277"/>
      <c r="CE708" s="277"/>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7"/>
      <c r="AR709" s="277"/>
      <c r="AS709" s="278"/>
      <c r="AT709" s="278"/>
      <c r="AU709" s="278"/>
      <c r="AV709" s="278"/>
      <c r="AW709" s="278"/>
      <c r="AX709" s="295"/>
      <c r="AY709" s="278"/>
      <c r="AZ709" s="278"/>
      <c r="BA709" s="278"/>
      <c r="BB709" s="278"/>
      <c r="BC709" s="278"/>
      <c r="BD709" s="279"/>
      <c r="BE709" s="277"/>
      <c r="BF709" s="277"/>
      <c r="BG709" s="277"/>
      <c r="BH709" s="277"/>
      <c r="BI709" s="277"/>
      <c r="BJ709" s="277"/>
      <c r="BK709" s="277"/>
      <c r="BL709" s="277"/>
      <c r="BM709" s="277"/>
      <c r="BN709" s="277"/>
      <c r="BO709" s="277"/>
      <c r="BP709" s="277"/>
      <c r="BQ709" s="277"/>
      <c r="BR709" s="277"/>
      <c r="BS709" s="277"/>
      <c r="BT709" s="277"/>
      <c r="BU709" s="277"/>
      <c r="BV709" s="277"/>
      <c r="BW709" s="277"/>
      <c r="BX709" s="277"/>
      <c r="BY709" s="277"/>
      <c r="BZ709" s="277"/>
      <c r="CA709" s="277"/>
      <c r="CB709" s="277"/>
      <c r="CC709" s="277"/>
      <c r="CD709" s="277"/>
      <c r="CE709" s="277"/>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7"/>
      <c r="AR710" s="277"/>
      <c r="AS710" s="278"/>
      <c r="AT710" s="278"/>
      <c r="AU710" s="278"/>
      <c r="AV710" s="278"/>
      <c r="AW710" s="278"/>
      <c r="AX710" s="295"/>
      <c r="AY710" s="278"/>
      <c r="AZ710" s="278"/>
      <c r="BA710" s="278"/>
      <c r="BB710" s="278"/>
      <c r="BC710" s="278"/>
      <c r="BD710" s="279"/>
      <c r="BE710" s="277"/>
      <c r="BF710" s="277"/>
      <c r="BG710" s="277"/>
      <c r="BH710" s="277"/>
      <c r="BI710" s="277"/>
      <c r="BJ710" s="277"/>
      <c r="BK710" s="277"/>
      <c r="BL710" s="277"/>
      <c r="BM710" s="277"/>
      <c r="BN710" s="277"/>
      <c r="BO710" s="277"/>
      <c r="BP710" s="277"/>
      <c r="BQ710" s="277"/>
      <c r="BR710" s="277"/>
      <c r="BS710" s="277"/>
      <c r="BT710" s="277"/>
      <c r="BU710" s="277"/>
      <c r="BV710" s="277"/>
      <c r="BW710" s="277"/>
      <c r="BX710" s="277"/>
      <c r="BY710" s="277"/>
      <c r="BZ710" s="277"/>
      <c r="CA710" s="277"/>
      <c r="CB710" s="277"/>
      <c r="CC710" s="277"/>
      <c r="CD710" s="277"/>
      <c r="CE710" s="277"/>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7"/>
      <c r="AR711" s="277"/>
      <c r="AS711" s="278"/>
      <c r="AT711" s="278"/>
      <c r="AU711" s="278"/>
      <c r="AV711" s="278"/>
      <c r="AW711" s="278"/>
      <c r="AX711" s="295"/>
      <c r="AY711" s="278"/>
      <c r="AZ711" s="278"/>
      <c r="BA711" s="278"/>
      <c r="BB711" s="278"/>
      <c r="BC711" s="278"/>
      <c r="BD711" s="279"/>
      <c r="BE711" s="277"/>
      <c r="BF711" s="277"/>
      <c r="BG711" s="277"/>
      <c r="BH711" s="277"/>
      <c r="BI711" s="277"/>
      <c r="BJ711" s="277"/>
      <c r="BK711" s="277"/>
      <c r="BL711" s="277"/>
      <c r="BM711" s="277"/>
      <c r="BN711" s="277"/>
      <c r="BO711" s="277"/>
      <c r="BP711" s="277"/>
      <c r="BQ711" s="277"/>
      <c r="BR711" s="277"/>
      <c r="BS711" s="277"/>
      <c r="BT711" s="277"/>
      <c r="BU711" s="277"/>
      <c r="BV711" s="277"/>
      <c r="BW711" s="277"/>
      <c r="BX711" s="277"/>
      <c r="BY711" s="277"/>
      <c r="BZ711" s="277"/>
      <c r="CA711" s="277"/>
      <c r="CB711" s="277"/>
      <c r="CC711" s="277"/>
      <c r="CD711" s="277"/>
      <c r="CE711" s="277"/>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7"/>
      <c r="AR712" s="277"/>
      <c r="AS712" s="278"/>
      <c r="AT712" s="278"/>
      <c r="AU712" s="278"/>
      <c r="AV712" s="278"/>
      <c r="AW712" s="278"/>
      <c r="AX712" s="295"/>
      <c r="AY712" s="278"/>
      <c r="AZ712" s="278"/>
      <c r="BA712" s="278"/>
      <c r="BB712" s="278"/>
      <c r="BC712" s="278"/>
      <c r="BD712" s="279"/>
      <c r="BE712" s="277"/>
      <c r="BF712" s="277"/>
      <c r="BG712" s="277"/>
      <c r="BH712" s="277"/>
      <c r="BI712" s="277"/>
      <c r="BJ712" s="277"/>
      <c r="BK712" s="277"/>
      <c r="BL712" s="277"/>
      <c r="BM712" s="277"/>
      <c r="BN712" s="277"/>
      <c r="BO712" s="277"/>
      <c r="BP712" s="277"/>
      <c r="BQ712" s="277"/>
      <c r="BR712" s="277"/>
      <c r="BS712" s="277"/>
      <c r="BT712" s="277"/>
      <c r="BU712" s="277"/>
      <c r="BV712" s="277"/>
      <c r="BW712" s="277"/>
      <c r="BX712" s="277"/>
      <c r="BY712" s="277"/>
      <c r="BZ712" s="277"/>
      <c r="CA712" s="277"/>
      <c r="CB712" s="277"/>
      <c r="CC712" s="277"/>
      <c r="CD712" s="277"/>
      <c r="CE712" s="277"/>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7"/>
      <c r="AR713" s="277"/>
      <c r="AS713" s="278"/>
      <c r="AT713" s="278"/>
      <c r="AU713" s="278"/>
      <c r="AV713" s="278"/>
      <c r="AW713" s="278"/>
      <c r="AX713" s="295"/>
      <c r="AY713" s="278"/>
      <c r="AZ713" s="278"/>
      <c r="BA713" s="278"/>
      <c r="BB713" s="278"/>
      <c r="BC713" s="278"/>
      <c r="BD713" s="279"/>
      <c r="BE713" s="277"/>
      <c r="BF713" s="277"/>
      <c r="BG713" s="277"/>
      <c r="BH713" s="277"/>
      <c r="BI713" s="277"/>
      <c r="BJ713" s="277"/>
      <c r="BK713" s="277"/>
      <c r="BL713" s="277"/>
      <c r="BM713" s="277"/>
      <c r="BN713" s="277"/>
      <c r="BO713" s="277"/>
      <c r="BP713" s="277"/>
      <c r="BQ713" s="277"/>
      <c r="BR713" s="277"/>
      <c r="BS713" s="277"/>
      <c r="BT713" s="277"/>
      <c r="BU713" s="277"/>
      <c r="BV713" s="277"/>
      <c r="BW713" s="277"/>
      <c r="BX713" s="277"/>
      <c r="BY713" s="277"/>
      <c r="BZ713" s="277"/>
      <c r="CA713" s="277"/>
      <c r="CB713" s="277"/>
      <c r="CC713" s="277"/>
      <c r="CD713" s="277"/>
      <c r="CE713" s="277"/>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7"/>
      <c r="AR714" s="277"/>
      <c r="AS714" s="278"/>
      <c r="AT714" s="278"/>
      <c r="AU714" s="278"/>
      <c r="AV714" s="278"/>
      <c r="AW714" s="278"/>
      <c r="AX714" s="295"/>
      <c r="AY714" s="278"/>
      <c r="AZ714" s="278"/>
      <c r="BA714" s="278"/>
      <c r="BB714" s="278"/>
      <c r="BC714" s="278"/>
      <c r="BD714" s="279"/>
      <c r="BE714" s="277"/>
      <c r="BF714" s="277"/>
      <c r="BG714" s="277"/>
      <c r="BH714" s="277"/>
      <c r="BI714" s="277"/>
      <c r="BJ714" s="277"/>
      <c r="BK714" s="277"/>
      <c r="BL714" s="277"/>
      <c r="BM714" s="277"/>
      <c r="BN714" s="277"/>
      <c r="BO714" s="277"/>
      <c r="BP714" s="277"/>
      <c r="BQ714" s="277"/>
      <c r="BR714" s="277"/>
      <c r="BS714" s="277"/>
      <c r="BT714" s="277"/>
      <c r="BU714" s="277"/>
      <c r="BV714" s="277"/>
      <c r="BW714" s="277"/>
      <c r="BX714" s="277"/>
      <c r="BY714" s="277"/>
      <c r="BZ714" s="277"/>
      <c r="CA714" s="277"/>
      <c r="CB714" s="277"/>
      <c r="CC714" s="277"/>
      <c r="CD714" s="277"/>
      <c r="CE714" s="277"/>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7"/>
      <c r="AR715" s="277"/>
      <c r="AS715" s="278"/>
      <c r="AT715" s="278"/>
      <c r="AU715" s="278"/>
      <c r="AV715" s="278"/>
      <c r="AW715" s="278"/>
      <c r="AX715" s="295"/>
      <c r="AY715" s="278"/>
      <c r="AZ715" s="278"/>
      <c r="BA715" s="278"/>
      <c r="BB715" s="278"/>
      <c r="BC715" s="278"/>
      <c r="BD715" s="279"/>
      <c r="BE715" s="277"/>
      <c r="BF715" s="277"/>
      <c r="BG715" s="277"/>
      <c r="BH715" s="277"/>
      <c r="BI715" s="277"/>
      <c r="BJ715" s="277"/>
      <c r="BK715" s="277"/>
      <c r="BL715" s="277"/>
      <c r="BM715" s="277"/>
      <c r="BN715" s="277"/>
      <c r="BO715" s="277"/>
      <c r="BP715" s="277"/>
      <c r="BQ715" s="277"/>
      <c r="BR715" s="277"/>
      <c r="BS715" s="277"/>
      <c r="BT715" s="277"/>
      <c r="BU715" s="277"/>
      <c r="BV715" s="277"/>
      <c r="BW715" s="277"/>
      <c r="BX715" s="277"/>
      <c r="BY715" s="277"/>
      <c r="BZ715" s="277"/>
      <c r="CA715" s="277"/>
      <c r="CB715" s="277"/>
      <c r="CC715" s="277"/>
      <c r="CD715" s="277"/>
      <c r="CE715" s="277"/>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7"/>
      <c r="AR716" s="277"/>
      <c r="AS716" s="278"/>
      <c r="AT716" s="278"/>
      <c r="AU716" s="278"/>
      <c r="AV716" s="278"/>
      <c r="AW716" s="278"/>
      <c r="AX716" s="295"/>
      <c r="AY716" s="278"/>
      <c r="AZ716" s="278"/>
      <c r="BA716" s="278"/>
      <c r="BB716" s="278"/>
      <c r="BC716" s="278"/>
      <c r="BD716" s="279"/>
      <c r="BE716" s="277"/>
      <c r="BF716" s="277"/>
      <c r="BG716" s="277"/>
      <c r="BH716" s="277"/>
      <c r="BI716" s="277"/>
      <c r="BJ716" s="277"/>
      <c r="BK716" s="277"/>
      <c r="BL716" s="277"/>
      <c r="BM716" s="277"/>
      <c r="BN716" s="277"/>
      <c r="BO716" s="277"/>
      <c r="BP716" s="277"/>
      <c r="BQ716" s="277"/>
      <c r="BR716" s="277"/>
      <c r="BS716" s="277"/>
      <c r="BT716" s="277"/>
      <c r="BU716" s="277"/>
      <c r="BV716" s="277"/>
      <c r="BW716" s="277"/>
      <c r="BX716" s="277"/>
      <c r="BY716" s="277"/>
      <c r="BZ716" s="277"/>
      <c r="CA716" s="277"/>
      <c r="CB716" s="277"/>
      <c r="CC716" s="277"/>
      <c r="CD716" s="277"/>
      <c r="CE716" s="277"/>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7"/>
      <c r="AR717" s="277"/>
      <c r="AS717" s="278"/>
      <c r="AT717" s="278"/>
      <c r="AU717" s="278"/>
      <c r="AV717" s="278"/>
      <c r="AW717" s="278"/>
      <c r="AX717" s="295"/>
      <c r="AY717" s="278"/>
      <c r="AZ717" s="278"/>
      <c r="BA717" s="278"/>
      <c r="BB717" s="278"/>
      <c r="BC717" s="278"/>
      <c r="BD717" s="279"/>
      <c r="BE717" s="277"/>
      <c r="BF717" s="277"/>
      <c r="BG717" s="277"/>
      <c r="BH717" s="277"/>
      <c r="BI717" s="277"/>
      <c r="BJ717" s="277"/>
      <c r="BK717" s="277"/>
      <c r="BL717" s="277"/>
      <c r="BM717" s="277"/>
      <c r="BN717" s="277"/>
      <c r="BO717" s="277"/>
      <c r="BP717" s="277"/>
      <c r="BQ717" s="277"/>
      <c r="BR717" s="277"/>
      <c r="BS717" s="277"/>
      <c r="BT717" s="277"/>
      <c r="BU717" s="277"/>
      <c r="BV717" s="277"/>
      <c r="BW717" s="277"/>
      <c r="BX717" s="277"/>
      <c r="BY717" s="277"/>
      <c r="BZ717" s="277"/>
      <c r="CA717" s="277"/>
      <c r="CB717" s="277"/>
      <c r="CC717" s="277"/>
      <c r="CD717" s="277"/>
      <c r="CE717" s="277"/>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7"/>
      <c r="AR718" s="277"/>
      <c r="AS718" s="278"/>
      <c r="AT718" s="278"/>
      <c r="AU718" s="278"/>
      <c r="AV718" s="278"/>
      <c r="AW718" s="278"/>
      <c r="AX718" s="295"/>
      <c r="AY718" s="278"/>
      <c r="AZ718" s="278"/>
      <c r="BA718" s="278"/>
      <c r="BB718" s="278"/>
      <c r="BC718" s="278"/>
      <c r="BD718" s="279"/>
      <c r="BE718" s="277"/>
      <c r="BF718" s="277"/>
      <c r="BG718" s="277"/>
      <c r="BH718" s="277"/>
      <c r="BI718" s="277"/>
      <c r="BJ718" s="277"/>
      <c r="BK718" s="277"/>
      <c r="BL718" s="277"/>
      <c r="BM718" s="277"/>
      <c r="BN718" s="277"/>
      <c r="BO718" s="277"/>
      <c r="BP718" s="277"/>
      <c r="BQ718" s="277"/>
      <c r="BR718" s="277"/>
      <c r="BS718" s="277"/>
      <c r="BT718" s="277"/>
      <c r="BU718" s="277"/>
      <c r="BV718" s="277"/>
      <c r="BW718" s="277"/>
      <c r="BX718" s="277"/>
      <c r="BY718" s="277"/>
      <c r="BZ718" s="277"/>
      <c r="CA718" s="277"/>
      <c r="CB718" s="277"/>
      <c r="CC718" s="277"/>
      <c r="CD718" s="277"/>
      <c r="CE718" s="277"/>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7"/>
      <c r="AR719" s="277"/>
      <c r="AS719" s="278"/>
      <c r="AT719" s="278"/>
      <c r="AU719" s="278"/>
      <c r="AV719" s="278"/>
      <c r="AW719" s="278"/>
      <c r="AX719" s="295"/>
      <c r="AY719" s="278"/>
      <c r="AZ719" s="278"/>
      <c r="BA719" s="278"/>
      <c r="BB719" s="278"/>
      <c r="BC719" s="278"/>
      <c r="BD719" s="279"/>
      <c r="BE719" s="277"/>
      <c r="BF719" s="277"/>
      <c r="BG719" s="277"/>
      <c r="BH719" s="277"/>
      <c r="BI719" s="277"/>
      <c r="BJ719" s="277"/>
      <c r="BK719" s="277"/>
      <c r="BL719" s="277"/>
      <c r="BM719" s="277"/>
      <c r="BN719" s="277"/>
      <c r="BO719" s="277"/>
      <c r="BP719" s="277"/>
      <c r="BQ719" s="277"/>
      <c r="BR719" s="277"/>
      <c r="BS719" s="277"/>
      <c r="BT719" s="277"/>
      <c r="BU719" s="277"/>
      <c r="BV719" s="277"/>
      <c r="BW719" s="277"/>
      <c r="BX719" s="277"/>
      <c r="BY719" s="277"/>
      <c r="BZ719" s="277"/>
      <c r="CA719" s="277"/>
      <c r="CB719" s="277"/>
      <c r="CC719" s="277"/>
      <c r="CD719" s="277"/>
      <c r="CE719" s="277"/>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7"/>
      <c r="AR720" s="277"/>
      <c r="AS720" s="278"/>
      <c r="AT720" s="278"/>
      <c r="AU720" s="278"/>
      <c r="AV720" s="278"/>
      <c r="AW720" s="278"/>
      <c r="AX720" s="295"/>
      <c r="AY720" s="278"/>
      <c r="AZ720" s="278"/>
      <c r="BA720" s="278"/>
      <c r="BB720" s="278"/>
      <c r="BC720" s="278"/>
      <c r="BD720" s="279"/>
      <c r="BE720" s="277"/>
      <c r="BF720" s="277"/>
      <c r="BG720" s="277"/>
      <c r="BH720" s="277"/>
      <c r="BI720" s="277"/>
      <c r="BJ720" s="277"/>
      <c r="BK720" s="277"/>
      <c r="BL720" s="277"/>
      <c r="BM720" s="277"/>
      <c r="BN720" s="277"/>
      <c r="BO720" s="277"/>
      <c r="BP720" s="277"/>
      <c r="BQ720" s="277"/>
      <c r="BR720" s="277"/>
      <c r="BS720" s="277"/>
      <c r="BT720" s="277"/>
      <c r="BU720" s="277"/>
      <c r="BV720" s="277"/>
      <c r="BW720" s="277"/>
      <c r="BX720" s="277"/>
      <c r="BY720" s="277"/>
      <c r="BZ720" s="277"/>
      <c r="CA720" s="277"/>
      <c r="CB720" s="277"/>
      <c r="CC720" s="277"/>
      <c r="CD720" s="277"/>
      <c r="CE720" s="277"/>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7"/>
      <c r="AR721" s="277"/>
      <c r="AS721" s="278"/>
      <c r="AT721" s="278"/>
      <c r="AU721" s="278"/>
      <c r="AV721" s="278"/>
      <c r="AW721" s="278"/>
      <c r="AX721" s="295"/>
      <c r="AY721" s="278"/>
      <c r="AZ721" s="278"/>
      <c r="BA721" s="278"/>
      <c r="BB721" s="278"/>
      <c r="BC721" s="278"/>
      <c r="BD721" s="279"/>
      <c r="BE721" s="277"/>
      <c r="BF721" s="277"/>
      <c r="BG721" s="277"/>
      <c r="BH721" s="277"/>
      <c r="BI721" s="277"/>
      <c r="BJ721" s="277"/>
      <c r="BK721" s="277"/>
      <c r="BL721" s="277"/>
      <c r="BM721" s="277"/>
      <c r="BN721" s="277"/>
      <c r="BO721" s="277"/>
      <c r="BP721" s="277"/>
      <c r="BQ721" s="277"/>
      <c r="BR721" s="277"/>
      <c r="BS721" s="277"/>
      <c r="BT721" s="277"/>
      <c r="BU721" s="277"/>
      <c r="BV721" s="277"/>
      <c r="BW721" s="277"/>
      <c r="BX721" s="277"/>
      <c r="BY721" s="277"/>
      <c r="BZ721" s="277"/>
      <c r="CA721" s="277"/>
      <c r="CB721" s="277"/>
      <c r="CC721" s="277"/>
      <c r="CD721" s="277"/>
      <c r="CE721" s="277"/>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7"/>
      <c r="AR722" s="277"/>
      <c r="AS722" s="278"/>
      <c r="AT722" s="278"/>
      <c r="AU722" s="278"/>
      <c r="AV722" s="278"/>
      <c r="AW722" s="278"/>
      <c r="AX722" s="295"/>
      <c r="AY722" s="278"/>
      <c r="AZ722" s="278"/>
      <c r="BA722" s="278"/>
      <c r="BB722" s="278"/>
      <c r="BC722" s="278"/>
      <c r="BD722" s="279"/>
      <c r="BE722" s="277"/>
      <c r="BF722" s="277"/>
      <c r="BG722" s="277"/>
      <c r="BH722" s="277"/>
      <c r="BI722" s="277"/>
      <c r="BJ722" s="277"/>
      <c r="BK722" s="277"/>
      <c r="BL722" s="277"/>
      <c r="BM722" s="277"/>
      <c r="BN722" s="277"/>
      <c r="BO722" s="277"/>
      <c r="BP722" s="277"/>
      <c r="BQ722" s="277"/>
      <c r="BR722" s="277"/>
      <c r="BS722" s="277"/>
      <c r="BT722" s="277"/>
      <c r="BU722" s="277"/>
      <c r="BV722" s="277"/>
      <c r="BW722" s="277"/>
      <c r="BX722" s="277"/>
      <c r="BY722" s="277"/>
      <c r="BZ722" s="277"/>
      <c r="CA722" s="277"/>
      <c r="CB722" s="277"/>
      <c r="CC722" s="277"/>
      <c r="CD722" s="277"/>
      <c r="CE722" s="277"/>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7"/>
      <c r="AR723" s="277"/>
      <c r="AS723" s="278"/>
      <c r="AT723" s="278"/>
      <c r="AU723" s="278"/>
      <c r="AV723" s="278"/>
      <c r="AW723" s="278"/>
      <c r="AX723" s="295"/>
      <c r="AY723" s="278"/>
      <c r="AZ723" s="278"/>
      <c r="BA723" s="278"/>
      <c r="BB723" s="278"/>
      <c r="BC723" s="278"/>
      <c r="BD723" s="279"/>
      <c r="BE723" s="277"/>
      <c r="BF723" s="277"/>
      <c r="BG723" s="277"/>
      <c r="BH723" s="277"/>
      <c r="BI723" s="277"/>
      <c r="BJ723" s="277"/>
      <c r="BK723" s="277"/>
      <c r="BL723" s="277"/>
      <c r="BM723" s="277"/>
      <c r="BN723" s="277"/>
      <c r="BO723" s="277"/>
      <c r="BP723" s="277"/>
      <c r="BQ723" s="277"/>
      <c r="BR723" s="277"/>
      <c r="BS723" s="277"/>
      <c r="BT723" s="277"/>
      <c r="BU723" s="277"/>
      <c r="BV723" s="277"/>
      <c r="BW723" s="277"/>
      <c r="BX723" s="277"/>
      <c r="BY723" s="277"/>
      <c r="BZ723" s="277"/>
      <c r="CA723" s="277"/>
      <c r="CB723" s="277"/>
      <c r="CC723" s="277"/>
      <c r="CD723" s="277"/>
      <c r="CE723" s="277"/>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7"/>
      <c r="AR724" s="277"/>
      <c r="AS724" s="278"/>
      <c r="AT724" s="278"/>
      <c r="AU724" s="278"/>
      <c r="AV724" s="278"/>
      <c r="AW724" s="278"/>
      <c r="AX724" s="295"/>
      <c r="AY724" s="278"/>
      <c r="AZ724" s="278"/>
      <c r="BA724" s="278"/>
      <c r="BB724" s="278"/>
      <c r="BC724" s="278"/>
      <c r="BD724" s="279"/>
      <c r="BE724" s="277"/>
      <c r="BF724" s="277"/>
      <c r="BG724" s="277"/>
      <c r="BH724" s="277"/>
      <c r="BI724" s="277"/>
      <c r="BJ724" s="277"/>
      <c r="BK724" s="277"/>
      <c r="BL724" s="277"/>
      <c r="BM724" s="277"/>
      <c r="BN724" s="277"/>
      <c r="BO724" s="277"/>
      <c r="BP724" s="277"/>
      <c r="BQ724" s="277"/>
      <c r="BR724" s="277"/>
      <c r="BS724" s="277"/>
      <c r="BT724" s="277"/>
      <c r="BU724" s="277"/>
      <c r="BV724" s="277"/>
      <c r="BW724" s="277"/>
      <c r="BX724" s="277"/>
      <c r="BY724" s="277"/>
      <c r="BZ724" s="277"/>
      <c r="CA724" s="277"/>
      <c r="CB724" s="277"/>
      <c r="CC724" s="277"/>
      <c r="CD724" s="277"/>
      <c r="CE724" s="277"/>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7"/>
      <c r="AR725" s="277"/>
      <c r="AS725" s="278"/>
      <c r="AT725" s="278"/>
      <c r="AU725" s="278"/>
      <c r="AV725" s="278"/>
      <c r="AW725" s="278"/>
      <c r="AX725" s="295"/>
      <c r="AY725" s="278"/>
      <c r="AZ725" s="278"/>
      <c r="BA725" s="278"/>
      <c r="BB725" s="278"/>
      <c r="BC725" s="278"/>
      <c r="BD725" s="279"/>
      <c r="BE725" s="277"/>
      <c r="BF725" s="277"/>
      <c r="BG725" s="277"/>
      <c r="BH725" s="277"/>
      <c r="BI725" s="277"/>
      <c r="BJ725" s="277"/>
      <c r="BK725" s="277"/>
      <c r="BL725" s="277"/>
      <c r="BM725" s="277"/>
      <c r="BN725" s="277"/>
      <c r="BO725" s="277"/>
      <c r="BP725" s="277"/>
      <c r="BQ725" s="277"/>
      <c r="BR725" s="277"/>
      <c r="BS725" s="277"/>
      <c r="BT725" s="277"/>
      <c r="BU725" s="277"/>
      <c r="BV725" s="277"/>
      <c r="BW725" s="277"/>
      <c r="BX725" s="277"/>
      <c r="BY725" s="277"/>
      <c r="BZ725" s="277"/>
      <c r="CA725" s="277"/>
      <c r="CB725" s="277"/>
      <c r="CC725" s="277"/>
      <c r="CD725" s="277"/>
      <c r="CE725" s="277"/>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7"/>
      <c r="AR726" s="277"/>
      <c r="AS726" s="278"/>
      <c r="AT726" s="278"/>
      <c r="AU726" s="278"/>
      <c r="AV726" s="278"/>
      <c r="AW726" s="278"/>
      <c r="AX726" s="295"/>
      <c r="AY726" s="278"/>
      <c r="AZ726" s="278"/>
      <c r="BA726" s="278"/>
      <c r="BB726" s="278"/>
      <c r="BC726" s="278"/>
      <c r="BD726" s="279"/>
      <c r="BE726" s="277"/>
      <c r="BF726" s="277"/>
      <c r="BG726" s="277"/>
      <c r="BH726" s="277"/>
      <c r="BI726" s="277"/>
      <c r="BJ726" s="277"/>
      <c r="BK726" s="277"/>
      <c r="BL726" s="277"/>
      <c r="BM726" s="277"/>
      <c r="BN726" s="277"/>
      <c r="BO726" s="277"/>
      <c r="BP726" s="277"/>
      <c r="BQ726" s="277"/>
      <c r="BR726" s="277"/>
      <c r="BS726" s="277"/>
      <c r="BT726" s="277"/>
      <c r="BU726" s="277"/>
      <c r="BV726" s="277"/>
      <c r="BW726" s="277"/>
      <c r="BX726" s="277"/>
      <c r="BY726" s="277"/>
      <c r="BZ726" s="277"/>
      <c r="CA726" s="277"/>
      <c r="CB726" s="277"/>
      <c r="CC726" s="277"/>
      <c r="CD726" s="277"/>
      <c r="CE726" s="277"/>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7"/>
      <c r="AR727" s="277"/>
      <c r="AS727" s="278"/>
      <c r="AT727" s="278"/>
      <c r="AU727" s="278"/>
      <c r="AV727" s="278"/>
      <c r="AW727" s="278"/>
      <c r="AX727" s="295"/>
      <c r="AY727" s="278"/>
      <c r="AZ727" s="278"/>
      <c r="BA727" s="278"/>
      <c r="BB727" s="278"/>
      <c r="BC727" s="278"/>
      <c r="BD727" s="279"/>
      <c r="BE727" s="277"/>
      <c r="BF727" s="277"/>
      <c r="BG727" s="277"/>
      <c r="BH727" s="277"/>
      <c r="BI727" s="277"/>
      <c r="BJ727" s="277"/>
      <c r="BK727" s="277"/>
      <c r="BL727" s="277"/>
      <c r="BM727" s="277"/>
      <c r="BN727" s="277"/>
      <c r="BO727" s="277"/>
      <c r="BP727" s="277"/>
      <c r="BQ727" s="277"/>
      <c r="BR727" s="277"/>
      <c r="BS727" s="277"/>
      <c r="BT727" s="277"/>
      <c r="BU727" s="277"/>
      <c r="BV727" s="277"/>
      <c r="BW727" s="277"/>
      <c r="BX727" s="277"/>
      <c r="BY727" s="277"/>
      <c r="BZ727" s="277"/>
      <c r="CA727" s="277"/>
      <c r="CB727" s="277"/>
      <c r="CC727" s="277"/>
      <c r="CD727" s="277"/>
      <c r="CE727" s="277"/>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7"/>
      <c r="AR728" s="277"/>
      <c r="AS728" s="278"/>
      <c r="AT728" s="278"/>
      <c r="AU728" s="278"/>
      <c r="AV728" s="278"/>
      <c r="AW728" s="278"/>
      <c r="AX728" s="295"/>
      <c r="AY728" s="278"/>
      <c r="AZ728" s="278"/>
      <c r="BA728" s="278"/>
      <c r="BB728" s="278"/>
      <c r="BC728" s="278"/>
      <c r="BD728" s="279"/>
      <c r="BE728" s="277"/>
      <c r="BF728" s="277"/>
      <c r="BG728" s="277"/>
      <c r="BH728" s="277"/>
      <c r="BI728" s="277"/>
      <c r="BJ728" s="277"/>
      <c r="BK728" s="277"/>
      <c r="BL728" s="277"/>
      <c r="BM728" s="277"/>
      <c r="BN728" s="277"/>
      <c r="BO728" s="277"/>
      <c r="BP728" s="277"/>
      <c r="BQ728" s="277"/>
      <c r="BR728" s="277"/>
      <c r="BS728" s="277"/>
      <c r="BT728" s="277"/>
      <c r="BU728" s="277"/>
      <c r="BV728" s="277"/>
      <c r="BW728" s="277"/>
      <c r="BX728" s="277"/>
      <c r="BY728" s="277"/>
      <c r="BZ728" s="277"/>
      <c r="CA728" s="277"/>
      <c r="CB728" s="277"/>
      <c r="CC728" s="277"/>
      <c r="CD728" s="277"/>
      <c r="CE728" s="277"/>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7"/>
      <c r="AR729" s="277"/>
      <c r="AS729" s="278"/>
      <c r="AT729" s="278"/>
      <c r="AU729" s="278"/>
      <c r="AV729" s="278"/>
      <c r="AW729" s="278"/>
      <c r="AX729" s="295"/>
      <c r="AY729" s="278"/>
      <c r="AZ729" s="278"/>
      <c r="BA729" s="278"/>
      <c r="BB729" s="278"/>
      <c r="BC729" s="278"/>
      <c r="BD729" s="279"/>
      <c r="BE729" s="277"/>
      <c r="BF729" s="277"/>
      <c r="BG729" s="277"/>
      <c r="BH729" s="277"/>
      <c r="BI729" s="277"/>
      <c r="BJ729" s="277"/>
      <c r="BK729" s="277"/>
      <c r="BL729" s="277"/>
      <c r="BM729" s="277"/>
      <c r="BN729" s="277"/>
      <c r="BO729" s="277"/>
      <c r="BP729" s="277"/>
      <c r="BQ729" s="277"/>
      <c r="BR729" s="277"/>
      <c r="BS729" s="277"/>
      <c r="BT729" s="277"/>
      <c r="BU729" s="277"/>
      <c r="BV729" s="277"/>
      <c r="BW729" s="277"/>
      <c r="BX729" s="277"/>
      <c r="BY729" s="277"/>
      <c r="BZ729" s="277"/>
      <c r="CA729" s="277"/>
      <c r="CB729" s="277"/>
      <c r="CC729" s="277"/>
      <c r="CD729" s="277"/>
      <c r="CE729" s="277"/>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7"/>
      <c r="AR730" s="277"/>
      <c r="AS730" s="278"/>
      <c r="AT730" s="278"/>
      <c r="AU730" s="278"/>
      <c r="AV730" s="278"/>
      <c r="AW730" s="278"/>
      <c r="AX730" s="295"/>
      <c r="AY730" s="278"/>
      <c r="AZ730" s="278"/>
      <c r="BA730" s="278"/>
      <c r="BB730" s="278"/>
      <c r="BC730" s="278"/>
      <c r="BD730" s="279"/>
      <c r="BE730" s="277"/>
      <c r="BF730" s="277"/>
      <c r="BG730" s="277"/>
      <c r="BH730" s="277"/>
      <c r="BI730" s="277"/>
      <c r="BJ730" s="277"/>
      <c r="BK730" s="277"/>
      <c r="BL730" s="277"/>
      <c r="BM730" s="277"/>
      <c r="BN730" s="277"/>
      <c r="BO730" s="277"/>
      <c r="BP730" s="277"/>
      <c r="BQ730" s="277"/>
      <c r="BR730" s="277"/>
      <c r="BS730" s="277"/>
      <c r="BT730" s="277"/>
      <c r="BU730" s="277"/>
      <c r="BV730" s="277"/>
      <c r="BW730" s="277"/>
      <c r="BX730" s="277"/>
      <c r="BY730" s="277"/>
      <c r="BZ730" s="277"/>
      <c r="CA730" s="277"/>
      <c r="CB730" s="277"/>
      <c r="CC730" s="277"/>
      <c r="CD730" s="277"/>
      <c r="CE730" s="277"/>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7"/>
      <c r="AR731" s="277"/>
      <c r="AS731" s="278"/>
      <c r="AT731" s="278"/>
      <c r="AU731" s="278"/>
      <c r="AV731" s="278"/>
      <c r="AW731" s="278"/>
      <c r="AX731" s="295"/>
      <c r="AY731" s="278"/>
      <c r="AZ731" s="278"/>
      <c r="BA731" s="278"/>
      <c r="BB731" s="278"/>
      <c r="BC731" s="278"/>
      <c r="BD731" s="279"/>
      <c r="BE731" s="277"/>
      <c r="BF731" s="277"/>
      <c r="BG731" s="277"/>
      <c r="BH731" s="277"/>
      <c r="BI731" s="277"/>
      <c r="BJ731" s="277"/>
      <c r="BK731" s="277"/>
      <c r="BL731" s="277"/>
      <c r="BM731" s="277"/>
      <c r="BN731" s="277"/>
      <c r="BO731" s="277"/>
      <c r="BP731" s="277"/>
      <c r="BQ731" s="277"/>
      <c r="BR731" s="277"/>
      <c r="BS731" s="277"/>
      <c r="BT731" s="277"/>
      <c r="BU731" s="277"/>
      <c r="BV731" s="277"/>
      <c r="BW731" s="277"/>
      <c r="BX731" s="277"/>
      <c r="BY731" s="277"/>
      <c r="BZ731" s="277"/>
      <c r="CA731" s="277"/>
      <c r="CB731" s="277"/>
      <c r="CC731" s="277"/>
      <c r="CD731" s="277"/>
      <c r="CE731" s="277"/>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7"/>
      <c r="AR732" s="277"/>
      <c r="AS732" s="278"/>
      <c r="AT732" s="278"/>
      <c r="AU732" s="278"/>
      <c r="AV732" s="278"/>
      <c r="AW732" s="278"/>
      <c r="AX732" s="295"/>
      <c r="AY732" s="278"/>
      <c r="AZ732" s="278"/>
      <c r="BA732" s="278"/>
      <c r="BB732" s="278"/>
      <c r="BC732" s="278"/>
      <c r="BD732" s="279"/>
      <c r="BE732" s="277"/>
      <c r="BF732" s="277"/>
      <c r="BG732" s="277"/>
      <c r="BH732" s="277"/>
      <c r="BI732" s="277"/>
      <c r="BJ732" s="277"/>
      <c r="BK732" s="277"/>
      <c r="BL732" s="277"/>
      <c r="BM732" s="277"/>
      <c r="BN732" s="277"/>
      <c r="BO732" s="277"/>
      <c r="BP732" s="277"/>
      <c r="BQ732" s="277"/>
      <c r="BR732" s="277"/>
      <c r="BS732" s="277"/>
      <c r="BT732" s="277"/>
      <c r="BU732" s="277"/>
      <c r="BV732" s="277"/>
      <c r="BW732" s="277"/>
      <c r="BX732" s="277"/>
      <c r="BY732" s="277"/>
      <c r="BZ732" s="277"/>
      <c r="CA732" s="277"/>
      <c r="CB732" s="277"/>
      <c r="CC732" s="277"/>
      <c r="CD732" s="277"/>
      <c r="CE732" s="277"/>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7"/>
      <c r="AR733" s="277"/>
      <c r="AS733" s="278"/>
      <c r="AT733" s="278"/>
      <c r="AU733" s="278"/>
      <c r="AV733" s="278"/>
      <c r="AW733" s="278"/>
      <c r="AX733" s="295"/>
      <c r="AY733" s="278"/>
      <c r="AZ733" s="278"/>
      <c r="BA733" s="278"/>
      <c r="BB733" s="278"/>
      <c r="BC733" s="278"/>
      <c r="BD733" s="279"/>
      <c r="BE733" s="277"/>
      <c r="BF733" s="277"/>
      <c r="BG733" s="277"/>
      <c r="BH733" s="277"/>
      <c r="BI733" s="277"/>
      <c r="BJ733" s="277"/>
      <c r="BK733" s="277"/>
      <c r="BL733" s="277"/>
      <c r="BM733" s="277"/>
      <c r="BN733" s="277"/>
      <c r="BO733" s="277"/>
      <c r="BP733" s="277"/>
      <c r="BQ733" s="277"/>
      <c r="BR733" s="277"/>
      <c r="BS733" s="277"/>
      <c r="BT733" s="277"/>
      <c r="BU733" s="277"/>
      <c r="BV733" s="277"/>
      <c r="BW733" s="277"/>
      <c r="BX733" s="277"/>
      <c r="BY733" s="277"/>
      <c r="BZ733" s="277"/>
      <c r="CA733" s="277"/>
      <c r="CB733" s="277"/>
      <c r="CC733" s="277"/>
      <c r="CD733" s="277"/>
      <c r="CE733" s="277"/>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7"/>
      <c r="AR734" s="277"/>
      <c r="AS734" s="278"/>
      <c r="AT734" s="278"/>
      <c r="AU734" s="278"/>
      <c r="AV734" s="278"/>
      <c r="AW734" s="278"/>
      <c r="AX734" s="295"/>
      <c r="AY734" s="278"/>
      <c r="AZ734" s="278"/>
      <c r="BA734" s="278"/>
      <c r="BB734" s="278"/>
      <c r="BC734" s="278"/>
      <c r="BD734" s="279"/>
      <c r="BE734" s="277"/>
      <c r="BF734" s="277"/>
      <c r="BG734" s="277"/>
      <c r="BH734" s="277"/>
      <c r="BI734" s="277"/>
      <c r="BJ734" s="277"/>
      <c r="BK734" s="277"/>
      <c r="BL734" s="277"/>
      <c r="BM734" s="277"/>
      <c r="BN734" s="277"/>
      <c r="BO734" s="277"/>
      <c r="BP734" s="277"/>
      <c r="BQ734" s="277"/>
      <c r="BR734" s="277"/>
      <c r="BS734" s="277"/>
      <c r="BT734" s="277"/>
      <c r="BU734" s="277"/>
      <c r="BV734" s="277"/>
      <c r="BW734" s="277"/>
      <c r="BX734" s="277"/>
      <c r="BY734" s="277"/>
      <c r="BZ734" s="277"/>
      <c r="CA734" s="277"/>
      <c r="CB734" s="277"/>
      <c r="CC734" s="277"/>
      <c r="CD734" s="277"/>
      <c r="CE734" s="277"/>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7"/>
      <c r="AR735" s="277"/>
      <c r="AS735" s="278"/>
      <c r="AT735" s="278"/>
      <c r="AU735" s="278"/>
      <c r="AV735" s="278"/>
      <c r="AW735" s="278"/>
      <c r="AX735" s="295"/>
      <c r="AY735" s="278"/>
      <c r="AZ735" s="278"/>
      <c r="BA735" s="278"/>
      <c r="BB735" s="278"/>
      <c r="BC735" s="278"/>
      <c r="BD735" s="279"/>
      <c r="BE735" s="277"/>
      <c r="BF735" s="277"/>
      <c r="BG735" s="277"/>
      <c r="BH735" s="277"/>
      <c r="BI735" s="277"/>
      <c r="BJ735" s="277"/>
      <c r="BK735" s="277"/>
      <c r="BL735" s="277"/>
      <c r="BM735" s="277"/>
      <c r="BN735" s="277"/>
      <c r="BO735" s="277"/>
      <c r="BP735" s="277"/>
      <c r="BQ735" s="277"/>
      <c r="BR735" s="277"/>
      <c r="BS735" s="277"/>
      <c r="BT735" s="277"/>
      <c r="BU735" s="277"/>
      <c r="BV735" s="277"/>
      <c r="BW735" s="277"/>
      <c r="BX735" s="277"/>
      <c r="BY735" s="277"/>
      <c r="BZ735" s="277"/>
      <c r="CA735" s="277"/>
      <c r="CB735" s="277"/>
      <c r="CC735" s="277"/>
      <c r="CD735" s="277"/>
      <c r="CE735" s="277"/>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7"/>
      <c r="AR736" s="277"/>
      <c r="AS736" s="278"/>
      <c r="AT736" s="278"/>
      <c r="AU736" s="278"/>
      <c r="AV736" s="278"/>
      <c r="AW736" s="278"/>
      <c r="AX736" s="295"/>
      <c r="AY736" s="278"/>
      <c r="AZ736" s="278"/>
      <c r="BA736" s="278"/>
      <c r="BB736" s="278"/>
      <c r="BC736" s="278"/>
      <c r="BD736" s="279"/>
      <c r="BE736" s="277"/>
      <c r="BF736" s="277"/>
      <c r="BG736" s="277"/>
      <c r="BH736" s="277"/>
      <c r="BI736" s="277"/>
      <c r="BJ736" s="277"/>
      <c r="BK736" s="277"/>
      <c r="BL736" s="277"/>
      <c r="BM736" s="277"/>
      <c r="BN736" s="277"/>
      <c r="BO736" s="277"/>
      <c r="BP736" s="277"/>
      <c r="BQ736" s="277"/>
      <c r="BR736" s="277"/>
      <c r="BS736" s="277"/>
      <c r="BT736" s="277"/>
      <c r="BU736" s="277"/>
      <c r="BV736" s="277"/>
      <c r="BW736" s="277"/>
      <c r="BX736" s="277"/>
      <c r="BY736" s="277"/>
      <c r="BZ736" s="277"/>
      <c r="CA736" s="277"/>
      <c r="CB736" s="277"/>
      <c r="CC736" s="277"/>
      <c r="CD736" s="277"/>
      <c r="CE736" s="277"/>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7"/>
      <c r="AR737" s="277"/>
      <c r="AS737" s="278"/>
      <c r="AT737" s="278"/>
      <c r="AU737" s="278"/>
      <c r="AV737" s="278"/>
      <c r="AW737" s="278"/>
      <c r="AX737" s="295"/>
      <c r="AY737" s="278"/>
      <c r="AZ737" s="278"/>
      <c r="BA737" s="278"/>
      <c r="BB737" s="278"/>
      <c r="BC737" s="278"/>
      <c r="BD737" s="279"/>
      <c r="BE737" s="277"/>
      <c r="BF737" s="277"/>
      <c r="BG737" s="277"/>
      <c r="BH737" s="277"/>
      <c r="BI737" s="277"/>
      <c r="BJ737" s="277"/>
      <c r="BK737" s="277"/>
      <c r="BL737" s="277"/>
      <c r="BM737" s="277"/>
      <c r="BN737" s="277"/>
      <c r="BO737" s="277"/>
      <c r="BP737" s="277"/>
      <c r="BQ737" s="277"/>
      <c r="BR737" s="277"/>
      <c r="BS737" s="277"/>
      <c r="BT737" s="277"/>
      <c r="BU737" s="277"/>
      <c r="BV737" s="277"/>
      <c r="BW737" s="277"/>
      <c r="BX737" s="277"/>
      <c r="BY737" s="277"/>
      <c r="BZ737" s="277"/>
      <c r="CA737" s="277"/>
      <c r="CB737" s="277"/>
      <c r="CC737" s="277"/>
      <c r="CD737" s="277"/>
      <c r="CE737" s="277"/>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7"/>
      <c r="AR738" s="277"/>
      <c r="AS738" s="278"/>
      <c r="AT738" s="278"/>
      <c r="AU738" s="278"/>
      <c r="AV738" s="278"/>
      <c r="AW738" s="278"/>
      <c r="AX738" s="295"/>
      <c r="AY738" s="278"/>
      <c r="AZ738" s="278"/>
      <c r="BA738" s="278"/>
      <c r="BB738" s="278"/>
      <c r="BC738" s="278"/>
      <c r="BD738" s="279"/>
      <c r="BE738" s="277"/>
      <c r="BF738" s="277"/>
      <c r="BG738" s="277"/>
      <c r="BH738" s="277"/>
      <c r="BI738" s="277"/>
      <c r="BJ738" s="277"/>
      <c r="BK738" s="277"/>
      <c r="BL738" s="277"/>
      <c r="BM738" s="277"/>
      <c r="BN738" s="277"/>
      <c r="BO738" s="277"/>
      <c r="BP738" s="277"/>
      <c r="BQ738" s="277"/>
      <c r="BR738" s="277"/>
      <c r="BS738" s="277"/>
      <c r="BT738" s="277"/>
      <c r="BU738" s="277"/>
      <c r="BV738" s="277"/>
      <c r="BW738" s="277"/>
      <c r="BX738" s="277"/>
      <c r="BY738" s="277"/>
      <c r="BZ738" s="277"/>
      <c r="CA738" s="277"/>
      <c r="CB738" s="277"/>
      <c r="CC738" s="277"/>
      <c r="CD738" s="277"/>
      <c r="CE738" s="277"/>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7"/>
      <c r="AR739" s="277"/>
      <c r="AS739" s="278"/>
      <c r="AT739" s="278"/>
      <c r="AU739" s="278"/>
      <c r="AV739" s="278"/>
      <c r="AW739" s="278"/>
      <c r="AX739" s="295"/>
      <c r="AY739" s="278"/>
      <c r="AZ739" s="278"/>
      <c r="BA739" s="278"/>
      <c r="BB739" s="278"/>
      <c r="BC739" s="278"/>
      <c r="BD739" s="279"/>
      <c r="BE739" s="277"/>
      <c r="BF739" s="277"/>
      <c r="BG739" s="277"/>
      <c r="BH739" s="277"/>
      <c r="BI739" s="277"/>
      <c r="BJ739" s="277"/>
      <c r="BK739" s="277"/>
      <c r="BL739" s="277"/>
      <c r="BM739" s="277"/>
      <c r="BN739" s="277"/>
      <c r="BO739" s="277"/>
      <c r="BP739" s="277"/>
      <c r="BQ739" s="277"/>
      <c r="BR739" s="277"/>
      <c r="BS739" s="277"/>
      <c r="BT739" s="277"/>
      <c r="BU739" s="277"/>
      <c r="BV739" s="277"/>
      <c r="BW739" s="277"/>
      <c r="BX739" s="277"/>
      <c r="BY739" s="277"/>
      <c r="BZ739" s="277"/>
      <c r="CA739" s="277"/>
      <c r="CB739" s="277"/>
      <c r="CC739" s="277"/>
      <c r="CD739" s="277"/>
      <c r="CE739" s="277"/>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7"/>
      <c r="AR740" s="277"/>
      <c r="AS740" s="278"/>
      <c r="AT740" s="278"/>
      <c r="AU740" s="278"/>
      <c r="AV740" s="278"/>
      <c r="AW740" s="278"/>
      <c r="AX740" s="295"/>
      <c r="AY740" s="278"/>
      <c r="AZ740" s="278"/>
      <c r="BA740" s="278"/>
      <c r="BB740" s="278"/>
      <c r="BC740" s="278"/>
      <c r="BD740" s="279"/>
      <c r="BE740" s="277"/>
      <c r="BF740" s="277"/>
      <c r="BG740" s="277"/>
      <c r="BH740" s="277"/>
      <c r="BI740" s="277"/>
      <c r="BJ740" s="277"/>
      <c r="BK740" s="277"/>
      <c r="BL740" s="277"/>
      <c r="BM740" s="277"/>
      <c r="BN740" s="277"/>
      <c r="BO740" s="277"/>
      <c r="BP740" s="277"/>
      <c r="BQ740" s="277"/>
      <c r="BR740" s="277"/>
      <c r="BS740" s="277"/>
      <c r="BT740" s="277"/>
      <c r="BU740" s="277"/>
      <c r="BV740" s="277"/>
      <c r="BW740" s="277"/>
      <c r="BX740" s="277"/>
      <c r="BY740" s="277"/>
      <c r="BZ740" s="277"/>
      <c r="CA740" s="277"/>
      <c r="CB740" s="277"/>
      <c r="CC740" s="277"/>
      <c r="CD740" s="277"/>
      <c r="CE740" s="277"/>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7"/>
      <c r="AR741" s="277"/>
      <c r="AS741" s="278"/>
      <c r="AT741" s="278"/>
      <c r="AU741" s="278"/>
      <c r="AV741" s="278"/>
      <c r="AW741" s="278"/>
      <c r="AX741" s="295"/>
      <c r="AY741" s="278"/>
      <c r="AZ741" s="278"/>
      <c r="BA741" s="278"/>
      <c r="BB741" s="278"/>
      <c r="BC741" s="278"/>
      <c r="BD741" s="279"/>
      <c r="BE741" s="277"/>
      <c r="BF741" s="277"/>
      <c r="BG741" s="277"/>
      <c r="BH741" s="277"/>
      <c r="BI741" s="277"/>
      <c r="BJ741" s="277"/>
      <c r="BK741" s="277"/>
      <c r="BL741" s="277"/>
      <c r="BM741" s="277"/>
      <c r="BN741" s="277"/>
      <c r="BO741" s="277"/>
      <c r="BP741" s="277"/>
      <c r="BQ741" s="277"/>
      <c r="BR741" s="277"/>
      <c r="BS741" s="277"/>
      <c r="BT741" s="277"/>
      <c r="BU741" s="277"/>
      <c r="BV741" s="277"/>
      <c r="BW741" s="277"/>
      <c r="BX741" s="277"/>
      <c r="BY741" s="277"/>
      <c r="BZ741" s="277"/>
      <c r="CA741" s="277"/>
      <c r="CB741" s="277"/>
      <c r="CC741" s="277"/>
      <c r="CD741" s="277"/>
      <c r="CE741" s="277"/>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7"/>
      <c r="AR742" s="277"/>
      <c r="AS742" s="278"/>
      <c r="AT742" s="278"/>
      <c r="AU742" s="278"/>
      <c r="AV742" s="278"/>
      <c r="AW742" s="278"/>
      <c r="AX742" s="295"/>
      <c r="AY742" s="278"/>
      <c r="AZ742" s="278"/>
      <c r="BA742" s="278"/>
      <c r="BB742" s="278"/>
      <c r="BC742" s="278"/>
      <c r="BD742" s="279"/>
      <c r="BE742" s="277"/>
      <c r="BF742" s="277"/>
      <c r="BG742" s="277"/>
      <c r="BH742" s="277"/>
      <c r="BI742" s="277"/>
      <c r="BJ742" s="277"/>
      <c r="BK742" s="277"/>
      <c r="BL742" s="277"/>
      <c r="BM742" s="277"/>
      <c r="BN742" s="277"/>
      <c r="BO742" s="277"/>
      <c r="BP742" s="277"/>
      <c r="BQ742" s="277"/>
      <c r="BR742" s="277"/>
      <c r="BS742" s="277"/>
      <c r="BT742" s="277"/>
      <c r="BU742" s="277"/>
      <c r="BV742" s="277"/>
      <c r="BW742" s="277"/>
      <c r="BX742" s="277"/>
      <c r="BY742" s="277"/>
      <c r="BZ742" s="277"/>
      <c r="CA742" s="277"/>
      <c r="CB742" s="277"/>
      <c r="CC742" s="277"/>
      <c r="CD742" s="277"/>
      <c r="CE742" s="277"/>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7"/>
      <c r="AR743" s="277"/>
      <c r="AS743" s="278"/>
      <c r="AT743" s="278"/>
      <c r="AU743" s="278"/>
      <c r="AV743" s="278"/>
      <c r="AW743" s="278"/>
      <c r="AX743" s="295"/>
      <c r="AY743" s="278"/>
      <c r="AZ743" s="278"/>
      <c r="BA743" s="278"/>
      <c r="BB743" s="278"/>
      <c r="BC743" s="278"/>
      <c r="BD743" s="279"/>
      <c r="BE743" s="277"/>
      <c r="BF743" s="277"/>
      <c r="BG743" s="277"/>
      <c r="BH743" s="277"/>
      <c r="BI743" s="277"/>
      <c r="BJ743" s="277"/>
      <c r="BK743" s="277"/>
      <c r="BL743" s="277"/>
      <c r="BM743" s="277"/>
      <c r="BN743" s="277"/>
      <c r="BO743" s="277"/>
      <c r="BP743" s="277"/>
      <c r="BQ743" s="277"/>
      <c r="BR743" s="277"/>
      <c r="BS743" s="277"/>
      <c r="BT743" s="277"/>
      <c r="BU743" s="277"/>
      <c r="BV743" s="277"/>
      <c r="BW743" s="277"/>
      <c r="BX743" s="277"/>
      <c r="BY743" s="277"/>
      <c r="BZ743" s="277"/>
      <c r="CA743" s="277"/>
      <c r="CB743" s="277"/>
      <c r="CC743" s="277"/>
      <c r="CD743" s="277"/>
      <c r="CE743" s="277"/>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7"/>
      <c r="AR744" s="277"/>
      <c r="AS744" s="278"/>
      <c r="AT744" s="278"/>
      <c r="AU744" s="278"/>
      <c r="AV744" s="278"/>
      <c r="AW744" s="278"/>
      <c r="AX744" s="295"/>
      <c r="AY744" s="278"/>
      <c r="AZ744" s="278"/>
      <c r="BA744" s="278"/>
      <c r="BB744" s="278"/>
      <c r="BC744" s="278"/>
      <c r="BD744" s="279"/>
      <c r="BE744" s="277"/>
      <c r="BF744" s="277"/>
      <c r="BG744" s="277"/>
      <c r="BH744" s="277"/>
      <c r="BI744" s="277"/>
      <c r="BJ744" s="277"/>
      <c r="BK744" s="277"/>
      <c r="BL744" s="277"/>
      <c r="BM744" s="277"/>
      <c r="BN744" s="277"/>
      <c r="BO744" s="277"/>
      <c r="BP744" s="277"/>
      <c r="BQ744" s="277"/>
      <c r="BR744" s="277"/>
      <c r="BS744" s="277"/>
      <c r="BT744" s="277"/>
      <c r="BU744" s="277"/>
      <c r="BV744" s="277"/>
      <c r="BW744" s="277"/>
      <c r="BX744" s="277"/>
      <c r="BY744" s="277"/>
      <c r="BZ744" s="277"/>
      <c r="CA744" s="277"/>
      <c r="CB744" s="277"/>
      <c r="CC744" s="277"/>
      <c r="CD744" s="277"/>
      <c r="CE744" s="277"/>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7"/>
      <c r="AR745" s="277"/>
      <c r="AS745" s="278"/>
      <c r="AT745" s="278"/>
      <c r="AU745" s="278"/>
      <c r="AV745" s="278"/>
      <c r="AW745" s="278"/>
      <c r="AX745" s="295"/>
      <c r="AY745" s="278"/>
      <c r="AZ745" s="278"/>
      <c r="BA745" s="278"/>
      <c r="BB745" s="278"/>
      <c r="BC745" s="278"/>
      <c r="BD745" s="279"/>
      <c r="BE745" s="277"/>
      <c r="BF745" s="277"/>
      <c r="BG745" s="277"/>
      <c r="BH745" s="277"/>
      <c r="BI745" s="277"/>
      <c r="BJ745" s="277"/>
      <c r="BK745" s="277"/>
      <c r="BL745" s="277"/>
      <c r="BM745" s="277"/>
      <c r="BN745" s="277"/>
      <c r="BO745" s="277"/>
      <c r="BP745" s="277"/>
      <c r="BQ745" s="277"/>
      <c r="BR745" s="277"/>
      <c r="BS745" s="277"/>
      <c r="BT745" s="277"/>
      <c r="BU745" s="277"/>
      <c r="BV745" s="277"/>
      <c r="BW745" s="277"/>
      <c r="BX745" s="277"/>
      <c r="BY745" s="277"/>
      <c r="BZ745" s="277"/>
      <c r="CA745" s="277"/>
      <c r="CB745" s="277"/>
      <c r="CC745" s="277"/>
      <c r="CD745" s="277"/>
      <c r="CE745" s="277"/>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7"/>
      <c r="AR746" s="277"/>
      <c r="AS746" s="278"/>
      <c r="AT746" s="278"/>
      <c r="AU746" s="278"/>
      <c r="AV746" s="278"/>
      <c r="AW746" s="278"/>
      <c r="AX746" s="295"/>
      <c r="AY746" s="278"/>
      <c r="AZ746" s="278"/>
      <c r="BA746" s="278"/>
      <c r="BB746" s="278"/>
      <c r="BC746" s="278"/>
      <c r="BD746" s="279"/>
      <c r="BE746" s="277"/>
      <c r="BF746" s="277"/>
      <c r="BG746" s="277"/>
      <c r="BH746" s="277"/>
      <c r="BI746" s="277"/>
      <c r="BJ746" s="277"/>
      <c r="BK746" s="277"/>
      <c r="BL746" s="277"/>
      <c r="BM746" s="277"/>
      <c r="BN746" s="277"/>
      <c r="BO746" s="277"/>
      <c r="BP746" s="277"/>
      <c r="BQ746" s="277"/>
      <c r="BR746" s="277"/>
      <c r="BS746" s="277"/>
      <c r="BT746" s="277"/>
      <c r="BU746" s="277"/>
      <c r="BV746" s="277"/>
      <c r="BW746" s="277"/>
      <c r="BX746" s="277"/>
      <c r="BY746" s="277"/>
      <c r="BZ746" s="277"/>
      <c r="CA746" s="277"/>
      <c r="CB746" s="277"/>
      <c r="CC746" s="277"/>
      <c r="CD746" s="277"/>
      <c r="CE746" s="277"/>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6"/>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6"/>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6"/>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6"/>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6"/>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6"/>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6"/>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6"/>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6"/>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6"/>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6"/>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6"/>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6"/>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6"/>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6"/>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6"/>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6"/>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6"/>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6"/>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6"/>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6"/>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6"/>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6"/>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6"/>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6"/>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6"/>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6"/>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6"/>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6"/>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6"/>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6"/>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6"/>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6"/>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6"/>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6"/>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6"/>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6"/>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6"/>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6"/>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6"/>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6"/>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6"/>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6"/>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6"/>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6"/>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6"/>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6"/>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6"/>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6"/>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6"/>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6"/>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6"/>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6"/>
      <c r="AY799" s="22"/>
      <c r="AZ799" s="22"/>
      <c r="BA799" s="22"/>
      <c r="BB799" s="140"/>
      <c r="BC799" s="22"/>
      <c r="BD799" s="137"/>
    </row>
    <row r="800" spans="7:56">
      <c r="AW800" s="22"/>
      <c r="AX800" s="296"/>
    </row>
    <row r="801" spans="49:50">
      <c r="AW801" s="22"/>
      <c r="AX801" s="296"/>
    </row>
    <row r="802" spans="49:50">
      <c r="AW802" s="22"/>
      <c r="AX802" s="296"/>
    </row>
    <row r="803" spans="49:50">
      <c r="AW803" s="22"/>
      <c r="AX803" s="296"/>
    </row>
  </sheetData>
  <protectedRanges>
    <protectedRange sqref="AQ324:AQ333 AQ523:AQ666 AQ668:AQ669 AQ347:AQ376 AQ313:AQ322 AQ335:AQ337 AQ378:AQ521 AQ250:AQ311 AQ339:AQ345 AY670:BB898 AQ670:AV898" name="Usage"/>
    <protectedRange sqref="BC324:BC333 BC523:BC666 BC347:BC376 BC313:BC322 BC335:BC337 BC378:BC521 BC250:BC311 BC339:BC345 BC668:BC898" name="Usage_1"/>
    <protectedRange sqref="AQ35:AQ44 AQ67:AQ73 AQ106:AQ112 AQ193:AQ211 AQ213:AQ224 AQ226:AQ232 AQ10:AQ23 AQ25:AQ33 AQ46:AQ53 AQ55:AQ65 AQ149:AQ180 AQ182:AQ191 AQ127:AQ147 AQ75:AQ80 AQ234:AQ244 AQ246:AQ247 AQ82:AQ88 AQ90:AQ104 AQ114:AQ125" name="Usage_2"/>
    <protectedRange sqref="AW670:AX902" name="Usage_3_1"/>
  </protectedRanges>
  <mergeCells count="17">
    <mergeCell ref="A7:B7"/>
    <mergeCell ref="A6:C6"/>
    <mergeCell ref="D6:E6"/>
    <mergeCell ref="G6:K6"/>
    <mergeCell ref="L6:P6"/>
    <mergeCell ref="D1:K1"/>
    <mergeCell ref="D2:L2"/>
    <mergeCell ref="D3:K3"/>
    <mergeCell ref="D4:K4"/>
    <mergeCell ref="D5:K5"/>
    <mergeCell ref="AQ6:BA6"/>
    <mergeCell ref="BD6:BD7"/>
    <mergeCell ref="Q6:U6"/>
    <mergeCell ref="W6:Y6"/>
    <mergeCell ref="Z6:AB6"/>
    <mergeCell ref="AD6:AI6"/>
    <mergeCell ref="AJ6:AP6"/>
  </mergeCells>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5:BC337 BC339:BC341 BC343:BC345 AR242:AR244 AR24 AR65 AR75:AR78 AR127:AR147 AR248:AR249 AR158:AR167 AR179 AR670:AR1048576">
    <cfRule type="cellIs" dxfId="1483" priority="1722"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81:AF88 AD157:AF180 AD142:AF148 AH25:AI29 AH44:AI44 AH35:AI42 AH157:AP180 AI82:AI88 AH83:AH88 AH81:AI81 AH182:AH191 AH75:AI78 AH65:AI65 AH234:AH240 AH67:AI73 AH55:AI63 AH46:AI53 AH244 AH148:AI148 AH105:AI112 AH233:AI233 AH225:AI225 AD105:AF112 AH90:AI91 AD90:AF91 AD126:AF126 AH126:AI126">
    <cfRule type="cellIs" dxfId="1482" priority="1721" operator="equal">
      <formula>"INVALID"</formula>
    </cfRule>
  </conditionalFormatting>
  <conditionalFormatting sqref="BC409:BC416 BC494:BC498 BC420:BC427 BC431:BC438 BC442:BC449">
    <cfRule type="cellIs" dxfId="1481" priority="1720" operator="equal">
      <formula>"Not Assigned"</formula>
    </cfRule>
  </conditionalFormatting>
  <conditionalFormatting sqref="BC274:BC279">
    <cfRule type="cellIs" dxfId="1480" priority="1719" operator="equal">
      <formula>"Not Assigned"</formula>
    </cfRule>
  </conditionalFormatting>
  <conditionalFormatting sqref="BC324:BC333">
    <cfRule type="cellIs" dxfId="1479" priority="1718" operator="equal">
      <formula>"Not Assigned"</formula>
    </cfRule>
  </conditionalFormatting>
  <conditionalFormatting sqref="BC668:BC669">
    <cfRule type="cellIs" dxfId="1478" priority="1717" operator="equal">
      <formula>"Not Assigned"</formula>
    </cfRule>
  </conditionalFormatting>
  <conditionalFormatting sqref="AR25:AR29 AR35:AR42 AR44">
    <cfRule type="cellIs" dxfId="1477" priority="1715" operator="equal">
      <formula>"Not Assigned"</formula>
    </cfRule>
  </conditionalFormatting>
  <conditionalFormatting sqref="AD239:AD240 AD241:AF243 AH241:AH243">
    <cfRule type="cellIs" dxfId="1476" priority="1714" operator="equal">
      <formula>"INVALID"</formula>
    </cfRule>
  </conditionalFormatting>
  <conditionalFormatting sqref="BC453:BC460 BC464:BC471 BC475:BC482 BC486:BC493">
    <cfRule type="cellIs" dxfId="1475" priority="1713" operator="equal">
      <formula>"Not Assigned"</formula>
    </cfRule>
  </conditionalFormatting>
  <conditionalFormatting sqref="BC393">
    <cfRule type="cellIs" dxfId="1474" priority="1712" operator="equal">
      <formula>"Not Assigned"</formula>
    </cfRule>
  </conditionalFormatting>
  <conditionalFormatting sqref="BC503:BC504">
    <cfRule type="cellIs" dxfId="1473" priority="1711" operator="equal">
      <formula>"Not Assigned"</formula>
    </cfRule>
  </conditionalFormatting>
  <conditionalFormatting sqref="BC501:BC502">
    <cfRule type="cellIs" dxfId="1472" priority="1710" operator="equal">
      <formula>"Not Assigned"</formula>
    </cfRule>
  </conditionalFormatting>
  <conditionalFormatting sqref="BC499:BC500">
    <cfRule type="cellIs" dxfId="1471" priority="1709" operator="equal">
      <formula>"Not Assigned"</formula>
    </cfRule>
  </conditionalFormatting>
  <conditionalFormatting sqref="BC507">
    <cfRule type="cellIs" dxfId="1470" priority="1708" operator="equal">
      <formula>"Not Assigned"</formula>
    </cfRule>
  </conditionalFormatting>
  <conditionalFormatting sqref="BC505:BC506">
    <cfRule type="cellIs" dxfId="1469" priority="1707" operator="equal">
      <formula>"Not Assigned"</formula>
    </cfRule>
  </conditionalFormatting>
  <conditionalFormatting sqref="BC258:BC261">
    <cfRule type="cellIs" dxfId="1468" priority="1706" operator="equal">
      <formula>"Not Assigned"</formula>
    </cfRule>
  </conditionalFormatting>
  <conditionalFormatting sqref="BC270:BC271">
    <cfRule type="cellIs" dxfId="1467" priority="1705" operator="equal">
      <formula>"Not Assigned"</formula>
    </cfRule>
  </conditionalFormatting>
  <conditionalFormatting sqref="BC272:BC273">
    <cfRule type="cellIs" dxfId="1466" priority="1704" operator="equal">
      <formula>"Not Assigned"</formula>
    </cfRule>
  </conditionalFormatting>
  <conditionalFormatting sqref="AR312">
    <cfRule type="cellIs" dxfId="1465" priority="1703" operator="equal">
      <formula>"Not Assigned"</formula>
    </cfRule>
  </conditionalFormatting>
  <conditionalFormatting sqref="BC313:BC318">
    <cfRule type="cellIs" dxfId="1464" priority="1702" operator="equal">
      <formula>"Not Assigned"</formula>
    </cfRule>
  </conditionalFormatting>
  <conditionalFormatting sqref="AR346">
    <cfRule type="cellIs" dxfId="1463" priority="1701" operator="equal">
      <formula>"Not Assigned"</formula>
    </cfRule>
  </conditionalFormatting>
  <conditionalFormatting sqref="BC353:BC354">
    <cfRule type="cellIs" dxfId="1462" priority="1700" operator="equal">
      <formula>"Not Assigned"</formula>
    </cfRule>
  </conditionalFormatting>
  <conditionalFormatting sqref="BC355:BC356">
    <cfRule type="cellIs" dxfId="1461" priority="1699" operator="equal">
      <formula>"Not Assigned"</formula>
    </cfRule>
  </conditionalFormatting>
  <conditionalFormatting sqref="BC357:BC358">
    <cfRule type="cellIs" dxfId="1460" priority="1698" operator="equal">
      <formula>"Not Assigned"</formula>
    </cfRule>
  </conditionalFormatting>
  <conditionalFormatting sqref="BC359:BC360">
    <cfRule type="cellIs" dxfId="1459" priority="1697" operator="equal">
      <formula>"Not Assigned"</formula>
    </cfRule>
  </conditionalFormatting>
  <conditionalFormatting sqref="BC361:BC362">
    <cfRule type="cellIs" dxfId="1458" priority="1696" operator="equal">
      <formula>"Not Assigned"</formula>
    </cfRule>
  </conditionalFormatting>
  <conditionalFormatting sqref="BC363:BC364">
    <cfRule type="cellIs" dxfId="1457" priority="1695" operator="equal">
      <formula>"Not Assigned"</formula>
    </cfRule>
  </conditionalFormatting>
  <conditionalFormatting sqref="BC365:BC366">
    <cfRule type="cellIs" dxfId="1456" priority="1694" operator="equal">
      <formula>"Not Assigned"</formula>
    </cfRule>
  </conditionalFormatting>
  <conditionalFormatting sqref="BC371:BC372">
    <cfRule type="cellIs" dxfId="1455" priority="1693" operator="equal">
      <formula>"Not Assigned"</formula>
    </cfRule>
  </conditionalFormatting>
  <conditionalFormatting sqref="BC373:BC374">
    <cfRule type="cellIs" dxfId="1454" priority="1692" operator="equal">
      <formula>"Not Assigned"</formula>
    </cfRule>
  </conditionalFormatting>
  <conditionalFormatting sqref="BC376">
    <cfRule type="cellIs" dxfId="1453" priority="1691" operator="equal">
      <formula>"Not Assigned"</formula>
    </cfRule>
  </conditionalFormatting>
  <conditionalFormatting sqref="AR245">
    <cfRule type="cellIs" dxfId="1452" priority="1690" operator="equal">
      <formula>"Not Assigned"</formula>
    </cfRule>
  </conditionalFormatting>
  <conditionalFormatting sqref="BC262:BC263">
    <cfRule type="cellIs" dxfId="1451" priority="1689" operator="equal">
      <formula>"Not Assigned"</formula>
    </cfRule>
  </conditionalFormatting>
  <conditionalFormatting sqref="BC342">
    <cfRule type="cellIs" dxfId="1450" priority="1688" operator="equal">
      <formula>"Not Assigned"</formula>
    </cfRule>
  </conditionalFormatting>
  <conditionalFormatting sqref="AH82">
    <cfRule type="cellIs" dxfId="1449" priority="1687" operator="equal">
      <formula>"INVALID"</formula>
    </cfRule>
  </conditionalFormatting>
  <conditionalFormatting sqref="Q242:Q243">
    <cfRule type="cellIs" dxfId="1448" priority="1685" operator="equal">
      <formula>"INVALID"</formula>
    </cfRule>
  </conditionalFormatting>
  <conditionalFormatting sqref="R242:R243">
    <cfRule type="cellIs" dxfId="1447" priority="1684" operator="equal">
      <formula>"INVALID"</formula>
    </cfRule>
  </conditionalFormatting>
  <conditionalFormatting sqref="S242:S243">
    <cfRule type="cellIs" dxfId="1446" priority="1683" operator="equal">
      <formula>"INVALID"</formula>
    </cfRule>
  </conditionalFormatting>
  <conditionalFormatting sqref="T242:T243">
    <cfRule type="cellIs" dxfId="1445" priority="1682" operator="equal">
      <formula>"INVALID"</formula>
    </cfRule>
  </conditionalFormatting>
  <conditionalFormatting sqref="U242:V243">
    <cfRule type="cellIs" dxfId="1444" priority="1681" operator="equal">
      <formula>"INVALID"</formula>
    </cfRule>
  </conditionalFormatting>
  <conditionalFormatting sqref="AD242:AF243 AH242:AH243">
    <cfRule type="cellIs" dxfId="1443" priority="1680" operator="equal">
      <formula>"INVALID"</formula>
    </cfRule>
  </conditionalFormatting>
  <conditionalFormatting sqref="AS25:AS29 AS35:AS42 AS82:AS87 AS106:AS111 AS193 AS234:AS240 AS242:AS244 AS55:AS63 AS67:AS73 AS182:AS191 AS23 AS44 AS46:AS53 AS65 AS75:AS78 AS127:AS147 AS203:AS211 AS231 AS157:AS180 AS114:AS125">
    <cfRule type="expression" dxfId="1442" priority="1679">
      <formula>EXACT(AF23, "INVALID")</formula>
    </cfRule>
  </conditionalFormatting>
  <conditionalFormatting sqref="AS241">
    <cfRule type="expression" dxfId="1441" priority="1677">
      <formula>EXACT(AF241, "INVALID")</formula>
    </cfRule>
  </conditionalFormatting>
  <conditionalFormatting sqref="AY25:AY29 AY35:AY42 AY82:AY87 AY106:AY111 AY193 AY234:AY240 AY242:AY244 AY55:AY63 AY67:AY73 AY182:AY191 AY23 AY44 AY46:AY53 AY65 AY75:AY78 AY127:AY147 AY203:AY211 AY231:AY232 AY179 AY223:AY224 AY158:AY167">
    <cfRule type="expression" dxfId="1440" priority="1676">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1439" priority="1675">
      <formula>AND(NOT(ISBLANK(AZ23)), EXACT(AF23, "INVALID"))</formula>
    </cfRule>
  </conditionalFormatting>
  <conditionalFormatting sqref="AY168:AY178">
    <cfRule type="expression" dxfId="1438" priority="1672">
      <formula>AND(NOT(ISBLANK(AY168)), EXACT(AF168, "INVALID"))</formula>
    </cfRule>
  </conditionalFormatting>
  <conditionalFormatting sqref="AZ168:AZ178">
    <cfRule type="expression" dxfId="1437" priority="1671">
      <formula>AND(NOT(ISBLANK(AZ168)), EXACT(AF168, "INVALID"))</formula>
    </cfRule>
  </conditionalFormatting>
  <conditionalFormatting sqref="AY241">
    <cfRule type="expression" dxfId="1436" priority="1670">
      <formula>AND(NOT(ISBLANK(AY241)), EXACT(AF241, "INVALID"))</formula>
    </cfRule>
  </conditionalFormatting>
  <conditionalFormatting sqref="AZ241">
    <cfRule type="expression" dxfId="1435" priority="1669">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AR104 AR114:AR125">
    <cfRule type="expression" dxfId="1434" priority="1668">
      <formula>NOT($AL23)</formula>
    </cfRule>
  </conditionalFormatting>
  <conditionalFormatting sqref="AR106:AR111">
    <cfRule type="cellIs" dxfId="1433" priority="1667" operator="equal">
      <formula>"Not Assigned"</formula>
    </cfRule>
  </conditionalFormatting>
  <conditionalFormatting sqref="AR168:AR178 AR182:AR191">
    <cfRule type="cellIs" dxfId="1432" priority="1665" operator="equal">
      <formula>"Not Assigned"</formula>
    </cfRule>
  </conditionalFormatting>
  <conditionalFormatting sqref="AR241">
    <cfRule type="cellIs" dxfId="1431" priority="1664" operator="equal">
      <formula>"Not Assigned"</formula>
    </cfRule>
  </conditionalFormatting>
  <conditionalFormatting sqref="BC402:BC403">
    <cfRule type="cellIs" dxfId="1430" priority="1663"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AQ90:AQ91 AQ104">
    <cfRule type="expression" dxfId="1429" priority="1716" stopIfTrue="1">
      <formula>REPLACE($AQ23,8,LEN($AQ23),"")="unused_"</formula>
    </cfRule>
  </conditionalFormatting>
  <conditionalFormatting sqref="AQ367:AQ370">
    <cfRule type="expression" dxfId="1428" priority="1652">
      <formula>RIGHT($AQ367, 1)="*"</formula>
    </cfRule>
    <cfRule type="expression" dxfId="1427" priority="1653" stopIfTrue="1">
      <formula>REPLACE($AQ367,8,LEN($AQ367),"")="unused_"</formula>
    </cfRule>
  </conditionalFormatting>
  <conditionalFormatting sqref="AF181 AH181:AI181">
    <cfRule type="cellIs" dxfId="1426" priority="1628" operator="equal">
      <formula>"INVALID"</formula>
    </cfRule>
  </conditionalFormatting>
  <conditionalFormatting sqref="AD193:AF193 AD203:AF211 AH203:AH211 AH193">
    <cfRule type="cellIs" dxfId="1425" priority="1627" operator="equal">
      <formula>"INVALID"</formula>
    </cfRule>
  </conditionalFormatting>
  <conditionalFormatting sqref="AR193 AR203:AR211">
    <cfRule type="cellIs" dxfId="1424" priority="1626" operator="equal">
      <formula>"Not Assigned"</formula>
    </cfRule>
  </conditionalFormatting>
  <conditionalFormatting sqref="AH192:AI192">
    <cfRule type="cellIs" dxfId="1423" priority="1625" operator="equal">
      <formula>"INVALID"</formula>
    </cfRule>
  </conditionalFormatting>
  <conditionalFormatting sqref="AD231:AF231 AE232:AF232 AH231:AH232">
    <cfRule type="cellIs" dxfId="1422" priority="1624" operator="equal">
      <formula>"INVALID"</formula>
    </cfRule>
  </conditionalFormatting>
  <conditionalFormatting sqref="AR231">
    <cfRule type="cellIs" dxfId="1421" priority="1623" operator="equal">
      <formula>"Not Assigned"</formula>
    </cfRule>
  </conditionalFormatting>
  <conditionalFormatting sqref="AD226:AF231 AE232:AF232 AH226:AH232">
    <cfRule type="cellIs" dxfId="1420" priority="1622" operator="equal">
      <formula>"INVALID"</formula>
    </cfRule>
  </conditionalFormatting>
  <conditionalFormatting sqref="AS226:AS230">
    <cfRule type="expression" dxfId="1419" priority="1620">
      <formula>EXACT(AF226, "INVALID")</formula>
    </cfRule>
  </conditionalFormatting>
  <conditionalFormatting sqref="AY226:AY230">
    <cfRule type="expression" dxfId="1418" priority="1619">
      <formula>AND(NOT(ISBLANK(AY226)), EXACT(AF226, "INVALID"))</formula>
    </cfRule>
  </conditionalFormatting>
  <conditionalFormatting sqref="AZ226:AZ230">
    <cfRule type="expression" dxfId="1417" priority="1618">
      <formula>AND(NOT(ISBLANK(AZ226)), EXACT(AF226, "INVALID"))</formula>
    </cfRule>
  </conditionalFormatting>
  <conditionalFormatting sqref="AR226:AR230">
    <cfRule type="cellIs" dxfId="1416" priority="1617" operator="equal">
      <formula>"Not Assigned"</formula>
    </cfRule>
  </conditionalFormatting>
  <conditionalFormatting sqref="AQ226:AQ230">
    <cfRule type="expression" dxfId="1415" priority="1616">
      <formula>RIGHT($AQ226, 1)="*"</formula>
    </cfRule>
    <cfRule type="expression" dxfId="1414" priority="1621" stopIfTrue="1">
      <formula>REPLACE($AQ226,8,LEN($AQ226),"")="unused_"</formula>
    </cfRule>
  </conditionalFormatting>
  <conditionalFormatting sqref="BC280:BC281">
    <cfRule type="cellIs" dxfId="1413" priority="1615" operator="equal">
      <formula>"Not Assigned"</formula>
    </cfRule>
  </conditionalFormatting>
  <conditionalFormatting sqref="AQ280:AQ281">
    <cfRule type="expression" dxfId="1412" priority="1613">
      <formula>RIGHT($AQ280, 1)="*"</formula>
    </cfRule>
    <cfRule type="expression" dxfId="1411" priority="1614" stopIfTrue="1">
      <formula>REPLACE($AQ280,8,LEN($AQ280),"")="unused_"</formula>
    </cfRule>
  </conditionalFormatting>
  <conditionalFormatting sqref="BC288:BC291">
    <cfRule type="cellIs" dxfId="1410" priority="1612" operator="equal">
      <formula>"Not Assigned"</formula>
    </cfRule>
  </conditionalFormatting>
  <conditionalFormatting sqref="AQ288:AQ291">
    <cfRule type="expression" dxfId="1409" priority="1610">
      <formula>RIGHT($AQ288, 1)="*"</formula>
    </cfRule>
    <cfRule type="expression" dxfId="1408" priority="1611" stopIfTrue="1">
      <formula>REPLACE($AQ288,8,LEN($AQ288),"")="unused_"</formula>
    </cfRule>
  </conditionalFormatting>
  <conditionalFormatting sqref="BC286:BC287">
    <cfRule type="cellIs" dxfId="1407" priority="1609" operator="equal">
      <formula>"Not Assigned"</formula>
    </cfRule>
  </conditionalFormatting>
  <conditionalFormatting sqref="AQ286:AQ287">
    <cfRule type="expression" dxfId="1406" priority="1607">
      <formula>RIGHT($AQ286, 1)="*"</formula>
    </cfRule>
    <cfRule type="expression" dxfId="1405" priority="1608" stopIfTrue="1">
      <formula>REPLACE($AQ286,8,LEN($AQ286),"")="unused_"</formula>
    </cfRule>
  </conditionalFormatting>
  <conditionalFormatting sqref="BC294:BC297">
    <cfRule type="cellIs" dxfId="1404" priority="1606" operator="equal">
      <formula>"Not Assigned"</formula>
    </cfRule>
  </conditionalFormatting>
  <conditionalFormatting sqref="AQ294:AQ297">
    <cfRule type="expression" dxfId="1403" priority="1604">
      <formula>RIGHT($AQ294, 1)="*"</formula>
    </cfRule>
    <cfRule type="expression" dxfId="1402" priority="1605" stopIfTrue="1">
      <formula>REPLACE($AQ294,8,LEN($AQ294),"")="unused_"</formula>
    </cfRule>
  </conditionalFormatting>
  <conditionalFormatting sqref="BC292:BC293">
    <cfRule type="cellIs" dxfId="1401" priority="1603" operator="equal">
      <formula>"Not Assigned"</formula>
    </cfRule>
  </conditionalFormatting>
  <conditionalFormatting sqref="AQ292:AQ293">
    <cfRule type="expression" dxfId="1400" priority="1601">
      <formula>RIGHT($AQ292, 1)="*"</formula>
    </cfRule>
    <cfRule type="expression" dxfId="1399" priority="1602" stopIfTrue="1">
      <formula>REPLACE($AQ292,8,LEN($AQ292),"")="unused_"</formula>
    </cfRule>
  </conditionalFormatting>
  <conditionalFormatting sqref="BC302:BC303">
    <cfRule type="cellIs" dxfId="1398" priority="1600" operator="equal">
      <formula>"Not Assigned"</formula>
    </cfRule>
  </conditionalFormatting>
  <conditionalFormatting sqref="AQ302:AQ303">
    <cfRule type="expression" dxfId="1397" priority="1598">
      <formula>RIGHT($AQ302, 1)="*"</formula>
    </cfRule>
    <cfRule type="expression" dxfId="1396" priority="1599" stopIfTrue="1">
      <formula>REPLACE($AQ302,8,LEN($AQ302),"")="unused_"</formula>
    </cfRule>
  </conditionalFormatting>
  <conditionalFormatting sqref="BC305:BC307">
    <cfRule type="cellIs" dxfId="1395" priority="1597" operator="equal">
      <formula>"Not Assigned"</formula>
    </cfRule>
  </conditionalFormatting>
  <conditionalFormatting sqref="AQ305:AQ307">
    <cfRule type="expression" dxfId="1394" priority="1595">
      <formula>RIGHT($AQ305, 1)="*"</formula>
    </cfRule>
    <cfRule type="expression" dxfId="1393" priority="1596" stopIfTrue="1">
      <formula>REPLACE($AQ305,8,LEN($AQ305),"")="unused_"</formula>
    </cfRule>
  </conditionalFormatting>
  <conditionalFormatting sqref="BC308:BC309">
    <cfRule type="cellIs" dxfId="1392" priority="1594" operator="equal">
      <formula>"Not Assigned"</formula>
    </cfRule>
  </conditionalFormatting>
  <conditionalFormatting sqref="AQ308:AQ309">
    <cfRule type="expression" dxfId="1391" priority="1592">
      <formula>RIGHT($AQ308, 1)="*"</formula>
    </cfRule>
    <cfRule type="expression" dxfId="1390" priority="1593" stopIfTrue="1">
      <formula>REPLACE($AQ308,8,LEN($AQ308),"")="unused_"</formula>
    </cfRule>
  </conditionalFormatting>
  <conditionalFormatting sqref="BC304">
    <cfRule type="cellIs" dxfId="1389" priority="1591" operator="equal">
      <formula>"Not Assigned"</formula>
    </cfRule>
  </conditionalFormatting>
  <conditionalFormatting sqref="AQ304">
    <cfRule type="expression" dxfId="1388" priority="1589">
      <formula>RIGHT($AQ304, 1)="*"</formula>
    </cfRule>
    <cfRule type="expression" dxfId="1387" priority="1590" stopIfTrue="1">
      <formula>REPLACE($AQ304,8,LEN($AQ304),"")="unused_"</formula>
    </cfRule>
  </conditionalFormatting>
  <conditionalFormatting sqref="BC322">
    <cfRule type="cellIs" dxfId="1386" priority="1588" operator="equal">
      <formula>"Not Assigned"</formula>
    </cfRule>
  </conditionalFormatting>
  <conditionalFormatting sqref="AQ322">
    <cfRule type="expression" dxfId="1385" priority="1586">
      <formula>RIGHT($AQ322, 1)="*"</formula>
    </cfRule>
    <cfRule type="expression" dxfId="1384" priority="1587" stopIfTrue="1">
      <formula>REPLACE($AQ322,8,LEN($AQ322),"")="unused_"</formula>
    </cfRule>
  </conditionalFormatting>
  <conditionalFormatting sqref="BC367:BC368">
    <cfRule type="cellIs" dxfId="1383" priority="1585" operator="equal">
      <formula>"Not Assigned"</formula>
    </cfRule>
  </conditionalFormatting>
  <conditionalFormatting sqref="BC369:BC370">
    <cfRule type="cellIs" dxfId="1382" priority="1584" operator="equal">
      <formula>"Not Assigned"</formula>
    </cfRule>
  </conditionalFormatting>
  <conditionalFormatting sqref="BC514:BC518">
    <cfRule type="cellIs" dxfId="1381" priority="1583" operator="equal">
      <formula>"Not Assigned"</formula>
    </cfRule>
  </conditionalFormatting>
  <conditionalFormatting sqref="BC508:BC513">
    <cfRule type="cellIs" dxfId="1380" priority="1582" operator="equal">
      <formula>"Not Assigned"</formula>
    </cfRule>
  </conditionalFormatting>
  <conditionalFormatting sqref="BC521">
    <cfRule type="cellIs" dxfId="1379" priority="1581" operator="equal">
      <formula>"Not Assigned"</formula>
    </cfRule>
  </conditionalFormatting>
  <conditionalFormatting sqref="BC519:BC520">
    <cfRule type="cellIs" dxfId="1378" priority="1580" operator="equal">
      <formula>"Not Assigned"</formula>
    </cfRule>
  </conditionalFormatting>
  <conditionalFormatting sqref="Q239:Q240">
    <cfRule type="cellIs" dxfId="1377" priority="1579" operator="equal">
      <formula>"INVALID"</formula>
    </cfRule>
  </conditionalFormatting>
  <conditionalFormatting sqref="R239:R240">
    <cfRule type="cellIs" dxfId="1376" priority="1578" operator="equal">
      <formula>"INVALID"</formula>
    </cfRule>
  </conditionalFormatting>
  <conditionalFormatting sqref="S239:S240">
    <cfRule type="cellIs" dxfId="1375" priority="1577" operator="equal">
      <formula>"INVALID"</formula>
    </cfRule>
  </conditionalFormatting>
  <conditionalFormatting sqref="T239:T240">
    <cfRule type="cellIs" dxfId="1374" priority="1576" operator="equal">
      <formula>"INVALID"</formula>
    </cfRule>
  </conditionalFormatting>
  <conditionalFormatting sqref="U239:V240">
    <cfRule type="cellIs" dxfId="1373" priority="1575" operator="equal">
      <formula>"INVALID"</formula>
    </cfRule>
  </conditionalFormatting>
  <conditionalFormatting sqref="Q187:Q188">
    <cfRule type="cellIs" dxfId="1372" priority="1574" operator="equal">
      <formula>"INVALID"</formula>
    </cfRule>
  </conditionalFormatting>
  <conditionalFormatting sqref="R187:R188">
    <cfRule type="cellIs" dxfId="1371" priority="1573" operator="equal">
      <formula>"INVALID"</formula>
    </cfRule>
  </conditionalFormatting>
  <conditionalFormatting sqref="S187:S188">
    <cfRule type="cellIs" dxfId="1370" priority="1572" operator="equal">
      <formula>"INVALID"</formula>
    </cfRule>
  </conditionalFormatting>
  <conditionalFormatting sqref="T187:T188">
    <cfRule type="cellIs" dxfId="1369" priority="1571" operator="equal">
      <formula>"INVALID"</formula>
    </cfRule>
  </conditionalFormatting>
  <conditionalFormatting sqref="U187:V188">
    <cfRule type="cellIs" dxfId="1368" priority="1570" operator="equal">
      <formula>"INVALID"</formula>
    </cfRule>
  </conditionalFormatting>
  <conditionalFormatting sqref="Q189:Q190">
    <cfRule type="cellIs" dxfId="1367" priority="1569" operator="equal">
      <formula>"INVALID"</formula>
    </cfRule>
  </conditionalFormatting>
  <conditionalFormatting sqref="R189:R190">
    <cfRule type="cellIs" dxfId="1366" priority="1568" operator="equal">
      <formula>"INVALID"</formula>
    </cfRule>
  </conditionalFormatting>
  <conditionalFormatting sqref="S189:S190">
    <cfRule type="cellIs" dxfId="1365" priority="1567" operator="equal">
      <formula>"INVALID"</formula>
    </cfRule>
  </conditionalFormatting>
  <conditionalFormatting sqref="T189:T190">
    <cfRule type="cellIs" dxfId="1364" priority="1566" operator="equal">
      <formula>"INVALID"</formula>
    </cfRule>
  </conditionalFormatting>
  <conditionalFormatting sqref="U189:V190">
    <cfRule type="cellIs" dxfId="1363" priority="1565" operator="equal">
      <formula>"INVALID"</formula>
    </cfRule>
  </conditionalFormatting>
  <conditionalFormatting sqref="Q191">
    <cfRule type="cellIs" dxfId="1362" priority="1564" operator="equal">
      <formula>"INVALID"</formula>
    </cfRule>
  </conditionalFormatting>
  <conditionalFormatting sqref="R191">
    <cfRule type="cellIs" dxfId="1361" priority="1563" operator="equal">
      <formula>"INVALID"</formula>
    </cfRule>
  </conditionalFormatting>
  <conditionalFormatting sqref="S191">
    <cfRule type="cellIs" dxfId="1360" priority="1562" operator="equal">
      <formula>"INVALID"</formula>
    </cfRule>
  </conditionalFormatting>
  <conditionalFormatting sqref="T191">
    <cfRule type="cellIs" dxfId="1359" priority="1561" operator="equal">
      <formula>"INVALID"</formula>
    </cfRule>
  </conditionalFormatting>
  <conditionalFormatting sqref="U191:V191">
    <cfRule type="cellIs" dxfId="1358" priority="1560" operator="equal">
      <formula>"INVALID"</formula>
    </cfRule>
  </conditionalFormatting>
  <conditionalFormatting sqref="AJ25:AJ29 AJ35:AJ42 AJ46:AJ53 AJ55:AJ63 AJ67:AJ73 AJ182:AJ191 AJ193 AJ226:AJ232 AJ234:AJ244 AJ106:AJ112 AJ44 AJ65 AJ75:AJ78 AJ82:AJ88 AJ127:AO147 AJ203:AJ211 AJ157:AO180 AJ90:AJ91">
    <cfRule type="cellIs" dxfId="1357" priority="1557" operator="equal">
      <formula>FALSE</formula>
    </cfRule>
  </conditionalFormatting>
  <conditionalFormatting sqref="AK25:AK29 AK35:AK42 AK46:AK53 AK55:AK63 AK67:AK73 AK182:AK191 AK193 AK226:AK232 AK234:AK244 AK106:AK112 AK44 AK65 AK75:AK78 AK82:AK88 AK203:AK211 AK90:AK91">
    <cfRule type="cellIs" dxfId="1356" priority="1556" operator="equal">
      <formula>FALSE</formula>
    </cfRule>
  </conditionalFormatting>
  <conditionalFormatting sqref="AL25:AL29 AL35:AL42 AL46:AL53 AL55:AL63 AL67:AL73 AL182:AL191 AL193 AL226:AL232 AL234:AL244 AL106:AL112 AL44 AL65 AL75:AL78 AL82:AL88 AL203:AL211 AL90:AL91">
    <cfRule type="cellIs" dxfId="1355" priority="1555" operator="equal">
      <formula>FALSE</formula>
    </cfRule>
  </conditionalFormatting>
  <conditionalFormatting sqref="AM25:AM29 AM35:AM42 AM46:AM53 AM55:AM63 AM67:AM73 AM182:AM191 AM193 AM226:AM232 AM234:AM244 AM106:AM112 AM44 AM65 AM75:AM78 AM82:AM88 AM203:AM211 AM90:AM91">
    <cfRule type="cellIs" dxfId="1354" priority="1554" operator="equal">
      <formula>FALSE</formula>
    </cfRule>
  </conditionalFormatting>
  <conditionalFormatting sqref="AN25:AN29 AN35:AN42 AN46:AN53 AN55:AN63 AN67:AN73 AN182:AN191 AN193 AN226:AN232 AN234:AN244 AN106:AN112 AN44 AN65 AN75:AN78 AN82:AN88 AN203:AN211 AN90:AN91">
    <cfRule type="cellIs" dxfId="1353" priority="1553" operator="equal">
      <formula>FALSE</formula>
    </cfRule>
  </conditionalFormatting>
  <conditionalFormatting sqref="AP35:AP42 AP44">
    <cfRule type="cellIs" dxfId="1352" priority="1552" operator="equal">
      <formula>"INVALID"</formula>
    </cfRule>
  </conditionalFormatting>
  <conditionalFormatting sqref="AJ35:AJ42 AJ44">
    <cfRule type="cellIs" dxfId="1351" priority="1551" operator="equal">
      <formula>"INVALID"</formula>
    </cfRule>
  </conditionalFormatting>
  <conditionalFormatting sqref="AK35:AK42 AK44">
    <cfRule type="cellIs" dxfId="1350" priority="1550" operator="equal">
      <formula>"INVALID"</formula>
    </cfRule>
  </conditionalFormatting>
  <conditionalFormatting sqref="AL35:AM42 AL44:AM44">
    <cfRule type="cellIs" dxfId="1349" priority="1549" operator="equal">
      <formula>"INVALID"</formula>
    </cfRule>
  </conditionalFormatting>
  <conditionalFormatting sqref="AK35:AK42 AK44">
    <cfRule type="cellIs" dxfId="1348" priority="1548" operator="equal">
      <formula>"INVALID"</formula>
    </cfRule>
  </conditionalFormatting>
  <conditionalFormatting sqref="AL35:AL42 AL44">
    <cfRule type="cellIs" dxfId="1347" priority="1547" operator="equal">
      <formula>"INVALID"</formula>
    </cfRule>
  </conditionalFormatting>
  <conditionalFormatting sqref="AM35:AM42 AM44">
    <cfRule type="cellIs" dxfId="1346" priority="1546" operator="equal">
      <formula>"INVALID"</formula>
    </cfRule>
  </conditionalFormatting>
  <conditionalFormatting sqref="AN35:AN42 AN44">
    <cfRule type="cellIs" dxfId="1345" priority="1545" operator="equal">
      <formula>"INVALID"</formula>
    </cfRule>
  </conditionalFormatting>
  <conditionalFormatting sqref="AP46:AP53">
    <cfRule type="cellIs" dxfId="1344" priority="1544" operator="equal">
      <formula>"INVALID"</formula>
    </cfRule>
  </conditionalFormatting>
  <conditionalFormatting sqref="AJ46:AJ53">
    <cfRule type="cellIs" dxfId="1343" priority="1543" operator="equal">
      <formula>"INVALID"</formula>
    </cfRule>
  </conditionalFormatting>
  <conditionalFormatting sqref="AK46:AK53">
    <cfRule type="cellIs" dxfId="1342" priority="1542" operator="equal">
      <formula>"INVALID"</formula>
    </cfRule>
  </conditionalFormatting>
  <conditionalFormatting sqref="AL46:AM53">
    <cfRule type="cellIs" dxfId="1341" priority="1541" operator="equal">
      <formula>"INVALID"</formula>
    </cfRule>
  </conditionalFormatting>
  <conditionalFormatting sqref="AK46:AK53">
    <cfRule type="cellIs" dxfId="1340" priority="1540" operator="equal">
      <formula>"INVALID"</formula>
    </cfRule>
  </conditionalFormatting>
  <conditionalFormatting sqref="AL46:AL53">
    <cfRule type="cellIs" dxfId="1339" priority="1539" operator="equal">
      <formula>"INVALID"</formula>
    </cfRule>
  </conditionalFormatting>
  <conditionalFormatting sqref="AM46:AM53">
    <cfRule type="cellIs" dxfId="1338" priority="1538" operator="equal">
      <formula>"INVALID"</formula>
    </cfRule>
  </conditionalFormatting>
  <conditionalFormatting sqref="AN46:AN53">
    <cfRule type="cellIs" dxfId="1337" priority="1537" operator="equal">
      <formula>"INVALID"</formula>
    </cfRule>
  </conditionalFormatting>
  <conditionalFormatting sqref="AP55:AP63 AP65">
    <cfRule type="cellIs" dxfId="1336" priority="1536" operator="equal">
      <formula>"INVALID"</formula>
    </cfRule>
  </conditionalFormatting>
  <conditionalFormatting sqref="AJ55:AJ63 AJ65">
    <cfRule type="cellIs" dxfId="1335" priority="1535" operator="equal">
      <formula>"INVALID"</formula>
    </cfRule>
  </conditionalFormatting>
  <conditionalFormatting sqref="AK55:AK63 AK65">
    <cfRule type="cellIs" dxfId="1334" priority="1534" operator="equal">
      <formula>"INVALID"</formula>
    </cfRule>
  </conditionalFormatting>
  <conditionalFormatting sqref="AL55:AM63 AL65:AM65">
    <cfRule type="cellIs" dxfId="1333" priority="1533" operator="equal">
      <formula>"INVALID"</formula>
    </cfRule>
  </conditionalFormatting>
  <conditionalFormatting sqref="AK55:AK63 AK65">
    <cfRule type="cellIs" dxfId="1332" priority="1532" operator="equal">
      <formula>"INVALID"</formula>
    </cfRule>
  </conditionalFormatting>
  <conditionalFormatting sqref="AL55:AL63 AL65">
    <cfRule type="cellIs" dxfId="1331" priority="1531" operator="equal">
      <formula>"INVALID"</formula>
    </cfRule>
  </conditionalFormatting>
  <conditionalFormatting sqref="AM55:AM63 AM65">
    <cfRule type="cellIs" dxfId="1330" priority="1530" operator="equal">
      <formula>"INVALID"</formula>
    </cfRule>
  </conditionalFormatting>
  <conditionalFormatting sqref="AN55:AN63 AN65">
    <cfRule type="cellIs" dxfId="1329" priority="1529" operator="equal">
      <formula>"INVALID"</formula>
    </cfRule>
  </conditionalFormatting>
  <conditionalFormatting sqref="AP67:AP73 AP75:AP78">
    <cfRule type="cellIs" dxfId="1328" priority="1528" operator="equal">
      <formula>"INVALID"</formula>
    </cfRule>
  </conditionalFormatting>
  <conditionalFormatting sqref="AJ67:AJ73 AJ75:AJ78">
    <cfRule type="cellIs" dxfId="1327" priority="1527" operator="equal">
      <formula>"INVALID"</formula>
    </cfRule>
  </conditionalFormatting>
  <conditionalFormatting sqref="AK67:AK73 AK75:AK78">
    <cfRule type="cellIs" dxfId="1326" priority="1526" operator="equal">
      <formula>"INVALID"</formula>
    </cfRule>
  </conditionalFormatting>
  <conditionalFormatting sqref="AL67:AM73 AL75:AM78">
    <cfRule type="cellIs" dxfId="1325" priority="1525" operator="equal">
      <formula>"INVALID"</formula>
    </cfRule>
  </conditionalFormatting>
  <conditionalFormatting sqref="AK67:AK73 AK75:AK78">
    <cfRule type="cellIs" dxfId="1324" priority="1524" operator="equal">
      <formula>"INVALID"</formula>
    </cfRule>
  </conditionalFormatting>
  <conditionalFormatting sqref="AL67:AL73 AL75:AL78">
    <cfRule type="cellIs" dxfId="1323" priority="1523" operator="equal">
      <formula>"INVALID"</formula>
    </cfRule>
  </conditionalFormatting>
  <conditionalFormatting sqref="AM67:AM73 AM75:AM78">
    <cfRule type="cellIs" dxfId="1322" priority="1522" operator="equal">
      <formula>"INVALID"</formula>
    </cfRule>
  </conditionalFormatting>
  <conditionalFormatting sqref="AN67:AN73 AN75:AN78">
    <cfRule type="cellIs" dxfId="1321" priority="1521" operator="equal">
      <formula>"INVALID"</formula>
    </cfRule>
  </conditionalFormatting>
  <conditionalFormatting sqref="AP82:AP88 AP90:AP91">
    <cfRule type="cellIs" dxfId="1320" priority="1520" operator="equal">
      <formula>"INVALID"</formula>
    </cfRule>
  </conditionalFormatting>
  <conditionalFormatting sqref="AJ82:AJ88 AJ90:AJ91">
    <cfRule type="cellIs" dxfId="1319" priority="1519" operator="equal">
      <formula>"INVALID"</formula>
    </cfRule>
  </conditionalFormatting>
  <conditionalFormatting sqref="AK82:AK88 AK90:AK91">
    <cfRule type="cellIs" dxfId="1318" priority="1518" operator="equal">
      <formula>"INVALID"</formula>
    </cfRule>
  </conditionalFormatting>
  <conditionalFormatting sqref="AL82:AM88 AL90:AM91">
    <cfRule type="cellIs" dxfId="1317" priority="1517" operator="equal">
      <formula>"INVALID"</formula>
    </cfRule>
  </conditionalFormatting>
  <conditionalFormatting sqref="AK82:AK88 AK90:AK91">
    <cfRule type="cellIs" dxfId="1316" priority="1516" operator="equal">
      <formula>"INVALID"</formula>
    </cfRule>
  </conditionalFormatting>
  <conditionalFormatting sqref="AL82:AL88 AL90:AL91">
    <cfRule type="cellIs" dxfId="1315" priority="1515" operator="equal">
      <formula>"INVALID"</formula>
    </cfRule>
  </conditionalFormatting>
  <conditionalFormatting sqref="AM82:AM88 AM90:AM91">
    <cfRule type="cellIs" dxfId="1314" priority="1514" operator="equal">
      <formula>"INVALID"</formula>
    </cfRule>
  </conditionalFormatting>
  <conditionalFormatting sqref="AN82:AN88 AN90:AN91">
    <cfRule type="cellIs" dxfId="1313" priority="1513" operator="equal">
      <formula>"INVALID"</formula>
    </cfRule>
  </conditionalFormatting>
  <conditionalFormatting sqref="AP106:AP112">
    <cfRule type="cellIs" dxfId="1312" priority="1504" operator="equal">
      <formula>"INVALID"</formula>
    </cfRule>
  </conditionalFormatting>
  <conditionalFormatting sqref="AJ106:AJ112">
    <cfRule type="cellIs" dxfId="1311" priority="1503" operator="equal">
      <formula>"INVALID"</formula>
    </cfRule>
  </conditionalFormatting>
  <conditionalFormatting sqref="AK106:AK112">
    <cfRule type="cellIs" dxfId="1310" priority="1502" operator="equal">
      <formula>"INVALID"</formula>
    </cfRule>
  </conditionalFormatting>
  <conditionalFormatting sqref="AL106:AM112">
    <cfRule type="cellIs" dxfId="1309" priority="1501" operator="equal">
      <formula>"INVALID"</formula>
    </cfRule>
  </conditionalFormatting>
  <conditionalFormatting sqref="AK106:AK112">
    <cfRule type="cellIs" dxfId="1308" priority="1500" operator="equal">
      <formula>"INVALID"</formula>
    </cfRule>
  </conditionalFormatting>
  <conditionalFormatting sqref="AL106:AL112">
    <cfRule type="cellIs" dxfId="1307" priority="1499" operator="equal">
      <formula>"INVALID"</formula>
    </cfRule>
  </conditionalFormatting>
  <conditionalFormatting sqref="AM106:AM112">
    <cfRule type="cellIs" dxfId="1306" priority="1498" operator="equal">
      <formula>"INVALID"</formula>
    </cfRule>
  </conditionalFormatting>
  <conditionalFormatting sqref="AN106:AN112">
    <cfRule type="cellIs" dxfId="1305" priority="1497" operator="equal">
      <formula>"INVALID"</formula>
    </cfRule>
  </conditionalFormatting>
  <conditionalFormatting sqref="AP182:AP191">
    <cfRule type="cellIs" dxfId="1304" priority="1496" operator="equal">
      <formula>"INVALID"</formula>
    </cfRule>
  </conditionalFormatting>
  <conditionalFormatting sqref="AJ182:AJ191">
    <cfRule type="cellIs" dxfId="1303" priority="1495" operator="equal">
      <formula>"INVALID"</formula>
    </cfRule>
  </conditionalFormatting>
  <conditionalFormatting sqref="AK182:AK191">
    <cfRule type="cellIs" dxfId="1302" priority="1494" operator="equal">
      <formula>"INVALID"</formula>
    </cfRule>
  </conditionalFormatting>
  <conditionalFormatting sqref="AL182:AM191">
    <cfRule type="cellIs" dxfId="1301" priority="1493" operator="equal">
      <formula>"INVALID"</formula>
    </cfRule>
  </conditionalFormatting>
  <conditionalFormatting sqref="AK182:AK191">
    <cfRule type="cellIs" dxfId="1300" priority="1492" operator="equal">
      <formula>"INVALID"</formula>
    </cfRule>
  </conditionalFormatting>
  <conditionalFormatting sqref="AL182:AL191">
    <cfRule type="cellIs" dxfId="1299" priority="1491" operator="equal">
      <formula>"INVALID"</formula>
    </cfRule>
  </conditionalFormatting>
  <conditionalFormatting sqref="AM182:AM191">
    <cfRule type="cellIs" dxfId="1298" priority="1490" operator="equal">
      <formula>"INVALID"</formula>
    </cfRule>
  </conditionalFormatting>
  <conditionalFormatting sqref="AN182:AN191">
    <cfRule type="cellIs" dxfId="1297" priority="1489" operator="equal">
      <formula>"INVALID"</formula>
    </cfRule>
  </conditionalFormatting>
  <conditionalFormatting sqref="AP193 AP203:AP211">
    <cfRule type="cellIs" dxfId="1296" priority="1488" operator="equal">
      <formula>"INVALID"</formula>
    </cfRule>
  </conditionalFormatting>
  <conditionalFormatting sqref="AJ193 AJ203:AJ211">
    <cfRule type="cellIs" dxfId="1295" priority="1487" operator="equal">
      <formula>"INVALID"</formula>
    </cfRule>
  </conditionalFormatting>
  <conditionalFormatting sqref="AK193 AK203:AK211">
    <cfRule type="cellIs" dxfId="1294" priority="1486" operator="equal">
      <formula>"INVALID"</formula>
    </cfRule>
  </conditionalFormatting>
  <conditionalFormatting sqref="AL193:AM193 AL203:AM211">
    <cfRule type="cellIs" dxfId="1293" priority="1485" operator="equal">
      <formula>"INVALID"</formula>
    </cfRule>
  </conditionalFormatting>
  <conditionalFormatting sqref="AK193 AK203:AK211">
    <cfRule type="cellIs" dxfId="1292" priority="1484" operator="equal">
      <formula>"INVALID"</formula>
    </cfRule>
  </conditionalFormatting>
  <conditionalFormatting sqref="AL193 AL203:AL211">
    <cfRule type="cellIs" dxfId="1291" priority="1483" operator="equal">
      <formula>"INVALID"</formula>
    </cfRule>
  </conditionalFormatting>
  <conditionalFormatting sqref="AM193 AM203:AM211">
    <cfRule type="cellIs" dxfId="1290" priority="1482" operator="equal">
      <formula>"INVALID"</formula>
    </cfRule>
  </conditionalFormatting>
  <conditionalFormatting sqref="AN193 AN203:AN211">
    <cfRule type="cellIs" dxfId="1289" priority="1481" operator="equal">
      <formula>"INVALID"</formula>
    </cfRule>
  </conditionalFormatting>
  <conditionalFormatting sqref="AP226:AP232">
    <cfRule type="cellIs" dxfId="1288" priority="1480" operator="equal">
      <formula>"INVALID"</formula>
    </cfRule>
  </conditionalFormatting>
  <conditionalFormatting sqref="AJ226:AJ232">
    <cfRule type="cellIs" dxfId="1287" priority="1479" operator="equal">
      <formula>"INVALID"</formula>
    </cfRule>
  </conditionalFormatting>
  <conditionalFormatting sqref="AK226:AK232">
    <cfRule type="cellIs" dxfId="1286" priority="1478" operator="equal">
      <formula>"INVALID"</formula>
    </cfRule>
  </conditionalFormatting>
  <conditionalFormatting sqref="AL226:AM232">
    <cfRule type="cellIs" dxfId="1285" priority="1477" operator="equal">
      <formula>"INVALID"</formula>
    </cfRule>
  </conditionalFormatting>
  <conditionalFormatting sqref="AK226:AK232">
    <cfRule type="cellIs" dxfId="1284" priority="1476" operator="equal">
      <formula>"INVALID"</formula>
    </cfRule>
  </conditionalFormatting>
  <conditionalFormatting sqref="AL226:AL232">
    <cfRule type="cellIs" dxfId="1283" priority="1475" operator="equal">
      <formula>"INVALID"</formula>
    </cfRule>
  </conditionalFormatting>
  <conditionalFormatting sqref="AM226:AM232">
    <cfRule type="cellIs" dxfId="1282" priority="1474" operator="equal">
      <formula>"INVALID"</formula>
    </cfRule>
  </conditionalFormatting>
  <conditionalFormatting sqref="AN226:AN232">
    <cfRule type="cellIs" dxfId="1281" priority="1473" operator="equal">
      <formula>"INVALID"</formula>
    </cfRule>
  </conditionalFormatting>
  <conditionalFormatting sqref="AP234:AP244">
    <cfRule type="cellIs" dxfId="1280" priority="1472" operator="equal">
      <formula>"INVALID"</formula>
    </cfRule>
  </conditionalFormatting>
  <conditionalFormatting sqref="AJ234:AJ244">
    <cfRule type="cellIs" dxfId="1279" priority="1471" operator="equal">
      <formula>"INVALID"</formula>
    </cfRule>
  </conditionalFormatting>
  <conditionalFormatting sqref="AK234:AK244">
    <cfRule type="cellIs" dxfId="1278" priority="1470" operator="equal">
      <formula>"INVALID"</formula>
    </cfRule>
  </conditionalFormatting>
  <conditionalFormatting sqref="AL234:AM244">
    <cfRule type="cellIs" dxfId="1277" priority="1469" operator="equal">
      <formula>"INVALID"</formula>
    </cfRule>
  </conditionalFormatting>
  <conditionalFormatting sqref="AK234:AK244">
    <cfRule type="cellIs" dxfId="1276" priority="1468" operator="equal">
      <formula>"INVALID"</formula>
    </cfRule>
  </conditionalFormatting>
  <conditionalFormatting sqref="AL234:AL244">
    <cfRule type="cellIs" dxfId="1275" priority="1467" operator="equal">
      <formula>"INVALID"</formula>
    </cfRule>
  </conditionalFormatting>
  <conditionalFormatting sqref="AM234:AM244">
    <cfRule type="cellIs" dxfId="1274" priority="1466" operator="equal">
      <formula>"INVALID"</formula>
    </cfRule>
  </conditionalFormatting>
  <conditionalFormatting sqref="AN234:AN244">
    <cfRule type="cellIs" dxfId="1273" priority="1465" operator="equal">
      <formula>"INVALID"</formula>
    </cfRule>
  </conditionalFormatting>
  <conditionalFormatting sqref="AT178 AT206 AT229 AT219">
    <cfRule type="expression" dxfId="1272" priority="1464">
      <formula>NOT($AM178)</formula>
    </cfRule>
  </conditionalFormatting>
  <conditionalFormatting sqref="AQ25:AQ29 AQ193 AQ182:AQ191 AQ106:AQ112 AQ67:AQ73 AQ55:AQ63 AQ35:AQ42 AQ23 AQ44 AQ46:AQ53 AQ65 AQ127:AQ147 AQ203:AQ211 AQ226:AQ232 AQ244 AQ158:AQ180 AQ223:AQ224 AQ82:AQ88 AQ90:AQ91 AQ104">
    <cfRule type="expression" dxfId="1271" priority="1463">
      <formula>NOT($AJ23)</formula>
    </cfRule>
    <cfRule type="expression" dxfId="1270" priority="1661">
      <formula>RIGHT($AQ23, 1)="*"</formula>
    </cfRule>
  </conditionalFormatting>
  <conditionalFormatting sqref="AS25:AS29 AS193 AY182:AZ191 AY106:AZ112 AS106:AS112 AY67:AZ73 AS67:AS73 AS55:AS63 AS35:AS42 AS23 AS44 AY46:AZ53 AS46:AS53 AS65 AS75:AS78 AY127:AZ147 AS127:AS147 AS203:AS211 AY226:AZ232 AS226:AS231 AY234:AZ244 AS234:AS244 AS10:AS21 AY22:AZ23 AY25:AZ33 AY35:AZ44 AY55:AZ65 AS149:AS180 AY193:AZ211 AS213 AS223:AS224 AY214:AZ224 AS246:AS247 AY75:AZ80 AS182:AS191 AY158:AZ180 AY82:AZ88 AS82:AS88 AY90:AZ91 AY104:AZ104 AS104 AS114:AS125">
    <cfRule type="expression" dxfId="1269" priority="1462">
      <formula>NOT($AN10)</formula>
    </cfRule>
  </conditionalFormatting>
  <conditionalFormatting sqref="AS25:AS29 AS193 AS182:AS191 AS106:AS112 AS67:AS73 AS55:AS63 AS35:AS42 AS23 AS44 AS46:AS53 AS65 AS75:AS78 AS127:AS147 AS203:AS211 AS226:AS231 AS234:AS244 AS157:AS180 AS223:AS224 AS82:AS88 AS104 AS114:AS125">
    <cfRule type="expression" dxfId="1268" priority="1461">
      <formula>NOT($AK23)</formula>
    </cfRule>
  </conditionalFormatting>
  <conditionalFormatting sqref="Q191">
    <cfRule type="cellIs" dxfId="1267" priority="1460" operator="equal">
      <formula>"INVALID"</formula>
    </cfRule>
  </conditionalFormatting>
  <conditionalFormatting sqref="R191">
    <cfRule type="cellIs" dxfId="1266" priority="1459" operator="equal">
      <formula>"INVALID"</formula>
    </cfRule>
  </conditionalFormatting>
  <conditionalFormatting sqref="S191">
    <cfRule type="cellIs" dxfId="1265" priority="1458" operator="equal">
      <formula>"INVALID"</formula>
    </cfRule>
  </conditionalFormatting>
  <conditionalFormatting sqref="T191">
    <cfRule type="cellIs" dxfId="1264" priority="1457" operator="equal">
      <formula>"INVALID"</formula>
    </cfRule>
  </conditionalFormatting>
  <conditionalFormatting sqref="U191:V191">
    <cfRule type="cellIs" dxfId="1263" priority="1456" operator="equal">
      <formula>"INVALID"</formula>
    </cfRule>
  </conditionalFormatting>
  <conditionalFormatting sqref="AD10:AF18 AH10:AI18">
    <cfRule type="cellIs" dxfId="1262" priority="1409" operator="equal">
      <formula>"INVALID"</formula>
    </cfRule>
  </conditionalFormatting>
  <conditionalFormatting sqref="AO25:AO29 AO35:AO42 AO46:AO53 AO55:AO63 AO67:AO73 AO182:AO191 AO193 AO226:AO232 AO234:AO244 AO106:AO112 AO44 AO65 AO75:AO78 AO82:AO88 AO203:AO211 AO90:AO91">
    <cfRule type="cellIs" dxfId="1261" priority="1455" operator="equal">
      <formula>FALSE</formula>
    </cfRule>
  </conditionalFormatting>
  <conditionalFormatting sqref="AO35:AO42 AO44">
    <cfRule type="cellIs" dxfId="1260" priority="1454" operator="equal">
      <formula>"INVALID"</formula>
    </cfRule>
  </conditionalFormatting>
  <conditionalFormatting sqref="AO35:AO42 AO44">
    <cfRule type="cellIs" dxfId="1259" priority="1453" operator="equal">
      <formula>"INVALID"</formula>
    </cfRule>
  </conditionalFormatting>
  <conditionalFormatting sqref="AO46:AO53">
    <cfRule type="cellIs" dxfId="1258" priority="1452" operator="equal">
      <formula>"INVALID"</formula>
    </cfRule>
  </conditionalFormatting>
  <conditionalFormatting sqref="AO46:AO53">
    <cfRule type="cellIs" dxfId="1257" priority="1451" operator="equal">
      <formula>"INVALID"</formula>
    </cfRule>
  </conditionalFormatting>
  <conditionalFormatting sqref="AO55:AO63 AO65">
    <cfRule type="cellIs" dxfId="1256" priority="1450" operator="equal">
      <formula>"INVALID"</formula>
    </cfRule>
  </conditionalFormatting>
  <conditionalFormatting sqref="AO55:AO63 AO65">
    <cfRule type="cellIs" dxfId="1255" priority="1449" operator="equal">
      <formula>"INVALID"</formula>
    </cfRule>
  </conditionalFormatting>
  <conditionalFormatting sqref="AO67:AO73 AO75:AO78">
    <cfRule type="cellIs" dxfId="1254" priority="1448" operator="equal">
      <formula>"INVALID"</formula>
    </cfRule>
  </conditionalFormatting>
  <conditionalFormatting sqref="AO67:AO73 AO75:AO78">
    <cfRule type="cellIs" dxfId="1253" priority="1447" operator="equal">
      <formula>"INVALID"</formula>
    </cfRule>
  </conditionalFormatting>
  <conditionalFormatting sqref="AO82:AO88 AO90:AO91">
    <cfRule type="cellIs" dxfId="1252" priority="1446" operator="equal">
      <formula>"INVALID"</formula>
    </cfRule>
  </conditionalFormatting>
  <conditionalFormatting sqref="AO82:AO88 AO90:AO91">
    <cfRule type="cellIs" dxfId="1251" priority="1445" operator="equal">
      <formula>"INVALID"</formula>
    </cfRule>
  </conditionalFormatting>
  <conditionalFormatting sqref="AO106:AO112">
    <cfRule type="cellIs" dxfId="1250" priority="1442" operator="equal">
      <formula>"INVALID"</formula>
    </cfRule>
  </conditionalFormatting>
  <conditionalFormatting sqref="AO106:AO112">
    <cfRule type="cellIs" dxfId="1249" priority="1441" operator="equal">
      <formula>"INVALID"</formula>
    </cfRule>
  </conditionalFormatting>
  <conditionalFormatting sqref="AO182:AO191">
    <cfRule type="cellIs" dxfId="1248" priority="1440" operator="equal">
      <formula>"INVALID"</formula>
    </cfRule>
  </conditionalFormatting>
  <conditionalFormatting sqref="AO182:AO191">
    <cfRule type="cellIs" dxfId="1247" priority="1439" operator="equal">
      <formula>"INVALID"</formula>
    </cfRule>
  </conditionalFormatting>
  <conditionalFormatting sqref="AO193 AO203:AO211">
    <cfRule type="cellIs" dxfId="1246" priority="1438" operator="equal">
      <formula>"INVALID"</formula>
    </cfRule>
  </conditionalFormatting>
  <conditionalFormatting sqref="AO193 AO203:AO211">
    <cfRule type="cellIs" dxfId="1245" priority="1437" operator="equal">
      <formula>"INVALID"</formula>
    </cfRule>
  </conditionalFormatting>
  <conditionalFormatting sqref="AO226:AO232">
    <cfRule type="cellIs" dxfId="1244" priority="1436" operator="equal">
      <formula>"INVALID"</formula>
    </cfRule>
  </conditionalFormatting>
  <conditionalFormatting sqref="AO226:AO232">
    <cfRule type="cellIs" dxfId="1243" priority="1435" operator="equal">
      <formula>"INVALID"</formula>
    </cfRule>
  </conditionalFormatting>
  <conditionalFormatting sqref="AO234:AO244">
    <cfRule type="cellIs" dxfId="1242" priority="1434" operator="equal">
      <formula>"INVALID"</formula>
    </cfRule>
  </conditionalFormatting>
  <conditionalFormatting sqref="AO234:AO244">
    <cfRule type="cellIs" dxfId="1241" priority="1433" operator="equal">
      <formula>"INVALID"</formula>
    </cfRule>
  </conditionalFormatting>
  <conditionalFormatting sqref="AH127:AH136 AD127:AF136">
    <cfRule type="cellIs" dxfId="1240" priority="1432" operator="equal">
      <formula>"INVALID"</formula>
    </cfRule>
  </conditionalFormatting>
  <conditionalFormatting sqref="AD137:AF141 AH137:AH141">
    <cfRule type="cellIs" dxfId="1239" priority="1431" operator="equal">
      <formula>"INVALID"</formula>
    </cfRule>
  </conditionalFormatting>
  <conditionalFormatting sqref="AH106">
    <cfRule type="cellIs" dxfId="1238" priority="1430" operator="equal">
      <formula>"INVALID"</formula>
    </cfRule>
  </conditionalFormatting>
  <conditionalFormatting sqref="AI106:AI111">
    <cfRule type="cellIs" dxfId="1237" priority="1428" operator="equal">
      <formula>"INVALID"</formula>
    </cfRule>
  </conditionalFormatting>
  <conditionalFormatting sqref="AI106:AI111">
    <cfRule type="cellIs" dxfId="1236" priority="1427" operator="equal">
      <formula>"INVALID"</formula>
    </cfRule>
  </conditionalFormatting>
  <conditionalFormatting sqref="AI106:AI111">
    <cfRule type="cellIs" dxfId="1235" priority="1426" operator="equal">
      <formula>"INVALID"</formula>
    </cfRule>
  </conditionalFormatting>
  <conditionalFormatting sqref="AI182:AI191">
    <cfRule type="cellIs" dxfId="1234" priority="1425" operator="equal">
      <formula>"INVALID"</formula>
    </cfRule>
  </conditionalFormatting>
  <conditionalFormatting sqref="AI182:AI191">
    <cfRule type="cellIs" dxfId="1233" priority="1424" operator="equal">
      <formula>"INVALID"</formula>
    </cfRule>
  </conditionalFormatting>
  <conditionalFormatting sqref="AI182:AI191">
    <cfRule type="cellIs" dxfId="1232" priority="1423" operator="equal">
      <formula>"INVALID"</formula>
    </cfRule>
  </conditionalFormatting>
  <conditionalFormatting sqref="AI182:AI191">
    <cfRule type="cellIs" dxfId="1231" priority="1422" operator="equal">
      <formula>"INVALID"</formula>
    </cfRule>
  </conditionalFormatting>
  <conditionalFormatting sqref="AI193 AI203:AI211">
    <cfRule type="cellIs" dxfId="1230" priority="1421" operator="equal">
      <formula>"INVALID"</formula>
    </cfRule>
  </conditionalFormatting>
  <conditionalFormatting sqref="AI193 AI203:AI211">
    <cfRule type="cellIs" dxfId="1229" priority="1420" operator="equal">
      <formula>"INVALID"</formula>
    </cfRule>
  </conditionalFormatting>
  <conditionalFormatting sqref="AI193 AI203:AI211">
    <cfRule type="cellIs" dxfId="1228" priority="1419" operator="equal">
      <formula>"INVALID"</formula>
    </cfRule>
  </conditionalFormatting>
  <conditionalFormatting sqref="AI193 AI203:AI211">
    <cfRule type="cellIs" dxfId="1227" priority="1418" operator="equal">
      <formula>"INVALID"</formula>
    </cfRule>
  </conditionalFormatting>
  <conditionalFormatting sqref="AI226:AI232">
    <cfRule type="cellIs" dxfId="1226" priority="1417" operator="equal">
      <formula>"INVALID"</formula>
    </cfRule>
  </conditionalFormatting>
  <conditionalFormatting sqref="AI226:AI232">
    <cfRule type="cellIs" dxfId="1225" priority="1416" operator="equal">
      <formula>"INVALID"</formula>
    </cfRule>
  </conditionalFormatting>
  <conditionalFormatting sqref="AI226:AI232">
    <cfRule type="cellIs" dxfId="1224" priority="1415" operator="equal">
      <formula>"INVALID"</formula>
    </cfRule>
  </conditionalFormatting>
  <conditionalFormatting sqref="AI226:AI232">
    <cfRule type="cellIs" dxfId="1223" priority="1414" operator="equal">
      <formula>"INVALID"</formula>
    </cfRule>
  </conditionalFormatting>
  <conditionalFormatting sqref="AI234:AI244">
    <cfRule type="cellIs" dxfId="1222" priority="1413" operator="equal">
      <formula>"INVALID"</formula>
    </cfRule>
  </conditionalFormatting>
  <conditionalFormatting sqref="AI234:AI244">
    <cfRule type="cellIs" dxfId="1221" priority="1412" operator="equal">
      <formula>"INVALID"</formula>
    </cfRule>
  </conditionalFormatting>
  <conditionalFormatting sqref="AI234:AI244">
    <cfRule type="cellIs" dxfId="1220" priority="1411" operator="equal">
      <formula>"INVALID"</formula>
    </cfRule>
  </conditionalFormatting>
  <conditionalFormatting sqref="AI234:AI244">
    <cfRule type="cellIs" dxfId="1219" priority="1410" operator="equal">
      <formula>"INVALID"</formula>
    </cfRule>
  </conditionalFormatting>
  <conditionalFormatting sqref="AR10:AR18">
    <cfRule type="cellIs" dxfId="1218" priority="1407" operator="equal">
      <formula>"Not Assigned"</formula>
    </cfRule>
  </conditionalFormatting>
  <conditionalFormatting sqref="AS10:AS18">
    <cfRule type="expression" dxfId="1217" priority="1406">
      <formula>EXACT(AF10, "INVALID")</formula>
    </cfRule>
  </conditionalFormatting>
  <conditionalFormatting sqref="AY10:AY18">
    <cfRule type="expression" dxfId="1216" priority="1405">
      <formula>AND(NOT(ISBLANK(AY10)), EXACT(AF10, "INVALID"))</formula>
    </cfRule>
  </conditionalFormatting>
  <conditionalFormatting sqref="AZ10:AZ18">
    <cfRule type="expression" dxfId="1215" priority="1404">
      <formula>AND(NOT(ISBLANK(AZ10)), EXACT(AF10, "INVALID"))</formula>
    </cfRule>
  </conditionalFormatting>
  <conditionalFormatting sqref="AR10:AR18">
    <cfRule type="expression" dxfId="1214" priority="1403">
      <formula>NOT($AL10)</formula>
    </cfRule>
  </conditionalFormatting>
  <conditionalFormatting sqref="AQ10:AQ18">
    <cfRule type="expression" dxfId="1213" priority="1408" stopIfTrue="1">
      <formula>REPLACE($AQ10,8,LEN($AQ10),"")="unused_"</formula>
    </cfRule>
  </conditionalFormatting>
  <conditionalFormatting sqref="AJ10:AJ18">
    <cfRule type="cellIs" dxfId="1212" priority="1401" operator="equal">
      <formula>FALSE</formula>
    </cfRule>
  </conditionalFormatting>
  <conditionalFormatting sqref="AK10:AK18">
    <cfRule type="cellIs" dxfId="1211" priority="1400" operator="equal">
      <formula>FALSE</formula>
    </cfRule>
  </conditionalFormatting>
  <conditionalFormatting sqref="AL10:AL18">
    <cfRule type="cellIs" dxfId="1210" priority="1399" operator="equal">
      <formula>FALSE</formula>
    </cfRule>
  </conditionalFormatting>
  <conditionalFormatting sqref="AM10:AM18">
    <cfRule type="cellIs" dxfId="1209" priority="1398" operator="equal">
      <formula>FALSE</formula>
    </cfRule>
  </conditionalFormatting>
  <conditionalFormatting sqref="AN10:AN18">
    <cfRule type="cellIs" dxfId="1208" priority="1397" operator="equal">
      <formula>FALSE</formula>
    </cfRule>
  </conditionalFormatting>
  <conditionalFormatting sqref="AP10:AP18">
    <cfRule type="cellIs" dxfId="1207" priority="1396" operator="equal">
      <formula>"INVALID"</formula>
    </cfRule>
  </conditionalFormatting>
  <conditionalFormatting sqref="AJ10:AJ18">
    <cfRule type="cellIs" dxfId="1206" priority="1395" operator="equal">
      <formula>"INVALID"</formula>
    </cfRule>
  </conditionalFormatting>
  <conditionalFormatting sqref="AK10:AK18">
    <cfRule type="cellIs" dxfId="1205" priority="1394" operator="equal">
      <formula>"INVALID"</formula>
    </cfRule>
  </conditionalFormatting>
  <conditionalFormatting sqref="AL10:AM18">
    <cfRule type="cellIs" dxfId="1204" priority="1393" operator="equal">
      <formula>"INVALID"</formula>
    </cfRule>
  </conditionalFormatting>
  <conditionalFormatting sqref="AK10:AK18">
    <cfRule type="cellIs" dxfId="1203" priority="1392" operator="equal">
      <formula>"INVALID"</formula>
    </cfRule>
  </conditionalFormatting>
  <conditionalFormatting sqref="AL10:AL18">
    <cfRule type="cellIs" dxfId="1202" priority="1391" operator="equal">
      <formula>"INVALID"</formula>
    </cfRule>
  </conditionalFormatting>
  <conditionalFormatting sqref="AM10:AM18">
    <cfRule type="cellIs" dxfId="1201" priority="1390" operator="equal">
      <formula>"INVALID"</formula>
    </cfRule>
  </conditionalFormatting>
  <conditionalFormatting sqref="AN10:AN18">
    <cfRule type="cellIs" dxfId="1200" priority="1389" operator="equal">
      <formula>"INVALID"</formula>
    </cfRule>
  </conditionalFormatting>
  <conditionalFormatting sqref="AT13">
    <cfRule type="expression" dxfId="1199" priority="1388">
      <formula>NOT($AM13)</formula>
    </cfRule>
  </conditionalFormatting>
  <conditionalFormatting sqref="AQ10:AQ18">
    <cfRule type="expression" dxfId="1198" priority="1387">
      <formula>NOT($AJ10)</formula>
    </cfRule>
    <cfRule type="expression" dxfId="1197" priority="1402">
      <formula>RIGHT($AQ10, 1)="*"</formula>
    </cfRule>
  </conditionalFormatting>
  <conditionalFormatting sqref="AY10:AZ18">
    <cfRule type="expression" dxfId="1196" priority="1386">
      <formula>NOT($AN10)</formula>
    </cfRule>
  </conditionalFormatting>
  <conditionalFormatting sqref="AS10:AS18">
    <cfRule type="expression" dxfId="1195" priority="1385">
      <formula>NOT($AK10)</formula>
    </cfRule>
  </conditionalFormatting>
  <conditionalFormatting sqref="AO10:AO18">
    <cfRule type="cellIs" dxfId="1194" priority="1384" operator="equal">
      <formula>FALSE</formula>
    </cfRule>
  </conditionalFormatting>
  <conditionalFormatting sqref="AO10:AO18">
    <cfRule type="cellIs" dxfId="1193" priority="1383" operator="equal">
      <formula>"INVALID"</formula>
    </cfRule>
  </conditionalFormatting>
  <conditionalFormatting sqref="AO10:AO18">
    <cfRule type="cellIs" dxfId="1192" priority="1382" operator="equal">
      <formula>"INVALID"</formula>
    </cfRule>
  </conditionalFormatting>
  <conditionalFormatting sqref="AD19:AF21 AD23:AF23 AH23:AI23 AH19:AI21">
    <cfRule type="cellIs" dxfId="1191" priority="1381" operator="equal">
      <formula>"INVALID"</formula>
    </cfRule>
  </conditionalFormatting>
  <conditionalFormatting sqref="AR19:AR21 AR23">
    <cfRule type="cellIs" dxfId="1190" priority="1379" operator="equal">
      <formula>"Not Assigned"</formula>
    </cfRule>
  </conditionalFormatting>
  <conditionalFormatting sqref="AS19:AS21">
    <cfRule type="expression" dxfId="1189" priority="1378">
      <formula>EXACT(AF19, "INVALID")</formula>
    </cfRule>
  </conditionalFormatting>
  <conditionalFormatting sqref="AY19:AY21">
    <cfRule type="expression" dxfId="1188" priority="1377">
      <formula>AND(NOT(ISBLANK(AY19)), EXACT(AF19, "INVALID"))</formula>
    </cfRule>
  </conditionalFormatting>
  <conditionalFormatting sqref="AZ19:AZ21">
    <cfRule type="expression" dxfId="1187" priority="1376">
      <formula>AND(NOT(ISBLANK(AZ19)), EXACT(AF19, "INVALID"))</formula>
    </cfRule>
  </conditionalFormatting>
  <conditionalFormatting sqref="AR19:AR21">
    <cfRule type="expression" dxfId="1186" priority="1375">
      <formula>NOT($AL19)</formula>
    </cfRule>
  </conditionalFormatting>
  <conditionalFormatting sqref="AQ19:AQ21">
    <cfRule type="expression" dxfId="1185" priority="1380" stopIfTrue="1">
      <formula>REPLACE($AQ19,8,LEN($AQ19),"")="unused_"</formula>
    </cfRule>
  </conditionalFormatting>
  <conditionalFormatting sqref="AJ19:AJ21 AJ23">
    <cfRule type="cellIs" dxfId="1184" priority="1373" operator="equal">
      <formula>FALSE</formula>
    </cfRule>
  </conditionalFormatting>
  <conditionalFormatting sqref="AK19:AK21 AK23">
    <cfRule type="cellIs" dxfId="1183" priority="1372" operator="equal">
      <formula>FALSE</formula>
    </cfRule>
  </conditionalFormatting>
  <conditionalFormatting sqref="AL19:AL21 AL23">
    <cfRule type="cellIs" dxfId="1182" priority="1371" operator="equal">
      <formula>FALSE</formula>
    </cfRule>
  </conditionalFormatting>
  <conditionalFormatting sqref="AM19:AM21 AM23">
    <cfRule type="cellIs" dxfId="1181" priority="1370" operator="equal">
      <formula>FALSE</formula>
    </cfRule>
  </conditionalFormatting>
  <conditionalFormatting sqref="AN19:AN21 AN23">
    <cfRule type="cellIs" dxfId="1180" priority="1369" operator="equal">
      <formula>FALSE</formula>
    </cfRule>
  </conditionalFormatting>
  <conditionalFormatting sqref="AP19:AP21 AP23">
    <cfRule type="cellIs" dxfId="1179" priority="1368" operator="equal">
      <formula>"INVALID"</formula>
    </cfRule>
  </conditionalFormatting>
  <conditionalFormatting sqref="AJ19:AJ21 AJ23">
    <cfRule type="cellIs" dxfId="1178" priority="1367" operator="equal">
      <formula>"INVALID"</formula>
    </cfRule>
  </conditionalFormatting>
  <conditionalFormatting sqref="AK19:AK21 AK23">
    <cfRule type="cellIs" dxfId="1177" priority="1366" operator="equal">
      <formula>"INVALID"</formula>
    </cfRule>
  </conditionalFormatting>
  <conditionalFormatting sqref="AL19:AM21 AL23:AM23">
    <cfRule type="cellIs" dxfId="1176" priority="1365" operator="equal">
      <formula>"INVALID"</formula>
    </cfRule>
  </conditionalFormatting>
  <conditionalFormatting sqref="AK19:AK21 AK23">
    <cfRule type="cellIs" dxfId="1175" priority="1364" operator="equal">
      <formula>"INVALID"</formula>
    </cfRule>
  </conditionalFormatting>
  <conditionalFormatting sqref="AL19:AL21 AL23">
    <cfRule type="cellIs" dxfId="1174" priority="1363" operator="equal">
      <formula>"INVALID"</formula>
    </cfRule>
  </conditionalFormatting>
  <conditionalFormatting sqref="AM19:AM21 AM23">
    <cfRule type="cellIs" dxfId="1173" priority="1362" operator="equal">
      <formula>"INVALID"</formula>
    </cfRule>
  </conditionalFormatting>
  <conditionalFormatting sqref="AN19:AN21 AN23">
    <cfRule type="cellIs" dxfId="1172" priority="1361" operator="equal">
      <formula>"INVALID"</formula>
    </cfRule>
  </conditionalFormatting>
  <conditionalFormatting sqref="AQ19:AQ21">
    <cfRule type="expression" dxfId="1171" priority="1360">
      <formula>NOT($AJ19)</formula>
    </cfRule>
    <cfRule type="expression" dxfId="1170" priority="1374">
      <formula>RIGHT($AQ19, 1)="*"</formula>
    </cfRule>
  </conditionalFormatting>
  <conditionalFormatting sqref="AY19:AZ21">
    <cfRule type="expression" dxfId="1169" priority="1359">
      <formula>NOT($AN19)</formula>
    </cfRule>
  </conditionalFormatting>
  <conditionalFormatting sqref="AS19:AS21">
    <cfRule type="expression" dxfId="1168" priority="1358">
      <formula>NOT($AK19)</formula>
    </cfRule>
  </conditionalFormatting>
  <conditionalFormatting sqref="AO19:AO21 AO23">
    <cfRule type="cellIs" dxfId="1167" priority="1357" operator="equal">
      <formula>FALSE</formula>
    </cfRule>
  </conditionalFormatting>
  <conditionalFormatting sqref="AO19:AO21 AO23">
    <cfRule type="cellIs" dxfId="1166" priority="1356" operator="equal">
      <formula>"INVALID"</formula>
    </cfRule>
  </conditionalFormatting>
  <conditionalFormatting sqref="AO19:AO21 AO23">
    <cfRule type="cellIs" dxfId="1165" priority="1355" operator="equal">
      <formula>"INVALID"</formula>
    </cfRule>
  </conditionalFormatting>
  <conditionalFormatting sqref="AD22:AF22 AH22:AI22">
    <cfRule type="cellIs" dxfId="1164" priority="1354" operator="equal">
      <formula>"INVALID"</formula>
    </cfRule>
  </conditionalFormatting>
  <conditionalFormatting sqref="AR22">
    <cfRule type="cellIs" dxfId="1163" priority="1352" operator="equal">
      <formula>"Not Assigned"</formula>
    </cfRule>
  </conditionalFormatting>
  <conditionalFormatting sqref="AS22">
    <cfRule type="expression" dxfId="1162" priority="1351">
      <formula>EXACT(AF22, "INVALID")</formula>
    </cfRule>
  </conditionalFormatting>
  <conditionalFormatting sqref="AY22">
    <cfRule type="expression" dxfId="1161" priority="1350">
      <formula>AND(NOT(ISBLANK(AY22)), EXACT(AF22, "INVALID"))</formula>
    </cfRule>
  </conditionalFormatting>
  <conditionalFormatting sqref="AZ22">
    <cfRule type="expression" dxfId="1160" priority="1349">
      <formula>AND(NOT(ISBLANK(AZ22)), EXACT(AF22, "INVALID"))</formula>
    </cfRule>
  </conditionalFormatting>
  <conditionalFormatting sqref="AR22">
    <cfRule type="expression" dxfId="1159" priority="1348">
      <formula>NOT($AL22)</formula>
    </cfRule>
  </conditionalFormatting>
  <conditionalFormatting sqref="AQ22">
    <cfRule type="expression" dxfId="1158" priority="1353" stopIfTrue="1">
      <formula>REPLACE($AQ22,8,LEN($AQ22),"")="unused_"</formula>
    </cfRule>
  </conditionalFormatting>
  <conditionalFormatting sqref="AJ22">
    <cfRule type="cellIs" dxfId="1157" priority="1346" operator="equal">
      <formula>FALSE</formula>
    </cfRule>
  </conditionalFormatting>
  <conditionalFormatting sqref="AK22">
    <cfRule type="cellIs" dxfId="1156" priority="1345" operator="equal">
      <formula>FALSE</formula>
    </cfRule>
  </conditionalFormatting>
  <conditionalFormatting sqref="AL22">
    <cfRule type="cellIs" dxfId="1155" priority="1344" operator="equal">
      <formula>FALSE</formula>
    </cfRule>
  </conditionalFormatting>
  <conditionalFormatting sqref="AM22">
    <cfRule type="cellIs" dxfId="1154" priority="1343" operator="equal">
      <formula>FALSE</formula>
    </cfRule>
  </conditionalFormatting>
  <conditionalFormatting sqref="AN22">
    <cfRule type="cellIs" dxfId="1153" priority="1342" operator="equal">
      <formula>FALSE</formula>
    </cfRule>
  </conditionalFormatting>
  <conditionalFormatting sqref="AP22">
    <cfRule type="cellIs" dxfId="1152" priority="1341" operator="equal">
      <formula>"INVALID"</formula>
    </cfRule>
  </conditionalFormatting>
  <conditionalFormatting sqref="AJ22">
    <cfRule type="cellIs" dxfId="1151" priority="1340" operator="equal">
      <formula>"INVALID"</formula>
    </cfRule>
  </conditionalFormatting>
  <conditionalFormatting sqref="AK22">
    <cfRule type="cellIs" dxfId="1150" priority="1339" operator="equal">
      <formula>"INVALID"</formula>
    </cfRule>
  </conditionalFormatting>
  <conditionalFormatting sqref="AL22:AM22">
    <cfRule type="cellIs" dxfId="1149" priority="1338" operator="equal">
      <formula>"INVALID"</formula>
    </cfRule>
  </conditionalFormatting>
  <conditionalFormatting sqref="AK22">
    <cfRule type="cellIs" dxfId="1148" priority="1337" operator="equal">
      <formula>"INVALID"</formula>
    </cfRule>
  </conditionalFormatting>
  <conditionalFormatting sqref="AL22">
    <cfRule type="cellIs" dxfId="1147" priority="1336" operator="equal">
      <formula>"INVALID"</formula>
    </cfRule>
  </conditionalFormatting>
  <conditionalFormatting sqref="AM22">
    <cfRule type="cellIs" dxfId="1146" priority="1335" operator="equal">
      <formula>"INVALID"</formula>
    </cfRule>
  </conditionalFormatting>
  <conditionalFormatting sqref="AN22">
    <cfRule type="cellIs" dxfId="1145" priority="1334" operator="equal">
      <formula>"INVALID"</formula>
    </cfRule>
  </conditionalFormatting>
  <conditionalFormatting sqref="AQ22">
    <cfRule type="expression" dxfId="1144" priority="1333">
      <formula>NOT($AJ22)</formula>
    </cfRule>
    <cfRule type="expression" dxfId="1143" priority="1347">
      <formula>RIGHT($AQ22, 1)="*"</formula>
    </cfRule>
  </conditionalFormatting>
  <conditionalFormatting sqref="AS22">
    <cfRule type="expression" dxfId="1142" priority="1332">
      <formula>NOT($AN22)</formula>
    </cfRule>
  </conditionalFormatting>
  <conditionalFormatting sqref="AS22">
    <cfRule type="expression" dxfId="1141" priority="1331">
      <formula>NOT($AK22)</formula>
    </cfRule>
  </conditionalFormatting>
  <conditionalFormatting sqref="AO22">
    <cfRule type="cellIs" dxfId="1140" priority="1330" operator="equal">
      <formula>FALSE</formula>
    </cfRule>
  </conditionalFormatting>
  <conditionalFormatting sqref="AO22">
    <cfRule type="cellIs" dxfId="1139" priority="1329" operator="equal">
      <formula>"INVALID"</formula>
    </cfRule>
  </conditionalFormatting>
  <conditionalFormatting sqref="AO22">
    <cfRule type="cellIs" dxfId="1138" priority="1328" operator="equal">
      <formula>"INVALID"</formula>
    </cfRule>
  </conditionalFormatting>
  <conditionalFormatting sqref="AP30:AP33 AD30:AF33 AH30:AI33">
    <cfRule type="cellIs" dxfId="1137" priority="1327" operator="equal">
      <formula>"INVALID"</formula>
    </cfRule>
  </conditionalFormatting>
  <conditionalFormatting sqref="AR30:AR33">
    <cfRule type="cellIs" dxfId="1136" priority="1325" operator="equal">
      <formula>"Not Assigned"</formula>
    </cfRule>
  </conditionalFormatting>
  <conditionalFormatting sqref="AS30:AS33">
    <cfRule type="expression" dxfId="1135" priority="1324">
      <formula>EXACT(AF30, "INVALID")</formula>
    </cfRule>
  </conditionalFormatting>
  <conditionalFormatting sqref="AY30:AY33">
    <cfRule type="expression" dxfId="1134" priority="1323">
      <formula>AND(NOT(ISBLANK(AY30)), EXACT(AF30, "INVALID"))</formula>
    </cfRule>
  </conditionalFormatting>
  <conditionalFormatting sqref="AZ30:AZ33">
    <cfRule type="expression" dxfId="1133" priority="1322">
      <formula>AND(NOT(ISBLANK(AZ30)), EXACT(AF30, "INVALID"))</formula>
    </cfRule>
  </conditionalFormatting>
  <conditionalFormatting sqref="AR30:AR33">
    <cfRule type="expression" dxfId="1132" priority="1321">
      <formula>NOT($AL30)</formula>
    </cfRule>
  </conditionalFormatting>
  <conditionalFormatting sqref="AQ30:AQ33">
    <cfRule type="expression" dxfId="1131" priority="1326" stopIfTrue="1">
      <formula>REPLACE($AQ30,8,LEN($AQ30),"")="unused_"</formula>
    </cfRule>
  </conditionalFormatting>
  <conditionalFormatting sqref="AJ30:AJ33">
    <cfRule type="cellIs" dxfId="1130" priority="1319" operator="equal">
      <formula>FALSE</formula>
    </cfRule>
  </conditionalFormatting>
  <conditionalFormatting sqref="AK30:AK33">
    <cfRule type="cellIs" dxfId="1129" priority="1318" operator="equal">
      <formula>FALSE</formula>
    </cfRule>
  </conditionalFormatting>
  <conditionalFormatting sqref="AL30:AL33">
    <cfRule type="cellIs" dxfId="1128" priority="1317" operator="equal">
      <formula>FALSE</formula>
    </cfRule>
  </conditionalFormatting>
  <conditionalFormatting sqref="AM30:AM33">
    <cfRule type="cellIs" dxfId="1127" priority="1316" operator="equal">
      <formula>FALSE</formula>
    </cfRule>
  </conditionalFormatting>
  <conditionalFormatting sqref="AN30:AN33">
    <cfRule type="cellIs" dxfId="1126" priority="1315" operator="equal">
      <formula>FALSE</formula>
    </cfRule>
  </conditionalFormatting>
  <conditionalFormatting sqref="AQ30:AQ33">
    <cfRule type="expression" dxfId="1125" priority="1314">
      <formula>NOT($AJ30)</formula>
    </cfRule>
    <cfRule type="expression" dxfId="1124" priority="1320">
      <formula>RIGHT($AQ30, 1)="*"</formula>
    </cfRule>
  </conditionalFormatting>
  <conditionalFormatting sqref="AS30:AS33">
    <cfRule type="expression" dxfId="1123" priority="1313">
      <formula>NOT($AN30)</formula>
    </cfRule>
  </conditionalFormatting>
  <conditionalFormatting sqref="AS30:AS33">
    <cfRule type="expression" dxfId="1122" priority="1312">
      <formula>NOT($AK30)</formula>
    </cfRule>
  </conditionalFormatting>
  <conditionalFormatting sqref="AO30:AO33">
    <cfRule type="cellIs" dxfId="1121" priority="1311" operator="equal">
      <formula>FALSE</formula>
    </cfRule>
  </conditionalFormatting>
  <conditionalFormatting sqref="AD43:AF43 AH43:AI43">
    <cfRule type="cellIs" dxfId="1120" priority="1310" operator="equal">
      <formula>"INVALID"</formula>
    </cfRule>
  </conditionalFormatting>
  <conditionalFormatting sqref="AR43">
    <cfRule type="cellIs" dxfId="1119" priority="1308" operator="equal">
      <formula>"Not Assigned"</formula>
    </cfRule>
  </conditionalFormatting>
  <conditionalFormatting sqref="AS43">
    <cfRule type="expression" dxfId="1118" priority="1307">
      <formula>EXACT(AF43, "INVALID")</formula>
    </cfRule>
  </conditionalFormatting>
  <conditionalFormatting sqref="AY43">
    <cfRule type="expression" dxfId="1117" priority="1306">
      <formula>AND(NOT(ISBLANK(AY43)), EXACT(AF43, "INVALID"))</formula>
    </cfRule>
  </conditionalFormatting>
  <conditionalFormatting sqref="AZ43">
    <cfRule type="expression" dxfId="1116" priority="1305">
      <formula>AND(NOT(ISBLANK(AZ43)), EXACT(AF43, "INVALID"))</formula>
    </cfRule>
  </conditionalFormatting>
  <conditionalFormatting sqref="AR43">
    <cfRule type="expression" dxfId="1115" priority="1304">
      <formula>NOT($AL43)</formula>
    </cfRule>
  </conditionalFormatting>
  <conditionalFormatting sqref="AQ43">
    <cfRule type="expression" dxfId="1114" priority="1309" stopIfTrue="1">
      <formula>REPLACE($AQ43,8,LEN($AQ43),"")="unused_"</formula>
    </cfRule>
  </conditionalFormatting>
  <conditionalFormatting sqref="AJ43">
    <cfRule type="cellIs" dxfId="1113" priority="1302" operator="equal">
      <formula>FALSE</formula>
    </cfRule>
  </conditionalFormatting>
  <conditionalFormatting sqref="AK43">
    <cfRule type="cellIs" dxfId="1112" priority="1301" operator="equal">
      <formula>FALSE</formula>
    </cfRule>
  </conditionalFormatting>
  <conditionalFormatting sqref="AL43">
    <cfRule type="cellIs" dxfId="1111" priority="1300" operator="equal">
      <formula>FALSE</formula>
    </cfRule>
  </conditionalFormatting>
  <conditionalFormatting sqref="AM43">
    <cfRule type="cellIs" dxfId="1110" priority="1299" operator="equal">
      <formula>FALSE</formula>
    </cfRule>
  </conditionalFormatting>
  <conditionalFormatting sqref="AN43">
    <cfRule type="cellIs" dxfId="1109" priority="1298" operator="equal">
      <formula>FALSE</formula>
    </cfRule>
  </conditionalFormatting>
  <conditionalFormatting sqref="AP43">
    <cfRule type="cellIs" dxfId="1108" priority="1297" operator="equal">
      <formula>"INVALID"</formula>
    </cfRule>
  </conditionalFormatting>
  <conditionalFormatting sqref="AJ43">
    <cfRule type="cellIs" dxfId="1107" priority="1296" operator="equal">
      <formula>"INVALID"</formula>
    </cfRule>
  </conditionalFormatting>
  <conditionalFormatting sqref="AK43">
    <cfRule type="cellIs" dxfId="1106" priority="1295" operator="equal">
      <formula>"INVALID"</formula>
    </cfRule>
  </conditionalFormatting>
  <conditionalFormatting sqref="AL43:AM43">
    <cfRule type="cellIs" dxfId="1105" priority="1294" operator="equal">
      <formula>"INVALID"</formula>
    </cfRule>
  </conditionalFormatting>
  <conditionalFormatting sqref="AK43">
    <cfRule type="cellIs" dxfId="1104" priority="1293" operator="equal">
      <formula>"INVALID"</formula>
    </cfRule>
  </conditionalFormatting>
  <conditionalFormatting sqref="AL43">
    <cfRule type="cellIs" dxfId="1103" priority="1292" operator="equal">
      <formula>"INVALID"</formula>
    </cfRule>
  </conditionalFormatting>
  <conditionalFormatting sqref="AM43">
    <cfRule type="cellIs" dxfId="1102" priority="1291" operator="equal">
      <formula>"INVALID"</formula>
    </cfRule>
  </conditionalFormatting>
  <conditionalFormatting sqref="AN43">
    <cfRule type="cellIs" dxfId="1101" priority="1290" operator="equal">
      <formula>"INVALID"</formula>
    </cfRule>
  </conditionalFormatting>
  <conditionalFormatting sqref="AQ43">
    <cfRule type="expression" dxfId="1100" priority="1289">
      <formula>NOT($AJ43)</formula>
    </cfRule>
    <cfRule type="expression" dxfId="1099" priority="1303">
      <formula>RIGHT($AQ43, 1)="*"</formula>
    </cfRule>
  </conditionalFormatting>
  <conditionalFormatting sqref="AS43">
    <cfRule type="expression" dxfId="1098" priority="1288">
      <formula>NOT($AN43)</formula>
    </cfRule>
  </conditionalFormatting>
  <conditionalFormatting sqref="AS43">
    <cfRule type="expression" dxfId="1097" priority="1287">
      <formula>NOT($AK43)</formula>
    </cfRule>
  </conditionalFormatting>
  <conditionalFormatting sqref="AO43">
    <cfRule type="cellIs" dxfId="1096" priority="1286" operator="equal">
      <formula>FALSE</formula>
    </cfRule>
  </conditionalFormatting>
  <conditionalFormatting sqref="AO43">
    <cfRule type="cellIs" dxfId="1095" priority="1285" operator="equal">
      <formula>"INVALID"</formula>
    </cfRule>
  </conditionalFormatting>
  <conditionalFormatting sqref="AO43">
    <cfRule type="cellIs" dxfId="1094" priority="1284" operator="equal">
      <formula>"INVALID"</formula>
    </cfRule>
  </conditionalFormatting>
  <conditionalFormatting sqref="AR64">
    <cfRule type="cellIs" dxfId="1093" priority="1283" operator="equal">
      <formula>"Not Assigned"</formula>
    </cfRule>
  </conditionalFormatting>
  <conditionalFormatting sqref="AD64:AF64 AH64:AI64">
    <cfRule type="cellIs" dxfId="1092" priority="1282" operator="equal">
      <formula>"INVALID"</formula>
    </cfRule>
  </conditionalFormatting>
  <conditionalFormatting sqref="AS64">
    <cfRule type="expression" dxfId="1091" priority="1280">
      <formula>EXACT(AF64, "INVALID")</formula>
    </cfRule>
  </conditionalFormatting>
  <conditionalFormatting sqref="AY64">
    <cfRule type="expression" dxfId="1090" priority="1279">
      <formula>AND(NOT(ISBLANK(AY64)), EXACT(AF64, "INVALID"))</formula>
    </cfRule>
  </conditionalFormatting>
  <conditionalFormatting sqref="AZ64">
    <cfRule type="expression" dxfId="1089" priority="1278">
      <formula>AND(NOT(ISBLANK(AZ64)), EXACT(AF64, "INVALID"))</formula>
    </cfRule>
  </conditionalFormatting>
  <conditionalFormatting sqref="AR64">
    <cfRule type="expression" dxfId="1088" priority="1277">
      <formula>NOT($AL64)</formula>
    </cfRule>
  </conditionalFormatting>
  <conditionalFormatting sqref="AQ64">
    <cfRule type="expression" dxfId="1087" priority="1281" stopIfTrue="1">
      <formula>REPLACE($AQ64,8,LEN($AQ64),"")="unused_"</formula>
    </cfRule>
  </conditionalFormatting>
  <conditionalFormatting sqref="AJ64">
    <cfRule type="cellIs" dxfId="1086" priority="1275" operator="equal">
      <formula>FALSE</formula>
    </cfRule>
  </conditionalFormatting>
  <conditionalFormatting sqref="AK64">
    <cfRule type="cellIs" dxfId="1085" priority="1274" operator="equal">
      <formula>FALSE</formula>
    </cfRule>
  </conditionalFormatting>
  <conditionalFormatting sqref="AL64">
    <cfRule type="cellIs" dxfId="1084" priority="1273" operator="equal">
      <formula>FALSE</formula>
    </cfRule>
  </conditionalFormatting>
  <conditionalFormatting sqref="AM64">
    <cfRule type="cellIs" dxfId="1083" priority="1272" operator="equal">
      <formula>FALSE</formula>
    </cfRule>
  </conditionalFormatting>
  <conditionalFormatting sqref="AN64">
    <cfRule type="cellIs" dxfId="1082" priority="1271" operator="equal">
      <formula>FALSE</formula>
    </cfRule>
  </conditionalFormatting>
  <conditionalFormatting sqref="AP64">
    <cfRule type="cellIs" dxfId="1081" priority="1270" operator="equal">
      <formula>"INVALID"</formula>
    </cfRule>
  </conditionalFormatting>
  <conditionalFormatting sqref="AJ64">
    <cfRule type="cellIs" dxfId="1080" priority="1269" operator="equal">
      <formula>"INVALID"</formula>
    </cfRule>
  </conditionalFormatting>
  <conditionalFormatting sqref="AK64">
    <cfRule type="cellIs" dxfId="1079" priority="1268" operator="equal">
      <formula>"INVALID"</formula>
    </cfRule>
  </conditionalFormatting>
  <conditionalFormatting sqref="AL64:AM64">
    <cfRule type="cellIs" dxfId="1078" priority="1267" operator="equal">
      <formula>"INVALID"</formula>
    </cfRule>
  </conditionalFormatting>
  <conditionalFormatting sqref="AK64">
    <cfRule type="cellIs" dxfId="1077" priority="1266" operator="equal">
      <formula>"INVALID"</formula>
    </cfRule>
  </conditionalFormatting>
  <conditionalFormatting sqref="AL64">
    <cfRule type="cellIs" dxfId="1076" priority="1265" operator="equal">
      <formula>"INVALID"</formula>
    </cfRule>
  </conditionalFormatting>
  <conditionalFormatting sqref="AM64">
    <cfRule type="cellIs" dxfId="1075" priority="1264" operator="equal">
      <formula>"INVALID"</formula>
    </cfRule>
  </conditionalFormatting>
  <conditionalFormatting sqref="AN64">
    <cfRule type="cellIs" dxfId="1074" priority="1263" operator="equal">
      <formula>"INVALID"</formula>
    </cfRule>
  </conditionalFormatting>
  <conditionalFormatting sqref="AQ64">
    <cfRule type="expression" dxfId="1073" priority="1262">
      <formula>NOT($AJ64)</formula>
    </cfRule>
    <cfRule type="expression" dxfId="1072" priority="1276">
      <formula>RIGHT($AQ64, 1)="*"</formula>
    </cfRule>
  </conditionalFormatting>
  <conditionalFormatting sqref="AS64">
    <cfRule type="expression" dxfId="1071" priority="1261">
      <formula>NOT($AN64)</formula>
    </cfRule>
  </conditionalFormatting>
  <conditionalFormatting sqref="AS64">
    <cfRule type="expression" dxfId="1070" priority="1260">
      <formula>NOT($AK64)</formula>
    </cfRule>
  </conditionalFormatting>
  <conditionalFormatting sqref="AO64">
    <cfRule type="cellIs" dxfId="1069" priority="1259" operator="equal">
      <formula>FALSE</formula>
    </cfRule>
  </conditionalFormatting>
  <conditionalFormatting sqref="AO64">
    <cfRule type="cellIs" dxfId="1068" priority="1258" operator="equal">
      <formula>"INVALID"</formula>
    </cfRule>
  </conditionalFormatting>
  <conditionalFormatting sqref="AO64">
    <cfRule type="cellIs" dxfId="1067" priority="1257" operator="equal">
      <formula>"INVALID"</formula>
    </cfRule>
  </conditionalFormatting>
  <conditionalFormatting sqref="AD149:AF156 AH149:AH156">
    <cfRule type="cellIs" dxfId="1066" priority="1226" operator="equal">
      <formula>"INVALID"</formula>
    </cfRule>
  </conditionalFormatting>
  <conditionalFormatting sqref="AS149:AS156">
    <cfRule type="expression" dxfId="1065" priority="1224">
      <formula>EXACT(AF149, "INVALID")</formula>
    </cfRule>
  </conditionalFormatting>
  <conditionalFormatting sqref="AY149:AY156">
    <cfRule type="expression" dxfId="1064" priority="1223">
      <formula>AND(NOT(ISBLANK(AY149)), EXACT(AF149, "INVALID"))</formula>
    </cfRule>
  </conditionalFormatting>
  <conditionalFormatting sqref="AZ149:AZ156">
    <cfRule type="expression" dxfId="1063" priority="1222">
      <formula>AND(NOT(ISBLANK(AZ149)), EXACT(AF149, "INVALID"))</formula>
    </cfRule>
  </conditionalFormatting>
  <conditionalFormatting sqref="AR149:AR156">
    <cfRule type="expression" dxfId="1062" priority="1221">
      <formula>NOT($AL149)</formula>
    </cfRule>
  </conditionalFormatting>
  <conditionalFormatting sqref="AR149:AR156">
    <cfRule type="cellIs" dxfId="1061" priority="1220" operator="equal">
      <formula>"Not Assigned"</formula>
    </cfRule>
  </conditionalFormatting>
  <conditionalFormatting sqref="AQ149:AQ156">
    <cfRule type="expression" dxfId="1060" priority="1225" stopIfTrue="1">
      <formula>REPLACE($AQ149,8,LEN($AQ149),"")="unused_"</formula>
    </cfRule>
  </conditionalFormatting>
  <conditionalFormatting sqref="AJ149:AJ156">
    <cfRule type="cellIs" dxfId="1059" priority="1218" operator="equal">
      <formula>FALSE</formula>
    </cfRule>
  </conditionalFormatting>
  <conditionalFormatting sqref="AK149:AK156">
    <cfRule type="cellIs" dxfId="1058" priority="1217" operator="equal">
      <formula>FALSE</formula>
    </cfRule>
  </conditionalFormatting>
  <conditionalFormatting sqref="AL149:AL156">
    <cfRule type="cellIs" dxfId="1057" priority="1216" operator="equal">
      <formula>FALSE</formula>
    </cfRule>
  </conditionalFormatting>
  <conditionalFormatting sqref="AM149:AM156">
    <cfRule type="cellIs" dxfId="1056" priority="1215" operator="equal">
      <formula>FALSE</formula>
    </cfRule>
  </conditionalFormatting>
  <conditionalFormatting sqref="AN149:AN156">
    <cfRule type="cellIs" dxfId="1055" priority="1214" operator="equal">
      <formula>FALSE</formula>
    </cfRule>
  </conditionalFormatting>
  <conditionalFormatting sqref="AP149:AP156">
    <cfRule type="cellIs" dxfId="1054" priority="1213" operator="equal">
      <formula>"INVALID"</formula>
    </cfRule>
  </conditionalFormatting>
  <conditionalFormatting sqref="AJ149:AJ156">
    <cfRule type="cellIs" dxfId="1053" priority="1212" operator="equal">
      <formula>"INVALID"</formula>
    </cfRule>
  </conditionalFormatting>
  <conditionalFormatting sqref="AK149:AK156">
    <cfRule type="cellIs" dxfId="1052" priority="1211" operator="equal">
      <formula>"INVALID"</formula>
    </cfRule>
  </conditionalFormatting>
  <conditionalFormatting sqref="AL149:AM156">
    <cfRule type="cellIs" dxfId="1051" priority="1210" operator="equal">
      <formula>"INVALID"</formula>
    </cfRule>
  </conditionalFormatting>
  <conditionalFormatting sqref="AK149:AK156">
    <cfRule type="cellIs" dxfId="1050" priority="1209" operator="equal">
      <formula>"INVALID"</formula>
    </cfRule>
  </conditionalFormatting>
  <conditionalFormatting sqref="AL149:AL156">
    <cfRule type="cellIs" dxfId="1049" priority="1208" operator="equal">
      <formula>"INVALID"</formula>
    </cfRule>
  </conditionalFormatting>
  <conditionalFormatting sqref="AM149:AM156">
    <cfRule type="cellIs" dxfId="1048" priority="1207" operator="equal">
      <formula>"INVALID"</formula>
    </cfRule>
  </conditionalFormatting>
  <conditionalFormatting sqref="AN149:AN156">
    <cfRule type="cellIs" dxfId="1047" priority="1206" operator="equal">
      <formula>"INVALID"</formula>
    </cfRule>
  </conditionalFormatting>
  <conditionalFormatting sqref="AQ149:AQ156">
    <cfRule type="expression" dxfId="1046" priority="1205">
      <formula>NOT($AJ149)</formula>
    </cfRule>
    <cfRule type="expression" dxfId="1045" priority="1219">
      <formula>RIGHT($AQ149, 1)="*"</formula>
    </cfRule>
  </conditionalFormatting>
  <conditionalFormatting sqref="AY149:AZ156">
    <cfRule type="expression" dxfId="1044" priority="1204">
      <formula>NOT($AN149)</formula>
    </cfRule>
  </conditionalFormatting>
  <conditionalFormatting sqref="AS149:AS156">
    <cfRule type="expression" dxfId="1043" priority="1203">
      <formula>NOT($AK149)</formula>
    </cfRule>
  </conditionalFormatting>
  <conditionalFormatting sqref="AO149:AO156">
    <cfRule type="cellIs" dxfId="1042" priority="1202" operator="equal">
      <formula>FALSE</formula>
    </cfRule>
  </conditionalFormatting>
  <conditionalFormatting sqref="AO149:AO156">
    <cfRule type="cellIs" dxfId="1041" priority="1201" operator="equal">
      <formula>"INVALID"</formula>
    </cfRule>
  </conditionalFormatting>
  <conditionalFormatting sqref="AO149:AO156">
    <cfRule type="cellIs" dxfId="1040" priority="1200" operator="equal">
      <formula>"INVALID"</formula>
    </cfRule>
  </conditionalFormatting>
  <conditionalFormatting sqref="AI149:AI156">
    <cfRule type="cellIs" dxfId="1039" priority="1199" operator="equal">
      <formula>"INVALID"</formula>
    </cfRule>
  </conditionalFormatting>
  <conditionalFormatting sqref="AI149:AI156">
    <cfRule type="cellIs" dxfId="1038" priority="1198" operator="equal">
      <formula>"INVALID"</formula>
    </cfRule>
  </conditionalFormatting>
  <conditionalFormatting sqref="AI149:AI156">
    <cfRule type="cellIs" dxfId="1037" priority="1197" operator="equal">
      <formula>"INVALID"</formula>
    </cfRule>
  </conditionalFormatting>
  <conditionalFormatting sqref="AI149:AI156">
    <cfRule type="cellIs" dxfId="1036" priority="1196" operator="equal">
      <formula>"INVALID"</formula>
    </cfRule>
  </conditionalFormatting>
  <conditionalFormatting sqref="AS194:AS202">
    <cfRule type="expression" dxfId="1035" priority="1158">
      <formula>EXACT(AF194, "INVALID")</formula>
    </cfRule>
  </conditionalFormatting>
  <conditionalFormatting sqref="AY194:AY202">
    <cfRule type="expression" dxfId="1034" priority="1157">
      <formula>AND(NOT(ISBLANK(AY194)), EXACT(AF194, "INVALID"))</formula>
    </cfRule>
  </conditionalFormatting>
  <conditionalFormatting sqref="AZ194:AZ202">
    <cfRule type="expression" dxfId="1033" priority="1156">
      <formula>AND(NOT(ISBLANK(AZ194)), EXACT(AF194, "INVALID"))</formula>
    </cfRule>
  </conditionalFormatting>
  <conditionalFormatting sqref="AR194:AR202">
    <cfRule type="expression" dxfId="1032" priority="1155">
      <formula>NOT($AL194)</formula>
    </cfRule>
  </conditionalFormatting>
  <conditionalFormatting sqref="AQ194:AQ202">
    <cfRule type="expression" dxfId="1031" priority="1159" stopIfTrue="1">
      <formula>REPLACE($AQ194,8,LEN($AQ194),"")="unused_"</formula>
    </cfRule>
  </conditionalFormatting>
  <conditionalFormatting sqref="AD194:AF202 AH194:AH202">
    <cfRule type="cellIs" dxfId="1030" priority="1153" operator="equal">
      <formula>"INVALID"</formula>
    </cfRule>
  </conditionalFormatting>
  <conditionalFormatting sqref="AR194:AR202">
    <cfRule type="cellIs" dxfId="1029" priority="1152" operator="equal">
      <formula>"Not Assigned"</formula>
    </cfRule>
  </conditionalFormatting>
  <conditionalFormatting sqref="AJ194:AJ202">
    <cfRule type="cellIs" dxfId="1028" priority="1151" operator="equal">
      <formula>FALSE</formula>
    </cfRule>
  </conditionalFormatting>
  <conditionalFormatting sqref="AK194:AK202">
    <cfRule type="cellIs" dxfId="1027" priority="1150" operator="equal">
      <formula>FALSE</formula>
    </cfRule>
  </conditionalFormatting>
  <conditionalFormatting sqref="AL194:AL202">
    <cfRule type="cellIs" dxfId="1026" priority="1149" operator="equal">
      <formula>FALSE</formula>
    </cfRule>
  </conditionalFormatting>
  <conditionalFormatting sqref="AM194:AM202">
    <cfRule type="cellIs" dxfId="1025" priority="1148" operator="equal">
      <formula>FALSE</formula>
    </cfRule>
  </conditionalFormatting>
  <conditionalFormatting sqref="AN194:AN202">
    <cfRule type="cellIs" dxfId="1024" priority="1147" operator="equal">
      <formula>FALSE</formula>
    </cfRule>
  </conditionalFormatting>
  <conditionalFormatting sqref="AP194:AP202">
    <cfRule type="cellIs" dxfId="1023" priority="1146" operator="equal">
      <formula>"INVALID"</formula>
    </cfRule>
  </conditionalFormatting>
  <conditionalFormatting sqref="AJ194:AJ202">
    <cfRule type="cellIs" dxfId="1022" priority="1145" operator="equal">
      <formula>"INVALID"</formula>
    </cfRule>
  </conditionalFormatting>
  <conditionalFormatting sqref="AK194:AK202">
    <cfRule type="cellIs" dxfId="1021" priority="1144" operator="equal">
      <formula>"INVALID"</formula>
    </cfRule>
  </conditionalFormatting>
  <conditionalFormatting sqref="AL194:AM202">
    <cfRule type="cellIs" dxfId="1020" priority="1143" operator="equal">
      <formula>"INVALID"</formula>
    </cfRule>
  </conditionalFormatting>
  <conditionalFormatting sqref="AK194:AK202">
    <cfRule type="cellIs" dxfId="1019" priority="1142" operator="equal">
      <formula>"INVALID"</formula>
    </cfRule>
  </conditionalFormatting>
  <conditionalFormatting sqref="AL194:AL202">
    <cfRule type="cellIs" dxfId="1018" priority="1141" operator="equal">
      <formula>"INVALID"</formula>
    </cfRule>
  </conditionalFormatting>
  <conditionalFormatting sqref="AM194:AM202">
    <cfRule type="cellIs" dxfId="1017" priority="1140" operator="equal">
      <formula>"INVALID"</formula>
    </cfRule>
  </conditionalFormatting>
  <conditionalFormatting sqref="AN194:AN202">
    <cfRule type="cellIs" dxfId="1016" priority="1139" operator="equal">
      <formula>"INVALID"</formula>
    </cfRule>
  </conditionalFormatting>
  <conditionalFormatting sqref="AT202">
    <cfRule type="expression" dxfId="1015" priority="1138">
      <formula>NOT($AM202)</formula>
    </cfRule>
  </conditionalFormatting>
  <conditionalFormatting sqref="AQ194:AQ202">
    <cfRule type="expression" dxfId="1014" priority="1137">
      <formula>NOT($AJ194)</formula>
    </cfRule>
    <cfRule type="expression" dxfId="1013" priority="1154">
      <formula>RIGHT($AQ194, 1)="*"</formula>
    </cfRule>
  </conditionalFormatting>
  <conditionalFormatting sqref="AS194:AS202">
    <cfRule type="expression" dxfId="1012" priority="1136">
      <formula>NOT($AN194)</formula>
    </cfRule>
  </conditionalFormatting>
  <conditionalFormatting sqref="AS194:AS202">
    <cfRule type="expression" dxfId="1011" priority="1135">
      <formula>NOT($AK194)</formula>
    </cfRule>
  </conditionalFormatting>
  <conditionalFormatting sqref="AO194:AO202">
    <cfRule type="cellIs" dxfId="1010" priority="1134" operator="equal">
      <formula>FALSE</formula>
    </cfRule>
  </conditionalFormatting>
  <conditionalFormatting sqref="AO194:AO202">
    <cfRule type="cellIs" dxfId="1009" priority="1133" operator="equal">
      <formula>"INVALID"</formula>
    </cfRule>
  </conditionalFormatting>
  <conditionalFormatting sqref="AO194:AO202">
    <cfRule type="cellIs" dxfId="1008" priority="1132" operator="equal">
      <formula>"INVALID"</formula>
    </cfRule>
  </conditionalFormatting>
  <conditionalFormatting sqref="AI194:AI202">
    <cfRule type="cellIs" dxfId="1007" priority="1131" operator="equal">
      <formula>"INVALID"</formula>
    </cfRule>
  </conditionalFormatting>
  <conditionalFormatting sqref="AI194:AI202">
    <cfRule type="cellIs" dxfId="1006" priority="1130" operator="equal">
      <formula>"INVALID"</formula>
    </cfRule>
  </conditionalFormatting>
  <conditionalFormatting sqref="AI194:AI202">
    <cfRule type="cellIs" dxfId="1005" priority="1129" operator="equal">
      <formula>"INVALID"</formula>
    </cfRule>
  </conditionalFormatting>
  <conditionalFormatting sqref="AI194:AI202">
    <cfRule type="cellIs" dxfId="1004" priority="1128" operator="equal">
      <formula>"INVALID"</formula>
    </cfRule>
  </conditionalFormatting>
  <conditionalFormatting sqref="AS213 AS223:AS224">
    <cfRule type="expression" dxfId="1003" priority="1126">
      <formula>EXACT(AF213, "INVALID")</formula>
    </cfRule>
  </conditionalFormatting>
  <conditionalFormatting sqref="AY213">
    <cfRule type="expression" dxfId="1002" priority="1125">
      <formula>AND(NOT(ISBLANK(AY213)), EXACT(AF213, "INVALID"))</formula>
    </cfRule>
  </conditionalFormatting>
  <conditionalFormatting sqref="AZ213">
    <cfRule type="expression" dxfId="1001" priority="1124">
      <formula>AND(NOT(ISBLANK(AZ213)), EXACT(AF213, "INVALID"))</formula>
    </cfRule>
  </conditionalFormatting>
  <conditionalFormatting sqref="AR213">
    <cfRule type="expression" dxfId="1000" priority="1123">
      <formula>NOT($AL213)</formula>
    </cfRule>
  </conditionalFormatting>
  <conditionalFormatting sqref="AQ213">
    <cfRule type="expression" dxfId="999" priority="1127" stopIfTrue="1">
      <formula>REPLACE($AQ213,8,LEN($AQ213),"")="unused_"</formula>
    </cfRule>
  </conditionalFormatting>
  <conditionalFormatting sqref="AD213:AF213 AD223:AF224 AH223:AH224 AH213">
    <cfRule type="cellIs" dxfId="998" priority="1121" operator="equal">
      <formula>"INVALID"</formula>
    </cfRule>
  </conditionalFormatting>
  <conditionalFormatting sqref="AR213 AR223:AR224">
    <cfRule type="cellIs" dxfId="997" priority="1120" operator="equal">
      <formula>"Not Assigned"</formula>
    </cfRule>
  </conditionalFormatting>
  <conditionalFormatting sqref="AD212:AF212 AH212:AI212">
    <cfRule type="cellIs" dxfId="996" priority="1119" operator="equal">
      <formula>"INVALID"</formula>
    </cfRule>
  </conditionalFormatting>
  <conditionalFormatting sqref="AJ213 AJ223:AJ224">
    <cfRule type="cellIs" dxfId="995" priority="1118" operator="equal">
      <formula>FALSE</formula>
    </cfRule>
  </conditionalFormatting>
  <conditionalFormatting sqref="AK213 AK223:AK224">
    <cfRule type="cellIs" dxfId="994" priority="1117" operator="equal">
      <formula>FALSE</formula>
    </cfRule>
  </conditionalFormatting>
  <conditionalFormatting sqref="AL213 AL223:AL224">
    <cfRule type="cellIs" dxfId="993" priority="1116" operator="equal">
      <formula>FALSE</formula>
    </cfRule>
  </conditionalFormatting>
  <conditionalFormatting sqref="AM213 AM223:AM224">
    <cfRule type="cellIs" dxfId="992" priority="1115" operator="equal">
      <formula>FALSE</formula>
    </cfRule>
  </conditionalFormatting>
  <conditionalFormatting sqref="AN213 AN223:AN224">
    <cfRule type="cellIs" dxfId="991" priority="1114" operator="equal">
      <formula>FALSE</formula>
    </cfRule>
  </conditionalFormatting>
  <conditionalFormatting sqref="AP213 AP223:AP224">
    <cfRule type="cellIs" dxfId="990" priority="1113" operator="equal">
      <formula>"INVALID"</formula>
    </cfRule>
  </conditionalFormatting>
  <conditionalFormatting sqref="AJ213 AJ223:AJ224">
    <cfRule type="cellIs" dxfId="989" priority="1112" operator="equal">
      <formula>"INVALID"</formula>
    </cfRule>
  </conditionalFormatting>
  <conditionalFormatting sqref="AK213 AK223:AK224">
    <cfRule type="cellIs" dxfId="988" priority="1111" operator="equal">
      <formula>"INVALID"</formula>
    </cfRule>
  </conditionalFormatting>
  <conditionalFormatting sqref="AL213:AM213 AL223:AM224">
    <cfRule type="cellIs" dxfId="987" priority="1110" operator="equal">
      <formula>"INVALID"</formula>
    </cfRule>
  </conditionalFormatting>
  <conditionalFormatting sqref="AK213 AK223:AK224">
    <cfRule type="cellIs" dxfId="986" priority="1109" operator="equal">
      <formula>"INVALID"</formula>
    </cfRule>
  </conditionalFormatting>
  <conditionalFormatting sqref="AL213 AL223:AL224">
    <cfRule type="cellIs" dxfId="985" priority="1108" operator="equal">
      <formula>"INVALID"</formula>
    </cfRule>
  </conditionalFormatting>
  <conditionalFormatting sqref="AM213 AM223:AM224">
    <cfRule type="cellIs" dxfId="984" priority="1107" operator="equal">
      <formula>"INVALID"</formula>
    </cfRule>
  </conditionalFormatting>
  <conditionalFormatting sqref="AN213 AN223:AN224">
    <cfRule type="cellIs" dxfId="983" priority="1106" operator="equal">
      <formula>"INVALID"</formula>
    </cfRule>
  </conditionalFormatting>
  <conditionalFormatting sqref="AQ213">
    <cfRule type="expression" dxfId="982" priority="1105">
      <formula>NOT($AJ213)</formula>
    </cfRule>
    <cfRule type="expression" dxfId="981" priority="1122">
      <formula>RIGHT($AQ213, 1)="*"</formula>
    </cfRule>
  </conditionalFormatting>
  <conditionalFormatting sqref="AY213:AZ213">
    <cfRule type="expression" dxfId="980" priority="1104">
      <formula>NOT($AN213)</formula>
    </cfRule>
  </conditionalFormatting>
  <conditionalFormatting sqref="AS213">
    <cfRule type="expression" dxfId="979" priority="1103">
      <formula>NOT($AK213)</formula>
    </cfRule>
  </conditionalFormatting>
  <conditionalFormatting sqref="AO213 AO223:AO224">
    <cfRule type="cellIs" dxfId="978" priority="1102" operator="equal">
      <formula>FALSE</formula>
    </cfRule>
  </conditionalFormatting>
  <conditionalFormatting sqref="AO213 AO223:AO224">
    <cfRule type="cellIs" dxfId="977" priority="1101" operator="equal">
      <formula>"INVALID"</formula>
    </cfRule>
  </conditionalFormatting>
  <conditionalFormatting sqref="AO213 AO223:AO224">
    <cfRule type="cellIs" dxfId="976" priority="1100" operator="equal">
      <formula>"INVALID"</formula>
    </cfRule>
  </conditionalFormatting>
  <conditionalFormatting sqref="AI213 AI223:AI224">
    <cfRule type="cellIs" dxfId="975" priority="1099" operator="equal">
      <formula>"INVALID"</formula>
    </cfRule>
  </conditionalFormatting>
  <conditionalFormatting sqref="AI213 AI223:AI224">
    <cfRule type="cellIs" dxfId="974" priority="1098" operator="equal">
      <formula>"INVALID"</formula>
    </cfRule>
  </conditionalFormatting>
  <conditionalFormatting sqref="AI213 AI223:AI224">
    <cfRule type="cellIs" dxfId="973" priority="1097" operator="equal">
      <formula>"INVALID"</formula>
    </cfRule>
  </conditionalFormatting>
  <conditionalFormatting sqref="AI213 AI223:AI224">
    <cfRule type="cellIs" dxfId="972" priority="1096" operator="equal">
      <formula>"INVALID"</formula>
    </cfRule>
  </conditionalFormatting>
  <conditionalFormatting sqref="AS214:AS222">
    <cfRule type="expression" dxfId="971" priority="1094">
      <formula>EXACT(AF214, "INVALID")</formula>
    </cfRule>
  </conditionalFormatting>
  <conditionalFormatting sqref="AY214:AY222">
    <cfRule type="expression" dxfId="970" priority="1093">
      <formula>AND(NOT(ISBLANK(AY214)), EXACT(AF214, "INVALID"))</formula>
    </cfRule>
  </conditionalFormatting>
  <conditionalFormatting sqref="AZ214:AZ222">
    <cfRule type="expression" dxfId="969" priority="1092">
      <formula>AND(NOT(ISBLANK(AZ214)), EXACT(AF214, "INVALID"))</formula>
    </cfRule>
  </conditionalFormatting>
  <conditionalFormatting sqref="AR214:AR222">
    <cfRule type="expression" dxfId="968" priority="1091">
      <formula>NOT($AL214)</formula>
    </cfRule>
  </conditionalFormatting>
  <conditionalFormatting sqref="AQ214:AQ222">
    <cfRule type="expression" dxfId="967" priority="1095" stopIfTrue="1">
      <formula>REPLACE($AQ214,8,LEN($AQ214),"")="unused_"</formula>
    </cfRule>
  </conditionalFormatting>
  <conditionalFormatting sqref="AD214:AF222 AH214:AH222">
    <cfRule type="cellIs" dxfId="966" priority="1089" operator="equal">
      <formula>"INVALID"</formula>
    </cfRule>
  </conditionalFormatting>
  <conditionalFormatting sqref="AR214:AR222">
    <cfRule type="cellIs" dxfId="965" priority="1088" operator="equal">
      <formula>"Not Assigned"</formula>
    </cfRule>
  </conditionalFormatting>
  <conditionalFormatting sqref="AJ214:AJ222">
    <cfRule type="cellIs" dxfId="964" priority="1087" operator="equal">
      <formula>FALSE</formula>
    </cfRule>
  </conditionalFormatting>
  <conditionalFormatting sqref="AK214:AK222">
    <cfRule type="cellIs" dxfId="963" priority="1086" operator="equal">
      <formula>FALSE</formula>
    </cfRule>
  </conditionalFormatting>
  <conditionalFormatting sqref="AL214:AL222">
    <cfRule type="cellIs" dxfId="962" priority="1085" operator="equal">
      <formula>FALSE</formula>
    </cfRule>
  </conditionalFormatting>
  <conditionalFormatting sqref="AM214:AM222">
    <cfRule type="cellIs" dxfId="961" priority="1084" operator="equal">
      <formula>FALSE</formula>
    </cfRule>
  </conditionalFormatting>
  <conditionalFormatting sqref="AN214:AN222">
    <cfRule type="cellIs" dxfId="960" priority="1083" operator="equal">
      <formula>FALSE</formula>
    </cfRule>
  </conditionalFormatting>
  <conditionalFormatting sqref="AP214:AP222">
    <cfRule type="cellIs" dxfId="959" priority="1082" operator="equal">
      <formula>"INVALID"</formula>
    </cfRule>
  </conditionalFormatting>
  <conditionalFormatting sqref="AJ214:AJ222">
    <cfRule type="cellIs" dxfId="958" priority="1081" operator="equal">
      <formula>"INVALID"</formula>
    </cfRule>
  </conditionalFormatting>
  <conditionalFormatting sqref="AK214:AK222">
    <cfRule type="cellIs" dxfId="957" priority="1080" operator="equal">
      <formula>"INVALID"</formula>
    </cfRule>
  </conditionalFormatting>
  <conditionalFormatting sqref="AL214:AM222">
    <cfRule type="cellIs" dxfId="956" priority="1079" operator="equal">
      <formula>"INVALID"</formula>
    </cfRule>
  </conditionalFormatting>
  <conditionalFormatting sqref="AK214:AK222">
    <cfRule type="cellIs" dxfId="955" priority="1078" operator="equal">
      <formula>"INVALID"</formula>
    </cfRule>
  </conditionalFormatting>
  <conditionalFormatting sqref="AL214:AL222">
    <cfRule type="cellIs" dxfId="954" priority="1077" operator="equal">
      <formula>"INVALID"</formula>
    </cfRule>
  </conditionalFormatting>
  <conditionalFormatting sqref="AM214:AM222">
    <cfRule type="cellIs" dxfId="953" priority="1076" operator="equal">
      <formula>"INVALID"</formula>
    </cfRule>
  </conditionalFormatting>
  <conditionalFormatting sqref="AN214:AN222">
    <cfRule type="cellIs" dxfId="952" priority="1075" operator="equal">
      <formula>"INVALID"</formula>
    </cfRule>
  </conditionalFormatting>
  <conditionalFormatting sqref="AT217">
    <cfRule type="expression" dxfId="951" priority="1074">
      <formula>NOT($AM217)</formula>
    </cfRule>
  </conditionalFormatting>
  <conditionalFormatting sqref="AQ214:AQ222">
    <cfRule type="expression" dxfId="950" priority="1073">
      <formula>NOT($AJ214)</formula>
    </cfRule>
    <cfRule type="expression" dxfId="949" priority="1090">
      <formula>RIGHT($AQ214, 1)="*"</formula>
    </cfRule>
  </conditionalFormatting>
  <conditionalFormatting sqref="AS214:AS222">
    <cfRule type="expression" dxfId="948" priority="1072">
      <formula>NOT($AN214)</formula>
    </cfRule>
  </conditionalFormatting>
  <conditionalFormatting sqref="AS214:AS222">
    <cfRule type="expression" dxfId="947" priority="1071">
      <formula>NOT($AK214)</formula>
    </cfRule>
  </conditionalFormatting>
  <conditionalFormatting sqref="AO214:AO222">
    <cfRule type="cellIs" dxfId="946" priority="1070" operator="equal">
      <formula>FALSE</formula>
    </cfRule>
  </conditionalFormatting>
  <conditionalFormatting sqref="AO214:AO222">
    <cfRule type="cellIs" dxfId="945" priority="1069" operator="equal">
      <formula>"INVALID"</formula>
    </cfRule>
  </conditionalFormatting>
  <conditionalFormatting sqref="AO214:AO222">
    <cfRule type="cellIs" dxfId="944" priority="1068" operator="equal">
      <formula>"INVALID"</formula>
    </cfRule>
  </conditionalFormatting>
  <conditionalFormatting sqref="AI214:AI222">
    <cfRule type="cellIs" dxfId="943" priority="1067" operator="equal">
      <formula>"INVALID"</formula>
    </cfRule>
  </conditionalFormatting>
  <conditionalFormatting sqref="AI214:AI222">
    <cfRule type="cellIs" dxfId="942" priority="1066" operator="equal">
      <formula>"INVALID"</formula>
    </cfRule>
  </conditionalFormatting>
  <conditionalFormatting sqref="AI214:AI222">
    <cfRule type="cellIs" dxfId="941" priority="1065" operator="equal">
      <formula>"INVALID"</formula>
    </cfRule>
  </conditionalFormatting>
  <conditionalFormatting sqref="AI214:AI222">
    <cfRule type="cellIs" dxfId="940" priority="1064" operator="equal">
      <formula>"INVALID"</formula>
    </cfRule>
  </conditionalFormatting>
  <conditionalFormatting sqref="BC256:BC257">
    <cfRule type="cellIs" dxfId="939" priority="1063" operator="equal">
      <formula>"Not Assigned"</formula>
    </cfRule>
  </conditionalFormatting>
  <conditionalFormatting sqref="AQ256:AQ257">
    <cfRule type="expression" dxfId="938" priority="1062" stopIfTrue="1">
      <formula>REPLACE($AQ256,8,LEN($AQ256),"")="unused_"</formula>
    </cfRule>
  </conditionalFormatting>
  <conditionalFormatting sqref="BC268:BC269">
    <cfRule type="cellIs" dxfId="937" priority="1060" operator="equal">
      <formula>"Not Assigned"</formula>
    </cfRule>
  </conditionalFormatting>
  <conditionalFormatting sqref="AQ268:AQ269">
    <cfRule type="expression" dxfId="936" priority="1061" stopIfTrue="1">
      <formula>REPLACE($AQ268,8,LEN($AQ268),"")="unused_"</formula>
    </cfRule>
  </conditionalFormatting>
  <conditionalFormatting sqref="BC375">
    <cfRule type="cellIs" dxfId="935" priority="1058" operator="equal">
      <formula>"Not Assigned"</formula>
    </cfRule>
  </conditionalFormatting>
  <conditionalFormatting sqref="AQ375">
    <cfRule type="expression" dxfId="934" priority="1059" stopIfTrue="1">
      <formula>REPLACE($AQ375,8,LEN($AQ375),"")="unused_"</formula>
    </cfRule>
  </conditionalFormatting>
  <conditionalFormatting sqref="BC562:BC564 BC584:BC586 BC573:BC575 BC595:BC597 BC606:BC608 BC628:BC630 BC617:BC619 BC539:BC546 BC523:BC537 BC549:BC553 AR522">
    <cfRule type="cellIs" dxfId="933" priority="1057" operator="equal">
      <formula>"Not Assigned"</formula>
    </cfRule>
  </conditionalFormatting>
  <conditionalFormatting sqref="BC554:BC561 BC639:BC643 BC565:BC572 BC576:BC583 BC587:BC594">
    <cfRule type="cellIs" dxfId="932" priority="1056" operator="equal">
      <formula>"Not Assigned"</formula>
    </cfRule>
  </conditionalFormatting>
  <conditionalFormatting sqref="BC598:BC605 BC609:BC616 BC620:BC627 BC631:BC638">
    <cfRule type="cellIs" dxfId="931" priority="1054" operator="equal">
      <formula>"Not Assigned"</formula>
    </cfRule>
  </conditionalFormatting>
  <conditionalFormatting sqref="BC538">
    <cfRule type="cellIs" dxfId="930" priority="1053" operator="equal">
      <formula>"Not Assigned"</formula>
    </cfRule>
  </conditionalFormatting>
  <conditionalFormatting sqref="BC648:BC649">
    <cfRule type="cellIs" dxfId="929" priority="1052" operator="equal">
      <formula>"Not Assigned"</formula>
    </cfRule>
  </conditionalFormatting>
  <conditionalFormatting sqref="BC646:BC647">
    <cfRule type="cellIs" dxfId="928" priority="1051" operator="equal">
      <formula>"Not Assigned"</formula>
    </cfRule>
  </conditionalFormatting>
  <conditionalFormatting sqref="BC644:BC645">
    <cfRule type="cellIs" dxfId="927" priority="1050" operator="equal">
      <formula>"Not Assigned"</formula>
    </cfRule>
  </conditionalFormatting>
  <conditionalFormatting sqref="BC652">
    <cfRule type="cellIs" dxfId="926" priority="1049" operator="equal">
      <formula>"Not Assigned"</formula>
    </cfRule>
  </conditionalFormatting>
  <conditionalFormatting sqref="BC650:BC651">
    <cfRule type="cellIs" dxfId="925" priority="1048" operator="equal">
      <formula>"Not Assigned"</formula>
    </cfRule>
  </conditionalFormatting>
  <conditionalFormatting sqref="BC547:BC548">
    <cfRule type="cellIs" dxfId="924" priority="1047" operator="equal">
      <formula>"Not Assigned"</formula>
    </cfRule>
  </conditionalFormatting>
  <conditionalFormatting sqref="AQ522:AQ666">
    <cfRule type="expression" dxfId="923" priority="1055" stopIfTrue="1">
      <formula>REPLACE($AQ522,8,LEN($AQ522),"")="unused_"</formula>
    </cfRule>
  </conditionalFormatting>
  <conditionalFormatting sqref="BC659:BC663">
    <cfRule type="cellIs" dxfId="922" priority="1046" operator="equal">
      <formula>"Not Assigned"</formula>
    </cfRule>
  </conditionalFormatting>
  <conditionalFormatting sqref="BC653:BC658">
    <cfRule type="cellIs" dxfId="921" priority="1045" operator="equal">
      <formula>"Not Assigned"</formula>
    </cfRule>
  </conditionalFormatting>
  <conditionalFormatting sqref="BC666">
    <cfRule type="cellIs" dxfId="920" priority="1044" operator="equal">
      <formula>"Not Assigned"</formula>
    </cfRule>
  </conditionalFormatting>
  <conditionalFormatting sqref="BC664:BC665">
    <cfRule type="cellIs" dxfId="919" priority="1043" operator="equal">
      <formula>"Not Assigned"</formula>
    </cfRule>
  </conditionalFormatting>
  <conditionalFormatting sqref="AQ75:AQ78">
    <cfRule type="expression" dxfId="918" priority="1042" stopIfTrue="1">
      <formula>REPLACE($AQ75,8,LEN($AQ75),"")="unused_"</formula>
    </cfRule>
  </conditionalFormatting>
  <conditionalFormatting sqref="AQ75:AQ78">
    <cfRule type="expression" dxfId="917" priority="1040">
      <formula>NOT($AJ75)</formula>
    </cfRule>
    <cfRule type="expression" dxfId="916" priority="1041">
      <formula>RIGHT($AQ75, 1)="*"</formula>
    </cfRule>
  </conditionalFormatting>
  <conditionalFormatting sqref="AQ234">
    <cfRule type="expression" dxfId="915" priority="1039" stopIfTrue="1">
      <formula>REPLACE($AQ234,8,LEN($AQ234),"")="unused_"</formula>
    </cfRule>
  </conditionalFormatting>
  <conditionalFormatting sqref="AQ234">
    <cfRule type="expression" dxfId="914" priority="1037">
      <formula>NOT($AJ234)</formula>
    </cfRule>
    <cfRule type="expression" dxfId="913" priority="1038">
      <formula>RIGHT($AQ234, 1)="*"</formula>
    </cfRule>
  </conditionalFormatting>
  <conditionalFormatting sqref="AQ235:AQ243">
    <cfRule type="expression" dxfId="912" priority="1036" stopIfTrue="1">
      <formula>REPLACE($AQ235,8,LEN($AQ235),"")="unused_"</formula>
    </cfRule>
  </conditionalFormatting>
  <conditionalFormatting sqref="AQ235:AQ243">
    <cfRule type="expression" dxfId="911" priority="1034">
      <formula>NOT($AJ235)</formula>
    </cfRule>
    <cfRule type="expression" dxfId="910" priority="1035">
      <formula>RIGHT($AQ235, 1)="*"</formula>
    </cfRule>
  </conditionalFormatting>
  <conditionalFormatting sqref="AQ248">
    <cfRule type="expression" dxfId="909" priority="1033" stopIfTrue="1">
      <formula>REPLACE($AQ248,8,LEN($AQ248),"")="unused_"</formula>
    </cfRule>
  </conditionalFormatting>
  <conditionalFormatting sqref="AT39">
    <cfRule type="expression" dxfId="908" priority="1032">
      <formula>NOT($AM40)</formula>
    </cfRule>
  </conditionalFormatting>
  <conditionalFormatting sqref="AT177">
    <cfRule type="expression" dxfId="907" priority="1031">
      <formula>NOT($AM178)</formula>
    </cfRule>
  </conditionalFormatting>
  <conditionalFormatting sqref="AT193">
    <cfRule type="expression" dxfId="906" priority="1029">
      <formula>NOT($AM194)</formula>
    </cfRule>
  </conditionalFormatting>
  <conditionalFormatting sqref="AT196">
    <cfRule type="expression" dxfId="905" priority="1028">
      <formula>NOT($AM197)</formula>
    </cfRule>
  </conditionalFormatting>
  <conditionalFormatting sqref="AT198">
    <cfRule type="expression" dxfId="904" priority="1027">
      <formula>NOT($AM199)</formula>
    </cfRule>
  </conditionalFormatting>
  <conditionalFormatting sqref="AT201">
    <cfRule type="expression" dxfId="903" priority="1026">
      <formula>NOT($AM202)</formula>
    </cfRule>
  </conditionalFormatting>
  <conditionalFormatting sqref="AT203">
    <cfRule type="expression" dxfId="902" priority="1025">
      <formula>NOT($AM203)</formula>
    </cfRule>
  </conditionalFormatting>
  <conditionalFormatting sqref="AT204">
    <cfRule type="expression" dxfId="901" priority="1024">
      <formula>NOT($AM204)</formula>
    </cfRule>
  </conditionalFormatting>
  <conditionalFormatting sqref="AT205">
    <cfRule type="expression" dxfId="900" priority="1023">
      <formula>NOT($AM205)</formula>
    </cfRule>
  </conditionalFormatting>
  <conditionalFormatting sqref="AT209">
    <cfRule type="expression" dxfId="899" priority="1022">
      <formula>NOT($AM209)</formula>
    </cfRule>
  </conditionalFormatting>
  <conditionalFormatting sqref="AT213:AT216">
    <cfRule type="expression" dxfId="898" priority="1021">
      <formula>NOT($AM213)</formula>
    </cfRule>
  </conditionalFormatting>
  <conditionalFormatting sqref="AT218">
    <cfRule type="expression" dxfId="897" priority="1020">
      <formula>NOT($AM218)</formula>
    </cfRule>
  </conditionalFormatting>
  <conditionalFormatting sqref="AT220:AT224">
    <cfRule type="expression" dxfId="896" priority="1019">
      <formula>NOT($AM220)</formula>
    </cfRule>
  </conditionalFormatting>
  <conditionalFormatting sqref="AT236">
    <cfRule type="expression" dxfId="895" priority="1018">
      <formula>NOT($AM236)</formula>
    </cfRule>
  </conditionalFormatting>
  <conditionalFormatting sqref="AT239">
    <cfRule type="expression" dxfId="894" priority="1017">
      <formula>NOT($AM239)</formula>
    </cfRule>
  </conditionalFormatting>
  <conditionalFormatting sqref="AT240">
    <cfRule type="expression" dxfId="893" priority="1016">
      <formula>NOT($AM240)</formula>
    </cfRule>
  </conditionalFormatting>
  <conditionalFormatting sqref="AT243">
    <cfRule type="expression" dxfId="892" priority="1015">
      <formula>NOT($AM243)</formula>
    </cfRule>
  </conditionalFormatting>
  <conditionalFormatting sqref="AY180">
    <cfRule type="expression" dxfId="891" priority="1014">
      <formula>AND(NOT(ISBLANK(AY180)), EXACT(AF180, "INVALID"))</formula>
    </cfRule>
  </conditionalFormatting>
  <conditionalFormatting sqref="AZ180">
    <cfRule type="expression" dxfId="890" priority="1013">
      <formula>AND(NOT(ISBLANK(AZ180)), EXACT(AF180, "INVALID"))</formula>
    </cfRule>
  </conditionalFormatting>
  <conditionalFormatting sqref="AY157">
    <cfRule type="expression" dxfId="889" priority="1012">
      <formula>AND(NOT(ISBLANK(AY157)), EXACT(AF157, "INVALID"))</formula>
    </cfRule>
  </conditionalFormatting>
  <conditionalFormatting sqref="AZ157">
    <cfRule type="expression" dxfId="888" priority="1011">
      <formula>AND(NOT(ISBLANK(AZ157)), EXACT(AF157, "INVALID"))</formula>
    </cfRule>
  </conditionalFormatting>
  <conditionalFormatting sqref="AT109">
    <cfRule type="expression" dxfId="887" priority="992">
      <formula>NOT($AM109)</formula>
    </cfRule>
  </conditionalFormatting>
  <conditionalFormatting sqref="AY157:AZ157">
    <cfRule type="expression" dxfId="886" priority="1010">
      <formula>NOT($AN157)</formula>
    </cfRule>
  </conditionalFormatting>
  <conditionalFormatting sqref="AT15">
    <cfRule type="expression" dxfId="885" priority="1009">
      <formula>NOT($AM15)</formula>
    </cfRule>
  </conditionalFormatting>
  <conditionalFormatting sqref="AT17">
    <cfRule type="expression" dxfId="884" priority="1008">
      <formula>NOT($AM17)</formula>
    </cfRule>
  </conditionalFormatting>
  <conditionalFormatting sqref="AT23">
    <cfRule type="expression" dxfId="883" priority="1007">
      <formula>NOT($AM23)</formula>
    </cfRule>
  </conditionalFormatting>
  <conditionalFormatting sqref="AT30">
    <cfRule type="expression" dxfId="882" priority="1006">
      <formula>NOT($AM30)</formula>
    </cfRule>
  </conditionalFormatting>
  <conditionalFormatting sqref="AT31">
    <cfRule type="expression" dxfId="881" priority="1005">
      <formula>NOT($AM31)</formula>
    </cfRule>
  </conditionalFormatting>
  <conditionalFormatting sqref="AT32">
    <cfRule type="expression" dxfId="880" priority="1004">
      <formula>NOT($AM32)</formula>
    </cfRule>
  </conditionalFormatting>
  <conditionalFormatting sqref="AT33">
    <cfRule type="expression" dxfId="879" priority="1003">
      <formula>NOT($AM33)</formula>
    </cfRule>
  </conditionalFormatting>
  <conditionalFormatting sqref="AT50">
    <cfRule type="expression" dxfId="878" priority="1002">
      <formula>NOT($AM50)</formula>
    </cfRule>
  </conditionalFormatting>
  <conditionalFormatting sqref="AT52">
    <cfRule type="expression" dxfId="877" priority="1001">
      <formula>NOT($AM52)</formula>
    </cfRule>
  </conditionalFormatting>
  <conditionalFormatting sqref="AT65">
    <cfRule type="expression" dxfId="876" priority="1000">
      <formula>NOT($AM65)</formula>
    </cfRule>
  </conditionalFormatting>
  <conditionalFormatting sqref="AT71">
    <cfRule type="expression" dxfId="875" priority="999">
      <formula>NOT($AM71)</formula>
    </cfRule>
  </conditionalFormatting>
  <conditionalFormatting sqref="AT72">
    <cfRule type="expression" dxfId="874" priority="998">
      <formula>NOT($AM72)</formula>
    </cfRule>
  </conditionalFormatting>
  <conditionalFormatting sqref="AT73">
    <cfRule type="expression" dxfId="873" priority="997">
      <formula>NOT($AM73)</formula>
    </cfRule>
  </conditionalFormatting>
  <conditionalFormatting sqref="AT85">
    <cfRule type="expression" dxfId="872" priority="996">
      <formula>NOT($AM85)</formula>
    </cfRule>
  </conditionalFormatting>
  <conditionalFormatting sqref="AT127">
    <cfRule type="expression" dxfId="871" priority="990">
      <formula>NOT($AM127)</formula>
    </cfRule>
  </conditionalFormatting>
  <conditionalFormatting sqref="AT128">
    <cfRule type="expression" dxfId="870" priority="989">
      <formula>NOT($AM128)</formula>
    </cfRule>
  </conditionalFormatting>
  <conditionalFormatting sqref="AT129">
    <cfRule type="expression" dxfId="869" priority="988">
      <formula>NOT($AM129)</formula>
    </cfRule>
  </conditionalFormatting>
  <conditionalFormatting sqref="AT130">
    <cfRule type="expression" dxfId="868" priority="987">
      <formula>NOT($AM130)</formula>
    </cfRule>
  </conditionalFormatting>
  <conditionalFormatting sqref="AT137">
    <cfRule type="expression" dxfId="867" priority="986">
      <formula>NOT($AM137)</formula>
    </cfRule>
  </conditionalFormatting>
  <conditionalFormatting sqref="AT140">
    <cfRule type="expression" dxfId="866" priority="985">
      <formula>NOT($AM140)</formula>
    </cfRule>
  </conditionalFormatting>
  <conditionalFormatting sqref="AT141">
    <cfRule type="expression" dxfId="865" priority="984">
      <formula>NOT($AM141)</formula>
    </cfRule>
  </conditionalFormatting>
  <conditionalFormatting sqref="AT143">
    <cfRule type="expression" dxfId="864" priority="983">
      <formula>NOT($AM143)</formula>
    </cfRule>
  </conditionalFormatting>
  <conditionalFormatting sqref="AT145">
    <cfRule type="expression" dxfId="863" priority="982">
      <formula>NOT($AM145)</formula>
    </cfRule>
  </conditionalFormatting>
  <conditionalFormatting sqref="AT147">
    <cfRule type="expression" dxfId="862" priority="981">
      <formula>NOT($AM147)</formula>
    </cfRule>
  </conditionalFormatting>
  <conditionalFormatting sqref="AT152">
    <cfRule type="expression" dxfId="861" priority="980">
      <formula>NOT($AM152)</formula>
    </cfRule>
  </conditionalFormatting>
  <conditionalFormatting sqref="AT156">
    <cfRule type="expression" dxfId="860" priority="979">
      <formula>NOT($AM156)</formula>
    </cfRule>
  </conditionalFormatting>
  <conditionalFormatting sqref="AT157">
    <cfRule type="expression" dxfId="859" priority="978">
      <formula>NOT($AM157)</formula>
    </cfRule>
  </conditionalFormatting>
  <conditionalFormatting sqref="AT158">
    <cfRule type="expression" dxfId="858" priority="977">
      <formula>NOT($AM158)</formula>
    </cfRule>
  </conditionalFormatting>
  <conditionalFormatting sqref="AT159">
    <cfRule type="expression" dxfId="857" priority="976">
      <formula>NOT($AM159)</formula>
    </cfRule>
  </conditionalFormatting>
  <conditionalFormatting sqref="AT162">
    <cfRule type="expression" dxfId="856" priority="975">
      <formula>NOT($AM162)</formula>
    </cfRule>
  </conditionalFormatting>
  <conditionalFormatting sqref="AT163">
    <cfRule type="expression" dxfId="855" priority="974">
      <formula>NOT($AM163)</formula>
    </cfRule>
  </conditionalFormatting>
  <conditionalFormatting sqref="AT165">
    <cfRule type="expression" dxfId="854" priority="973">
      <formula>NOT($AM165)</formula>
    </cfRule>
  </conditionalFormatting>
  <conditionalFormatting sqref="AT167">
    <cfRule type="expression" dxfId="853" priority="972">
      <formula>NOT($AM167)</formula>
    </cfRule>
  </conditionalFormatting>
  <conditionalFormatting sqref="AT168">
    <cfRule type="expression" dxfId="852" priority="971">
      <formula>NOT($AM168)</formula>
    </cfRule>
  </conditionalFormatting>
  <conditionalFormatting sqref="AT169">
    <cfRule type="expression" dxfId="851" priority="970">
      <formula>NOT($AM169)</formula>
    </cfRule>
  </conditionalFormatting>
  <conditionalFormatting sqref="AR157">
    <cfRule type="expression" dxfId="850" priority="968">
      <formula>NOT($AL157)</formula>
    </cfRule>
  </conditionalFormatting>
  <conditionalFormatting sqref="AR157">
    <cfRule type="cellIs" dxfId="849" priority="967" operator="equal">
      <formula>"Not Assigned"</formula>
    </cfRule>
  </conditionalFormatting>
  <conditionalFormatting sqref="AQ157">
    <cfRule type="expression" dxfId="848" priority="969" stopIfTrue="1">
      <formula>REPLACE($AQ157,8,LEN($AQ157),"")="unused_"</formula>
    </cfRule>
  </conditionalFormatting>
  <conditionalFormatting sqref="AQ157">
    <cfRule type="expression" dxfId="847" priority="965">
      <formula>NOT($AJ157)</formula>
    </cfRule>
    <cfRule type="expression" dxfId="846" priority="966">
      <formula>RIGHT($AQ157, 1)="*"</formula>
    </cfRule>
  </conditionalFormatting>
  <conditionalFormatting sqref="AR180">
    <cfRule type="cellIs" dxfId="845" priority="964" operator="equal">
      <formula>"Not Assigned"</formula>
    </cfRule>
  </conditionalFormatting>
  <conditionalFormatting sqref="AF192">
    <cfRule type="cellIs" dxfId="844" priority="961" operator="equal">
      <formula>"INVALID"</formula>
    </cfRule>
  </conditionalFormatting>
  <conditionalFormatting sqref="AR246">
    <cfRule type="cellIs" dxfId="843" priority="960" operator="equal">
      <formula>"Not Assigned"</formula>
    </cfRule>
  </conditionalFormatting>
  <conditionalFormatting sqref="AD246:AF246 AH246">
    <cfRule type="cellIs" dxfId="842" priority="959" operator="equal">
      <formula>"INVALID"</formula>
    </cfRule>
  </conditionalFormatting>
  <conditionalFormatting sqref="AS246">
    <cfRule type="expression" dxfId="841" priority="958">
      <formula>EXACT(AF246, "INVALID")</formula>
    </cfRule>
  </conditionalFormatting>
  <conditionalFormatting sqref="AY246">
    <cfRule type="expression" dxfId="840" priority="957">
      <formula>AND(NOT(ISBLANK(AY246)), EXACT(AF246, "INVALID"))</formula>
    </cfRule>
  </conditionalFormatting>
  <conditionalFormatting sqref="AZ246">
    <cfRule type="expression" dxfId="839" priority="956">
      <formula>AND(NOT(ISBLANK(AZ246)), EXACT(AF246, "INVALID"))</formula>
    </cfRule>
  </conditionalFormatting>
  <conditionalFormatting sqref="AR246">
    <cfRule type="expression" dxfId="838" priority="955">
      <formula>NOT($AL246)</formula>
    </cfRule>
  </conditionalFormatting>
  <conditionalFormatting sqref="AJ246">
    <cfRule type="cellIs" dxfId="837" priority="954" operator="equal">
      <formula>FALSE</formula>
    </cfRule>
  </conditionalFormatting>
  <conditionalFormatting sqref="AK246">
    <cfRule type="cellIs" dxfId="836" priority="953" operator="equal">
      <formula>FALSE</formula>
    </cfRule>
  </conditionalFormatting>
  <conditionalFormatting sqref="AL246">
    <cfRule type="cellIs" dxfId="835" priority="952" operator="equal">
      <formula>FALSE</formula>
    </cfRule>
  </conditionalFormatting>
  <conditionalFormatting sqref="AM246">
    <cfRule type="cellIs" dxfId="834" priority="951" operator="equal">
      <formula>FALSE</formula>
    </cfRule>
  </conditionalFormatting>
  <conditionalFormatting sqref="AN246">
    <cfRule type="cellIs" dxfId="833" priority="950" operator="equal">
      <formula>FALSE</formula>
    </cfRule>
  </conditionalFormatting>
  <conditionalFormatting sqref="AP246">
    <cfRule type="cellIs" dxfId="832" priority="949" operator="equal">
      <formula>"INVALID"</formula>
    </cfRule>
  </conditionalFormatting>
  <conditionalFormatting sqref="AJ246">
    <cfRule type="cellIs" dxfId="831" priority="948" operator="equal">
      <formula>"INVALID"</formula>
    </cfRule>
  </conditionalFormatting>
  <conditionalFormatting sqref="AK246">
    <cfRule type="cellIs" dxfId="830" priority="947" operator="equal">
      <formula>"INVALID"</formula>
    </cfRule>
  </conditionalFormatting>
  <conditionalFormatting sqref="AL246:AM246">
    <cfRule type="cellIs" dxfId="829" priority="946" operator="equal">
      <formula>"INVALID"</formula>
    </cfRule>
  </conditionalFormatting>
  <conditionalFormatting sqref="AK246">
    <cfRule type="cellIs" dxfId="828" priority="945" operator="equal">
      <formula>"INVALID"</formula>
    </cfRule>
  </conditionalFormatting>
  <conditionalFormatting sqref="AL246">
    <cfRule type="cellIs" dxfId="827" priority="944" operator="equal">
      <formula>"INVALID"</formula>
    </cfRule>
  </conditionalFormatting>
  <conditionalFormatting sqref="AM246">
    <cfRule type="cellIs" dxfId="826" priority="943" operator="equal">
      <formula>"INVALID"</formula>
    </cfRule>
  </conditionalFormatting>
  <conditionalFormatting sqref="AN246">
    <cfRule type="cellIs" dxfId="825" priority="942" operator="equal">
      <formula>"INVALID"</formula>
    </cfRule>
  </conditionalFormatting>
  <conditionalFormatting sqref="AY246:AZ246">
    <cfRule type="expression" dxfId="824" priority="941">
      <formula>NOT($AN246)</formula>
    </cfRule>
  </conditionalFormatting>
  <conditionalFormatting sqref="AS246">
    <cfRule type="expression" dxfId="823" priority="940">
      <formula>NOT($AK246)</formula>
    </cfRule>
  </conditionalFormatting>
  <conditionalFormatting sqref="AO246">
    <cfRule type="cellIs" dxfId="822" priority="939" operator="equal">
      <formula>FALSE</formula>
    </cfRule>
  </conditionalFormatting>
  <conditionalFormatting sqref="AO246">
    <cfRule type="cellIs" dxfId="821" priority="938" operator="equal">
      <formula>"INVALID"</formula>
    </cfRule>
  </conditionalFormatting>
  <conditionalFormatting sqref="AO246">
    <cfRule type="cellIs" dxfId="820" priority="937" operator="equal">
      <formula>"INVALID"</formula>
    </cfRule>
  </conditionalFormatting>
  <conditionalFormatting sqref="AI246">
    <cfRule type="cellIs" dxfId="819" priority="936" operator="equal">
      <formula>"INVALID"</formula>
    </cfRule>
  </conditionalFormatting>
  <conditionalFormatting sqref="AI246">
    <cfRule type="cellIs" dxfId="818" priority="935" operator="equal">
      <formula>"INVALID"</formula>
    </cfRule>
  </conditionalFormatting>
  <conditionalFormatting sqref="AI246">
    <cfRule type="cellIs" dxfId="817" priority="934" operator="equal">
      <formula>"INVALID"</formula>
    </cfRule>
  </conditionalFormatting>
  <conditionalFormatting sqref="AI246">
    <cfRule type="cellIs" dxfId="816" priority="933" operator="equal">
      <formula>"INVALID"</formula>
    </cfRule>
  </conditionalFormatting>
  <conditionalFormatting sqref="AQ246">
    <cfRule type="expression" dxfId="815" priority="932" stopIfTrue="1">
      <formula>REPLACE($AQ246,8,LEN($AQ246),"")="unused_"</formula>
    </cfRule>
  </conditionalFormatting>
  <conditionalFormatting sqref="AQ246">
    <cfRule type="expression" dxfId="814" priority="930">
      <formula>NOT($AJ246)</formula>
    </cfRule>
    <cfRule type="expression" dxfId="813" priority="931">
      <formula>RIGHT($AQ246, 1)="*"</formula>
    </cfRule>
  </conditionalFormatting>
  <conditionalFormatting sqref="AR247">
    <cfRule type="cellIs" dxfId="812" priority="929" operator="equal">
      <formula>"Not Assigned"</formula>
    </cfRule>
  </conditionalFormatting>
  <conditionalFormatting sqref="AD247:AF247 AH247">
    <cfRule type="cellIs" dxfId="811" priority="928" operator="equal">
      <formula>"INVALID"</formula>
    </cfRule>
  </conditionalFormatting>
  <conditionalFormatting sqref="AS247">
    <cfRule type="expression" dxfId="810" priority="927">
      <formula>EXACT(AF247, "INVALID")</formula>
    </cfRule>
  </conditionalFormatting>
  <conditionalFormatting sqref="AY247">
    <cfRule type="expression" dxfId="809" priority="926">
      <formula>AND(NOT(ISBLANK(AY247)), EXACT(AF247, "INVALID"))</formula>
    </cfRule>
  </conditionalFormatting>
  <conditionalFormatting sqref="AZ247">
    <cfRule type="expression" dxfId="808" priority="925">
      <formula>AND(NOT(ISBLANK(AZ247)), EXACT(AF247, "INVALID"))</formula>
    </cfRule>
  </conditionalFormatting>
  <conditionalFormatting sqref="AR247">
    <cfRule type="expression" dxfId="807" priority="924">
      <formula>NOT($AL247)</formula>
    </cfRule>
  </conditionalFormatting>
  <conditionalFormatting sqref="AJ247">
    <cfRule type="cellIs" dxfId="806" priority="923" operator="equal">
      <formula>FALSE</formula>
    </cfRule>
  </conditionalFormatting>
  <conditionalFormatting sqref="AK247">
    <cfRule type="cellIs" dxfId="805" priority="922" operator="equal">
      <formula>FALSE</formula>
    </cfRule>
  </conditionalFormatting>
  <conditionalFormatting sqref="AL247">
    <cfRule type="cellIs" dxfId="804" priority="921" operator="equal">
      <formula>FALSE</formula>
    </cfRule>
  </conditionalFormatting>
  <conditionalFormatting sqref="AM247">
    <cfRule type="cellIs" dxfId="803" priority="920" operator="equal">
      <formula>FALSE</formula>
    </cfRule>
  </conditionalFormatting>
  <conditionalFormatting sqref="AN247">
    <cfRule type="cellIs" dxfId="802" priority="919" operator="equal">
      <formula>FALSE</formula>
    </cfRule>
  </conditionalFormatting>
  <conditionalFormatting sqref="AP247">
    <cfRule type="cellIs" dxfId="801" priority="918" operator="equal">
      <formula>"INVALID"</formula>
    </cfRule>
  </conditionalFormatting>
  <conditionalFormatting sqref="AJ247">
    <cfRule type="cellIs" dxfId="800" priority="917" operator="equal">
      <formula>"INVALID"</formula>
    </cfRule>
  </conditionalFormatting>
  <conditionalFormatting sqref="AK247">
    <cfRule type="cellIs" dxfId="799" priority="916" operator="equal">
      <formula>"INVALID"</formula>
    </cfRule>
  </conditionalFormatting>
  <conditionalFormatting sqref="AL247:AM247">
    <cfRule type="cellIs" dxfId="798" priority="915" operator="equal">
      <formula>"INVALID"</formula>
    </cfRule>
  </conditionalFormatting>
  <conditionalFormatting sqref="AK247">
    <cfRule type="cellIs" dxfId="797" priority="914" operator="equal">
      <formula>"INVALID"</formula>
    </cfRule>
  </conditionalFormatting>
  <conditionalFormatting sqref="AL247">
    <cfRule type="cellIs" dxfId="796" priority="913" operator="equal">
      <formula>"INVALID"</formula>
    </cfRule>
  </conditionalFormatting>
  <conditionalFormatting sqref="AM247">
    <cfRule type="cellIs" dxfId="795" priority="912" operator="equal">
      <formula>"INVALID"</formula>
    </cfRule>
  </conditionalFormatting>
  <conditionalFormatting sqref="AN247">
    <cfRule type="cellIs" dxfId="794" priority="911" operator="equal">
      <formula>"INVALID"</formula>
    </cfRule>
  </conditionalFormatting>
  <conditionalFormatting sqref="AY247:AZ247">
    <cfRule type="expression" dxfId="793" priority="910">
      <formula>NOT($AN247)</formula>
    </cfRule>
  </conditionalFormatting>
  <conditionalFormatting sqref="AS247">
    <cfRule type="expression" dxfId="792" priority="909">
      <formula>NOT($AK247)</formula>
    </cfRule>
  </conditionalFormatting>
  <conditionalFormatting sqref="AO247">
    <cfRule type="cellIs" dxfId="791" priority="908" operator="equal">
      <formula>FALSE</formula>
    </cfRule>
  </conditionalFormatting>
  <conditionalFormatting sqref="AO247">
    <cfRule type="cellIs" dxfId="790" priority="907" operator="equal">
      <formula>"INVALID"</formula>
    </cfRule>
  </conditionalFormatting>
  <conditionalFormatting sqref="AO247">
    <cfRule type="cellIs" dxfId="789" priority="906" operator="equal">
      <formula>"INVALID"</formula>
    </cfRule>
  </conditionalFormatting>
  <conditionalFormatting sqref="AI247">
    <cfRule type="cellIs" dxfId="788" priority="905" operator="equal">
      <formula>"INVALID"</formula>
    </cfRule>
  </conditionalFormatting>
  <conditionalFormatting sqref="AI247">
    <cfRule type="cellIs" dxfId="787" priority="904" operator="equal">
      <formula>"INVALID"</formula>
    </cfRule>
  </conditionalFormatting>
  <conditionalFormatting sqref="AI247">
    <cfRule type="cellIs" dxfId="786" priority="903" operator="equal">
      <formula>"INVALID"</formula>
    </cfRule>
  </conditionalFormatting>
  <conditionalFormatting sqref="AI247">
    <cfRule type="cellIs" dxfId="785" priority="902" operator="equal">
      <formula>"INVALID"</formula>
    </cfRule>
  </conditionalFormatting>
  <conditionalFormatting sqref="AQ247">
    <cfRule type="expression" dxfId="784" priority="901" stopIfTrue="1">
      <formula>REPLACE($AQ247,8,LEN($AQ247),"")="unused_"</formula>
    </cfRule>
  </conditionalFormatting>
  <conditionalFormatting sqref="AQ247">
    <cfRule type="expression" dxfId="783" priority="899">
      <formula>NOT($AJ247)</formula>
    </cfRule>
    <cfRule type="expression" dxfId="782" priority="900">
      <formula>RIGHT($AQ247, 1)="*"</formula>
    </cfRule>
  </conditionalFormatting>
  <conditionalFormatting sqref="AV22">
    <cfRule type="expression" dxfId="781" priority="898">
      <formula>NOT($AO22)</formula>
    </cfRule>
  </conditionalFormatting>
  <conditionalFormatting sqref="AV23">
    <cfRule type="expression" dxfId="780" priority="897">
      <formula>NOT($AO23)</formula>
    </cfRule>
  </conditionalFormatting>
  <conditionalFormatting sqref="AV64">
    <cfRule type="expression" dxfId="779" priority="896">
      <formula>NOT($AO64)</formula>
    </cfRule>
  </conditionalFormatting>
  <conditionalFormatting sqref="AV65">
    <cfRule type="expression" dxfId="778" priority="895">
      <formula>NOT($AO65)</formula>
    </cfRule>
  </conditionalFormatting>
  <conditionalFormatting sqref="AV67">
    <cfRule type="expression" dxfId="777" priority="894">
      <formula>NOT($AO67)</formula>
    </cfRule>
  </conditionalFormatting>
  <conditionalFormatting sqref="AV68">
    <cfRule type="expression" dxfId="776" priority="893">
      <formula>NOT($AO68)</formula>
    </cfRule>
  </conditionalFormatting>
  <conditionalFormatting sqref="AV69">
    <cfRule type="expression" dxfId="775" priority="892">
      <formula>NOT($AO69)</formula>
    </cfRule>
  </conditionalFormatting>
  <conditionalFormatting sqref="AV70">
    <cfRule type="expression" dxfId="774" priority="891">
      <formula>NOT($AO70)</formula>
    </cfRule>
  </conditionalFormatting>
  <conditionalFormatting sqref="AV71">
    <cfRule type="expression" dxfId="773" priority="890">
      <formula>NOT($AO71)</formula>
    </cfRule>
  </conditionalFormatting>
  <conditionalFormatting sqref="AV72">
    <cfRule type="expression" dxfId="772" priority="889">
      <formula>NOT($AO72)</formula>
    </cfRule>
  </conditionalFormatting>
  <conditionalFormatting sqref="AV73">
    <cfRule type="expression" dxfId="771" priority="888">
      <formula>NOT($AO73)</formula>
    </cfRule>
  </conditionalFormatting>
  <conditionalFormatting sqref="AV142">
    <cfRule type="expression" dxfId="770" priority="887">
      <formula>NOT($AO142)</formula>
    </cfRule>
  </conditionalFormatting>
  <conditionalFormatting sqref="AV143">
    <cfRule type="expression" dxfId="769" priority="886">
      <formula>NOT($AO143)</formula>
    </cfRule>
  </conditionalFormatting>
  <conditionalFormatting sqref="AV164">
    <cfRule type="expression" dxfId="768" priority="885">
      <formula>NOT($AO164)</formula>
    </cfRule>
  </conditionalFormatting>
  <conditionalFormatting sqref="AV165">
    <cfRule type="expression" dxfId="767" priority="884">
      <formula>NOT($AO165)</formula>
    </cfRule>
  </conditionalFormatting>
  <conditionalFormatting sqref="AV166">
    <cfRule type="expression" dxfId="766" priority="883">
      <formula>NOT($AO166)</formula>
    </cfRule>
  </conditionalFormatting>
  <conditionalFormatting sqref="AV167">
    <cfRule type="expression" dxfId="765" priority="882">
      <formula>NOT($AO167)</formula>
    </cfRule>
  </conditionalFormatting>
  <conditionalFormatting sqref="AV168">
    <cfRule type="expression" dxfId="764" priority="881">
      <formula>NOT($AO168)</formula>
    </cfRule>
  </conditionalFormatting>
  <conditionalFormatting sqref="AV169">
    <cfRule type="expression" dxfId="763" priority="880">
      <formula>NOT($AO169)</formula>
    </cfRule>
  </conditionalFormatting>
  <conditionalFormatting sqref="AV197">
    <cfRule type="expression" dxfId="762" priority="879">
      <formula>NOT($AO197)</formula>
    </cfRule>
  </conditionalFormatting>
  <conditionalFormatting sqref="AV198">
    <cfRule type="expression" dxfId="761" priority="878">
      <formula>NOT($AO198)</formula>
    </cfRule>
  </conditionalFormatting>
  <conditionalFormatting sqref="AV209">
    <cfRule type="expression" dxfId="760" priority="877">
      <formula>NOT($AO209)</formula>
    </cfRule>
  </conditionalFormatting>
  <conditionalFormatting sqref="AV210">
    <cfRule type="expression" dxfId="759" priority="876">
      <formula>NOT($AO210)</formula>
    </cfRule>
  </conditionalFormatting>
  <conditionalFormatting sqref="AV236">
    <cfRule type="expression" dxfId="758" priority="875">
      <formula>NOT($AO236)</formula>
    </cfRule>
  </conditionalFormatting>
  <conditionalFormatting sqref="AV240">
    <cfRule type="expression" dxfId="757" priority="874">
      <formula>NOT($AO240)</formula>
    </cfRule>
  </conditionalFormatting>
  <conditionalFormatting sqref="AV239">
    <cfRule type="expression" dxfId="756" priority="873">
      <formula>NOT($AO239)</formula>
    </cfRule>
  </conditionalFormatting>
  <conditionalFormatting sqref="AR8">
    <cfRule type="cellIs" dxfId="755" priority="872" operator="equal">
      <formula>"Not Assigned"</formula>
    </cfRule>
  </conditionalFormatting>
  <conditionalFormatting sqref="AQ8">
    <cfRule type="expression" dxfId="754" priority="871" stopIfTrue="1">
      <formula>REPLACE($AQ8,8,LEN($AQ8),"")="unused_"</formula>
    </cfRule>
  </conditionalFormatting>
  <conditionalFormatting sqref="Q186">
    <cfRule type="cellIs" dxfId="753" priority="870" operator="equal">
      <formula>"INVALID"</formula>
    </cfRule>
  </conditionalFormatting>
  <conditionalFormatting sqref="R186">
    <cfRule type="cellIs" dxfId="752" priority="869" operator="equal">
      <formula>"INVALID"</formula>
    </cfRule>
  </conditionalFormatting>
  <conditionalFormatting sqref="S186">
    <cfRule type="cellIs" dxfId="751" priority="868" operator="equal">
      <formula>"INVALID"</formula>
    </cfRule>
  </conditionalFormatting>
  <conditionalFormatting sqref="T186">
    <cfRule type="cellIs" dxfId="750" priority="867" operator="equal">
      <formula>"INVALID"</formula>
    </cfRule>
  </conditionalFormatting>
  <conditionalFormatting sqref="U186:V186">
    <cfRule type="cellIs" dxfId="749" priority="866" operator="equal">
      <formula>"INVALID"</formula>
    </cfRule>
  </conditionalFormatting>
  <conditionalFormatting sqref="Q171">
    <cfRule type="cellIs" dxfId="748" priority="865" operator="equal">
      <formula>"INVALID"</formula>
    </cfRule>
  </conditionalFormatting>
  <conditionalFormatting sqref="R171">
    <cfRule type="cellIs" dxfId="747" priority="864" operator="equal">
      <formula>"INVALID"</formula>
    </cfRule>
  </conditionalFormatting>
  <conditionalFormatting sqref="S171">
    <cfRule type="cellIs" dxfId="746" priority="863" operator="equal">
      <formula>"INVALID"</formula>
    </cfRule>
  </conditionalFormatting>
  <conditionalFormatting sqref="T171">
    <cfRule type="cellIs" dxfId="745" priority="862" operator="equal">
      <formula>"INVALID"</formula>
    </cfRule>
  </conditionalFormatting>
  <conditionalFormatting sqref="U171">
    <cfRule type="cellIs" dxfId="744" priority="861" operator="equal">
      <formula>"INVALID"</formula>
    </cfRule>
  </conditionalFormatting>
  <conditionalFormatting sqref="Q179">
    <cfRule type="cellIs" dxfId="743" priority="860" operator="equal">
      <formula>"INVALID"</formula>
    </cfRule>
  </conditionalFormatting>
  <conditionalFormatting sqref="R179">
    <cfRule type="cellIs" dxfId="742" priority="859" operator="equal">
      <formula>"INVALID"</formula>
    </cfRule>
  </conditionalFormatting>
  <conditionalFormatting sqref="S179">
    <cfRule type="cellIs" dxfId="741" priority="858" operator="equal">
      <formula>"INVALID"</formula>
    </cfRule>
  </conditionalFormatting>
  <conditionalFormatting sqref="T179">
    <cfRule type="cellIs" dxfId="740" priority="857" operator="equal">
      <formula>"INVALID"</formula>
    </cfRule>
  </conditionalFormatting>
  <conditionalFormatting sqref="U179">
    <cfRule type="cellIs" dxfId="739" priority="856" operator="equal">
      <formula>"INVALID"</formula>
    </cfRule>
  </conditionalFormatting>
  <conditionalFormatting sqref="Q180">
    <cfRule type="cellIs" dxfId="738" priority="855" operator="equal">
      <formula>"INVALID"</formula>
    </cfRule>
  </conditionalFormatting>
  <conditionalFormatting sqref="R180">
    <cfRule type="cellIs" dxfId="737" priority="854" operator="equal">
      <formula>"INVALID"</formula>
    </cfRule>
  </conditionalFormatting>
  <conditionalFormatting sqref="S180">
    <cfRule type="cellIs" dxfId="736" priority="853" operator="equal">
      <formula>"INVALID"</formula>
    </cfRule>
  </conditionalFormatting>
  <conditionalFormatting sqref="T180">
    <cfRule type="cellIs" dxfId="735" priority="852" operator="equal">
      <formula>"INVALID"</formula>
    </cfRule>
  </conditionalFormatting>
  <conditionalFormatting sqref="U180">
    <cfRule type="cellIs" dxfId="734" priority="851" operator="equal">
      <formula>"INVALID"</formula>
    </cfRule>
  </conditionalFormatting>
  <conditionalFormatting sqref="Q146">
    <cfRule type="cellIs" dxfId="733" priority="850" operator="equal">
      <formula>"INVALID"</formula>
    </cfRule>
  </conditionalFormatting>
  <conditionalFormatting sqref="R146">
    <cfRule type="cellIs" dxfId="732" priority="849" operator="equal">
      <formula>"INVALID"</formula>
    </cfRule>
  </conditionalFormatting>
  <conditionalFormatting sqref="S146">
    <cfRule type="cellIs" dxfId="731" priority="848" operator="equal">
      <formula>"INVALID"</formula>
    </cfRule>
  </conditionalFormatting>
  <conditionalFormatting sqref="T146">
    <cfRule type="cellIs" dxfId="730" priority="847" operator="equal">
      <formula>"INVALID"</formula>
    </cfRule>
  </conditionalFormatting>
  <conditionalFormatting sqref="U146:V146">
    <cfRule type="cellIs" dxfId="729" priority="846" operator="equal">
      <formula>"INVALID"</formula>
    </cfRule>
  </conditionalFormatting>
  <conditionalFormatting sqref="Q147">
    <cfRule type="cellIs" dxfId="728" priority="845" operator="equal">
      <formula>"INVALID"</formula>
    </cfRule>
  </conditionalFormatting>
  <conditionalFormatting sqref="R147">
    <cfRule type="cellIs" dxfId="727" priority="844" operator="equal">
      <formula>"INVALID"</formula>
    </cfRule>
  </conditionalFormatting>
  <conditionalFormatting sqref="S147">
    <cfRule type="cellIs" dxfId="726" priority="843" operator="equal">
      <formula>"INVALID"</formula>
    </cfRule>
  </conditionalFormatting>
  <conditionalFormatting sqref="T147">
    <cfRule type="cellIs" dxfId="725" priority="842" operator="equal">
      <formula>"INVALID"</formula>
    </cfRule>
  </conditionalFormatting>
  <conditionalFormatting sqref="U147:V147">
    <cfRule type="cellIs" dxfId="724" priority="841" operator="equal">
      <formula>"INVALID"</formula>
    </cfRule>
  </conditionalFormatting>
  <conditionalFormatting sqref="Q144">
    <cfRule type="cellIs" dxfId="723" priority="840" operator="equal">
      <formula>"INVALID"</formula>
    </cfRule>
  </conditionalFormatting>
  <conditionalFormatting sqref="R144">
    <cfRule type="cellIs" dxfId="722" priority="839" operator="equal">
      <formula>"INVALID"</formula>
    </cfRule>
  </conditionalFormatting>
  <conditionalFormatting sqref="S144">
    <cfRule type="cellIs" dxfId="721" priority="838" operator="equal">
      <formula>"INVALID"</formula>
    </cfRule>
  </conditionalFormatting>
  <conditionalFormatting sqref="T144">
    <cfRule type="cellIs" dxfId="720" priority="837" operator="equal">
      <formula>"INVALID"</formula>
    </cfRule>
  </conditionalFormatting>
  <conditionalFormatting sqref="U144:V144">
    <cfRule type="cellIs" dxfId="719" priority="836" operator="equal">
      <formula>"INVALID"</formula>
    </cfRule>
  </conditionalFormatting>
  <conditionalFormatting sqref="Q139">
    <cfRule type="cellIs" dxfId="718" priority="835" operator="equal">
      <formula>"INVALID"</formula>
    </cfRule>
  </conditionalFormatting>
  <conditionalFormatting sqref="R139">
    <cfRule type="cellIs" dxfId="717" priority="834" operator="equal">
      <formula>"INVALID"</formula>
    </cfRule>
  </conditionalFormatting>
  <conditionalFormatting sqref="S139">
    <cfRule type="cellIs" dxfId="716" priority="833" operator="equal">
      <formula>"INVALID"</formula>
    </cfRule>
  </conditionalFormatting>
  <conditionalFormatting sqref="T139">
    <cfRule type="cellIs" dxfId="715" priority="832" operator="equal">
      <formula>"INVALID"</formula>
    </cfRule>
  </conditionalFormatting>
  <conditionalFormatting sqref="U139:V139">
    <cfRule type="cellIs" dxfId="714" priority="831" operator="equal">
      <formula>"INVALID"</formula>
    </cfRule>
  </conditionalFormatting>
  <conditionalFormatting sqref="Q138">
    <cfRule type="cellIs" dxfId="713" priority="830" operator="equal">
      <formula>"INVALID"</formula>
    </cfRule>
  </conditionalFormatting>
  <conditionalFormatting sqref="R138">
    <cfRule type="cellIs" dxfId="712" priority="829" operator="equal">
      <formula>"INVALID"</formula>
    </cfRule>
  </conditionalFormatting>
  <conditionalFormatting sqref="S138">
    <cfRule type="cellIs" dxfId="711" priority="828" operator="equal">
      <formula>"INVALID"</formula>
    </cfRule>
  </conditionalFormatting>
  <conditionalFormatting sqref="T138">
    <cfRule type="cellIs" dxfId="710" priority="827" operator="equal">
      <formula>"INVALID"</formula>
    </cfRule>
  </conditionalFormatting>
  <conditionalFormatting sqref="U138:V138">
    <cfRule type="cellIs" dxfId="709" priority="826" operator="equal">
      <formula>"INVALID"</formula>
    </cfRule>
  </conditionalFormatting>
  <conditionalFormatting sqref="Q232">
    <cfRule type="cellIs" dxfId="708" priority="825" operator="equal">
      <formula>"INVALID"</formula>
    </cfRule>
  </conditionalFormatting>
  <conditionalFormatting sqref="R232">
    <cfRule type="cellIs" dxfId="707" priority="824" operator="equal">
      <formula>"INVALID"</formula>
    </cfRule>
  </conditionalFormatting>
  <conditionalFormatting sqref="S232">
    <cfRule type="cellIs" dxfId="706" priority="823" operator="equal">
      <formula>"INVALID"</formula>
    </cfRule>
  </conditionalFormatting>
  <conditionalFormatting sqref="T232">
    <cfRule type="cellIs" dxfId="705" priority="822" operator="equal">
      <formula>"INVALID"</formula>
    </cfRule>
  </conditionalFormatting>
  <conditionalFormatting sqref="U232:V232">
    <cfRule type="cellIs" dxfId="704" priority="821" operator="equal">
      <formula>"INVALID"</formula>
    </cfRule>
  </conditionalFormatting>
  <conditionalFormatting sqref="Q234">
    <cfRule type="cellIs" dxfId="703" priority="820" operator="equal">
      <formula>"INVALID"</formula>
    </cfRule>
  </conditionalFormatting>
  <conditionalFormatting sqref="R234">
    <cfRule type="cellIs" dxfId="702" priority="819" operator="equal">
      <formula>"INVALID"</formula>
    </cfRule>
  </conditionalFormatting>
  <conditionalFormatting sqref="S234">
    <cfRule type="cellIs" dxfId="701" priority="818" operator="equal">
      <formula>"INVALID"</formula>
    </cfRule>
  </conditionalFormatting>
  <conditionalFormatting sqref="T234">
    <cfRule type="cellIs" dxfId="700" priority="817" operator="equal">
      <formula>"INVALID"</formula>
    </cfRule>
  </conditionalFormatting>
  <conditionalFormatting sqref="U234:V234 V235:V244">
    <cfRule type="cellIs" dxfId="699" priority="816" operator="equal">
      <formula>"INVALID"</formula>
    </cfRule>
  </conditionalFormatting>
  <conditionalFormatting sqref="Q235">
    <cfRule type="cellIs" dxfId="698" priority="815" operator="equal">
      <formula>"INVALID"</formula>
    </cfRule>
  </conditionalFormatting>
  <conditionalFormatting sqref="R235">
    <cfRule type="cellIs" dxfId="697" priority="814" operator="equal">
      <formula>"INVALID"</formula>
    </cfRule>
  </conditionalFormatting>
  <conditionalFormatting sqref="S235">
    <cfRule type="cellIs" dxfId="696" priority="813" operator="equal">
      <formula>"INVALID"</formula>
    </cfRule>
  </conditionalFormatting>
  <conditionalFormatting sqref="T235">
    <cfRule type="cellIs" dxfId="695" priority="812" operator="equal">
      <formula>"INVALID"</formula>
    </cfRule>
  </conditionalFormatting>
  <conditionalFormatting sqref="U235:V235">
    <cfRule type="cellIs" dxfId="694" priority="811" operator="equal">
      <formula>"INVALID"</formula>
    </cfRule>
  </conditionalFormatting>
  <conditionalFormatting sqref="Q237">
    <cfRule type="cellIs" dxfId="693" priority="810" operator="equal">
      <formula>"INVALID"</formula>
    </cfRule>
  </conditionalFormatting>
  <conditionalFormatting sqref="R237">
    <cfRule type="cellIs" dxfId="692" priority="809" operator="equal">
      <formula>"INVALID"</formula>
    </cfRule>
  </conditionalFormatting>
  <conditionalFormatting sqref="S237">
    <cfRule type="cellIs" dxfId="691" priority="808" operator="equal">
      <formula>"INVALID"</formula>
    </cfRule>
  </conditionalFormatting>
  <conditionalFormatting sqref="T237">
    <cfRule type="cellIs" dxfId="690" priority="807" operator="equal">
      <formula>"INVALID"</formula>
    </cfRule>
  </conditionalFormatting>
  <conditionalFormatting sqref="U237:V237">
    <cfRule type="cellIs" dxfId="689" priority="806" operator="equal">
      <formula>"INVALID"</formula>
    </cfRule>
  </conditionalFormatting>
  <conditionalFormatting sqref="Q238">
    <cfRule type="cellIs" dxfId="688" priority="805" operator="equal">
      <formula>"INVALID"</formula>
    </cfRule>
  </conditionalFormatting>
  <conditionalFormatting sqref="R238">
    <cfRule type="cellIs" dxfId="687" priority="804" operator="equal">
      <formula>"INVALID"</formula>
    </cfRule>
  </conditionalFormatting>
  <conditionalFormatting sqref="S238">
    <cfRule type="cellIs" dxfId="686" priority="803" operator="equal">
      <formula>"INVALID"</formula>
    </cfRule>
  </conditionalFormatting>
  <conditionalFormatting sqref="T238">
    <cfRule type="cellIs" dxfId="685" priority="802" operator="equal">
      <formula>"INVALID"</formula>
    </cfRule>
  </conditionalFormatting>
  <conditionalFormatting sqref="U238:V238">
    <cfRule type="cellIs" dxfId="684" priority="801" operator="equal">
      <formula>"INVALID"</formula>
    </cfRule>
  </conditionalFormatting>
  <conditionalFormatting sqref="AD138">
    <cfRule type="cellIs" dxfId="683" priority="800" operator="equal">
      <formula>"INVALID"</formula>
    </cfRule>
  </conditionalFormatting>
  <conditionalFormatting sqref="AD138">
    <cfRule type="cellIs" dxfId="682" priority="799" operator="equal">
      <formula>"INVALID"</formula>
    </cfRule>
  </conditionalFormatting>
  <conditionalFormatting sqref="AD139">
    <cfRule type="cellIs" dxfId="681" priority="798" operator="equal">
      <formula>"INVALID"</formula>
    </cfRule>
  </conditionalFormatting>
  <conditionalFormatting sqref="AD139">
    <cfRule type="cellIs" dxfId="680" priority="797" operator="equal">
      <formula>"INVALID"</formula>
    </cfRule>
  </conditionalFormatting>
  <conditionalFormatting sqref="AD144">
    <cfRule type="cellIs" dxfId="679" priority="796" operator="equal">
      <formula>"INVALID"</formula>
    </cfRule>
  </conditionalFormatting>
  <conditionalFormatting sqref="AD144">
    <cfRule type="cellIs" dxfId="678" priority="795" operator="equal">
      <formula>"INVALID"</formula>
    </cfRule>
  </conditionalFormatting>
  <conditionalFormatting sqref="AD146:AD147">
    <cfRule type="cellIs" dxfId="677" priority="794" operator="equal">
      <formula>"INVALID"</formula>
    </cfRule>
  </conditionalFormatting>
  <conditionalFormatting sqref="AD146:AD147">
    <cfRule type="cellIs" dxfId="676" priority="793" operator="equal">
      <formula>"INVALID"</formula>
    </cfRule>
  </conditionalFormatting>
  <conditionalFormatting sqref="AD147">
    <cfRule type="cellIs" dxfId="675" priority="792" operator="equal">
      <formula>"INVALID"</formula>
    </cfRule>
  </conditionalFormatting>
  <conditionalFormatting sqref="AD147">
    <cfRule type="cellIs" dxfId="674" priority="791" operator="equal">
      <formula>"INVALID"</formula>
    </cfRule>
  </conditionalFormatting>
  <conditionalFormatting sqref="AD171">
    <cfRule type="cellIs" dxfId="673" priority="790" operator="equal">
      <formula>"INVALID"</formula>
    </cfRule>
  </conditionalFormatting>
  <conditionalFormatting sqref="AD171">
    <cfRule type="cellIs" dxfId="672" priority="789" operator="equal">
      <formula>"INVALID"</formula>
    </cfRule>
  </conditionalFormatting>
  <conditionalFormatting sqref="AD179">
    <cfRule type="cellIs" dxfId="671" priority="788" operator="equal">
      <formula>"INVALID"</formula>
    </cfRule>
  </conditionalFormatting>
  <conditionalFormatting sqref="AD179">
    <cfRule type="cellIs" dxfId="670" priority="787" operator="equal">
      <formula>"INVALID"</formula>
    </cfRule>
  </conditionalFormatting>
  <conditionalFormatting sqref="AD180">
    <cfRule type="cellIs" dxfId="669" priority="786" operator="equal">
      <formula>"INVALID"</formula>
    </cfRule>
  </conditionalFormatting>
  <conditionalFormatting sqref="AD180">
    <cfRule type="cellIs" dxfId="668" priority="785" operator="equal">
      <formula>"INVALID"</formula>
    </cfRule>
  </conditionalFormatting>
  <conditionalFormatting sqref="AD186">
    <cfRule type="cellIs" dxfId="667" priority="784" operator="equal">
      <formula>"INVALID"</formula>
    </cfRule>
  </conditionalFormatting>
  <conditionalFormatting sqref="AD186">
    <cfRule type="cellIs" dxfId="666" priority="783" operator="equal">
      <formula>"INVALID"</formula>
    </cfRule>
  </conditionalFormatting>
  <conditionalFormatting sqref="AD234">
    <cfRule type="cellIs" dxfId="665" priority="782" operator="equal">
      <formula>"INVALID"</formula>
    </cfRule>
  </conditionalFormatting>
  <conditionalFormatting sqref="AD235">
    <cfRule type="cellIs" dxfId="664" priority="781" operator="equal">
      <formula>"INVALID"</formula>
    </cfRule>
  </conditionalFormatting>
  <conditionalFormatting sqref="AD232">
    <cfRule type="cellIs" dxfId="663" priority="780" operator="equal">
      <formula>"INVALID"</formula>
    </cfRule>
  </conditionalFormatting>
  <conditionalFormatting sqref="AD237">
    <cfRule type="cellIs" dxfId="662" priority="779" operator="equal">
      <formula>"INVALID"</formula>
    </cfRule>
  </conditionalFormatting>
  <conditionalFormatting sqref="AD238">
    <cfRule type="cellIs" dxfId="661" priority="778" operator="equal">
      <formula>"INVALID"</formula>
    </cfRule>
  </conditionalFormatting>
  <conditionalFormatting sqref="AR79:AR80">
    <cfRule type="cellIs" dxfId="660" priority="776" operator="equal">
      <formula>"Not Assigned"</formula>
    </cfRule>
  </conditionalFormatting>
  <conditionalFormatting sqref="AD79:AF80 AH79:AI80">
    <cfRule type="cellIs" dxfId="659" priority="775" operator="equal">
      <formula>"INVALID"</formula>
    </cfRule>
  </conditionalFormatting>
  <conditionalFormatting sqref="AS79:AS80">
    <cfRule type="expression" dxfId="658" priority="774">
      <formula>EXACT(AF79, "INVALID")</formula>
    </cfRule>
  </conditionalFormatting>
  <conditionalFormatting sqref="AY79:AY80">
    <cfRule type="expression" dxfId="657" priority="773">
      <formula>AND(NOT(ISBLANK(AY79)), EXACT(AF79, "INVALID"))</formula>
    </cfRule>
  </conditionalFormatting>
  <conditionalFormatting sqref="AZ79:AZ80">
    <cfRule type="expression" dxfId="656" priority="772">
      <formula>AND(NOT(ISBLANK(AZ79)), EXACT(AF79, "INVALID"))</formula>
    </cfRule>
  </conditionalFormatting>
  <conditionalFormatting sqref="AR79:AR80">
    <cfRule type="expression" dxfId="655" priority="771">
      <formula>NOT($AL79)</formula>
    </cfRule>
  </conditionalFormatting>
  <conditionalFormatting sqref="AJ79:AJ80">
    <cfRule type="cellIs" dxfId="654" priority="770" operator="equal">
      <formula>FALSE</formula>
    </cfRule>
  </conditionalFormatting>
  <conditionalFormatting sqref="AK79:AK80">
    <cfRule type="cellIs" dxfId="653" priority="769" operator="equal">
      <formula>FALSE</formula>
    </cfRule>
  </conditionalFormatting>
  <conditionalFormatting sqref="AL79:AL80">
    <cfRule type="cellIs" dxfId="652" priority="768" operator="equal">
      <formula>FALSE</formula>
    </cfRule>
  </conditionalFormatting>
  <conditionalFormatting sqref="AM79:AM80">
    <cfRule type="cellIs" dxfId="651" priority="767" operator="equal">
      <formula>FALSE</formula>
    </cfRule>
  </conditionalFormatting>
  <conditionalFormatting sqref="AN79:AN80">
    <cfRule type="cellIs" dxfId="650" priority="766" operator="equal">
      <formula>FALSE</formula>
    </cfRule>
  </conditionalFormatting>
  <conditionalFormatting sqref="AP79:AP80">
    <cfRule type="cellIs" dxfId="649" priority="765" operator="equal">
      <formula>"INVALID"</formula>
    </cfRule>
  </conditionalFormatting>
  <conditionalFormatting sqref="AJ79:AJ80">
    <cfRule type="cellIs" dxfId="648" priority="764" operator="equal">
      <formula>"INVALID"</formula>
    </cfRule>
  </conditionalFormatting>
  <conditionalFormatting sqref="AK79:AK80">
    <cfRule type="cellIs" dxfId="647" priority="763" operator="equal">
      <formula>"INVALID"</formula>
    </cfRule>
  </conditionalFormatting>
  <conditionalFormatting sqref="AL79:AM80">
    <cfRule type="cellIs" dxfId="646" priority="762" operator="equal">
      <formula>"INVALID"</formula>
    </cfRule>
  </conditionalFormatting>
  <conditionalFormatting sqref="AK79:AK80">
    <cfRule type="cellIs" dxfId="645" priority="761" operator="equal">
      <formula>"INVALID"</formula>
    </cfRule>
  </conditionalFormatting>
  <conditionalFormatting sqref="AL79:AL80">
    <cfRule type="cellIs" dxfId="644" priority="760" operator="equal">
      <formula>"INVALID"</formula>
    </cfRule>
  </conditionalFormatting>
  <conditionalFormatting sqref="AM79:AM80">
    <cfRule type="cellIs" dxfId="643" priority="759" operator="equal">
      <formula>"INVALID"</formula>
    </cfRule>
  </conditionalFormatting>
  <conditionalFormatting sqref="AN79:AN80">
    <cfRule type="cellIs" dxfId="642" priority="758" operator="equal">
      <formula>"INVALID"</formula>
    </cfRule>
  </conditionalFormatting>
  <conditionalFormatting sqref="AS79:AS80">
    <cfRule type="expression" dxfId="641" priority="757">
      <formula>NOT($AN79)</formula>
    </cfRule>
  </conditionalFormatting>
  <conditionalFormatting sqref="AS79:AS80">
    <cfRule type="expression" dxfId="640" priority="756">
      <formula>NOT($AK79)</formula>
    </cfRule>
  </conditionalFormatting>
  <conditionalFormatting sqref="AO79:AO80">
    <cfRule type="cellIs" dxfId="639" priority="755" operator="equal">
      <formula>FALSE</formula>
    </cfRule>
  </conditionalFormatting>
  <conditionalFormatting sqref="AO79:AO80">
    <cfRule type="cellIs" dxfId="638" priority="754" operator="equal">
      <formula>"INVALID"</formula>
    </cfRule>
  </conditionalFormatting>
  <conditionalFormatting sqref="AO79:AO80">
    <cfRule type="cellIs" dxfId="637" priority="753" operator="equal">
      <formula>"INVALID"</formula>
    </cfRule>
  </conditionalFormatting>
  <conditionalFormatting sqref="AQ79:AQ80">
    <cfRule type="expression" dxfId="636" priority="752" stopIfTrue="1">
      <formula>REPLACE($AQ79,8,LEN($AQ79),"")="unused_"</formula>
    </cfRule>
  </conditionalFormatting>
  <conditionalFormatting sqref="AQ79:AQ80">
    <cfRule type="expression" dxfId="635" priority="750">
      <formula>NOT($AJ79)</formula>
    </cfRule>
    <cfRule type="expression" dxfId="634" priority="751">
      <formula>RIGHT($AQ79, 1)="*"</formula>
    </cfRule>
  </conditionalFormatting>
  <conditionalFormatting sqref="V246:V247">
    <cfRule type="cellIs" dxfId="633" priority="749" operator="equal">
      <formula>"INVALID"</formula>
    </cfRule>
  </conditionalFormatting>
  <conditionalFormatting sqref="V246:V247">
    <cfRule type="cellIs" dxfId="632" priority="748" operator="equal">
      <formula>"INVALID"</formula>
    </cfRule>
  </conditionalFormatting>
  <conditionalFormatting sqref="V250:V311">
    <cfRule type="cellIs" dxfId="631" priority="747" operator="equal">
      <formula>"INVALID"</formula>
    </cfRule>
  </conditionalFormatting>
  <conditionalFormatting sqref="V250:V311">
    <cfRule type="cellIs" dxfId="630" priority="746" operator="equal">
      <formula>"INVALID"</formula>
    </cfRule>
  </conditionalFormatting>
  <conditionalFormatting sqref="V313:V322">
    <cfRule type="cellIs" dxfId="629" priority="745" operator="equal">
      <formula>"INVALID"</formula>
    </cfRule>
  </conditionalFormatting>
  <conditionalFormatting sqref="V313:V322">
    <cfRule type="cellIs" dxfId="628" priority="744" operator="equal">
      <formula>"INVALID"</formula>
    </cfRule>
  </conditionalFormatting>
  <conditionalFormatting sqref="V324:V333">
    <cfRule type="cellIs" dxfId="627" priority="743" operator="equal">
      <formula>"INVALID"</formula>
    </cfRule>
  </conditionalFormatting>
  <conditionalFormatting sqref="V324:V333">
    <cfRule type="cellIs" dxfId="626" priority="742" operator="equal">
      <formula>"INVALID"</formula>
    </cfRule>
  </conditionalFormatting>
  <conditionalFormatting sqref="V335:V337">
    <cfRule type="cellIs" dxfId="625" priority="741" operator="equal">
      <formula>"INVALID"</formula>
    </cfRule>
  </conditionalFormatting>
  <conditionalFormatting sqref="V335:V337">
    <cfRule type="cellIs" dxfId="624" priority="740" operator="equal">
      <formula>"INVALID"</formula>
    </cfRule>
  </conditionalFormatting>
  <conditionalFormatting sqref="V339:V345">
    <cfRule type="cellIs" dxfId="623" priority="739" operator="equal">
      <formula>"INVALID"</formula>
    </cfRule>
  </conditionalFormatting>
  <conditionalFormatting sqref="V339:V345">
    <cfRule type="cellIs" dxfId="622" priority="738" operator="equal">
      <formula>"INVALID"</formula>
    </cfRule>
  </conditionalFormatting>
  <conditionalFormatting sqref="V347:V376">
    <cfRule type="cellIs" dxfId="621" priority="737" operator="equal">
      <formula>"INVALID"</formula>
    </cfRule>
  </conditionalFormatting>
  <conditionalFormatting sqref="V347:V376">
    <cfRule type="cellIs" dxfId="620" priority="736" operator="equal">
      <formula>"INVALID"</formula>
    </cfRule>
  </conditionalFormatting>
  <conditionalFormatting sqref="V378:V521">
    <cfRule type="cellIs" dxfId="619" priority="735" operator="equal">
      <formula>"INVALID"</formula>
    </cfRule>
  </conditionalFormatting>
  <conditionalFormatting sqref="V378:V521">
    <cfRule type="cellIs" dxfId="618" priority="734" operator="equal">
      <formula>"INVALID"</formula>
    </cfRule>
  </conditionalFormatting>
  <conditionalFormatting sqref="V523:V666">
    <cfRule type="cellIs" dxfId="617" priority="733" operator="equal">
      <formula>"INVALID"</formula>
    </cfRule>
  </conditionalFormatting>
  <conditionalFormatting sqref="V523:V666">
    <cfRule type="cellIs" dxfId="616" priority="732" operator="equal">
      <formula>"INVALID"</formula>
    </cfRule>
  </conditionalFormatting>
  <conditionalFormatting sqref="V668:V669">
    <cfRule type="cellIs" dxfId="615" priority="731" operator="equal">
      <formula>"INVALID"</formula>
    </cfRule>
  </conditionalFormatting>
  <conditionalFormatting sqref="V668:V669">
    <cfRule type="cellIs" dxfId="614" priority="730" operator="equal">
      <formula>"INVALID"</formula>
    </cfRule>
  </conditionalFormatting>
  <conditionalFormatting sqref="AE107:AE110">
    <cfRule type="cellIs" dxfId="613" priority="728" operator="equal">
      <formula>"INVALID"</formula>
    </cfRule>
  </conditionalFormatting>
  <conditionalFormatting sqref="AE107:AE110">
    <cfRule type="cellIs" dxfId="612" priority="727" operator="equal">
      <formula>"INVALID"</formula>
    </cfRule>
  </conditionalFormatting>
  <conditionalFormatting sqref="AE107:AE110">
    <cfRule type="cellIs" dxfId="611" priority="726" operator="equal">
      <formula>"INVALID"</formula>
    </cfRule>
  </conditionalFormatting>
  <conditionalFormatting sqref="AE106">
    <cfRule type="cellIs" dxfId="610" priority="725" operator="equal">
      <formula>"INVALID"</formula>
    </cfRule>
  </conditionalFormatting>
  <conditionalFormatting sqref="AE106">
    <cfRule type="cellIs" dxfId="609" priority="724" operator="equal">
      <formula>"INVALID"</formula>
    </cfRule>
  </conditionalFormatting>
  <conditionalFormatting sqref="AE106">
    <cfRule type="cellIs" dxfId="608" priority="723" operator="equal">
      <formula>"INVALID"</formula>
    </cfRule>
  </conditionalFormatting>
  <conditionalFormatting sqref="AR232">
    <cfRule type="expression" dxfId="607" priority="719">
      <formula>NOT($AL232)</formula>
    </cfRule>
  </conditionalFormatting>
  <conditionalFormatting sqref="AS232">
    <cfRule type="expression" dxfId="606" priority="718">
      <formula>NOT($AN232)</formula>
    </cfRule>
  </conditionalFormatting>
  <conditionalFormatting sqref="AS232">
    <cfRule type="expression" dxfId="605" priority="717">
      <formula>NOT($AK232)</formula>
    </cfRule>
  </conditionalFormatting>
  <conditionalFormatting sqref="AG157:AG180 AG233:AG244 AG225 AG25:AG33 AG35:AG44 AG46:AG53 AG55:AG65 AG67:AG73 AG75:AG88 AG182:AG191 AG105:AG112 AG90:AG91 AG126:AG148">
    <cfRule type="cellIs" dxfId="604" priority="716" operator="equal">
      <formula>"INVALID"</formula>
    </cfRule>
  </conditionalFormatting>
  <conditionalFormatting sqref="AG241:AG243">
    <cfRule type="cellIs" dxfId="603" priority="715" operator="equal">
      <formula>"INVALID"</formula>
    </cfRule>
  </conditionalFormatting>
  <conditionalFormatting sqref="AG242:AG243">
    <cfRule type="cellIs" dxfId="602" priority="714" operator="equal">
      <formula>"INVALID"</formula>
    </cfRule>
  </conditionalFormatting>
  <conditionalFormatting sqref="AG181">
    <cfRule type="cellIs" dxfId="601" priority="706" operator="equal">
      <formula>"INVALID"</formula>
    </cfRule>
  </conditionalFormatting>
  <conditionalFormatting sqref="AG193:AG211">
    <cfRule type="cellIs" dxfId="600" priority="705" operator="equal">
      <formula>"INVALID"</formula>
    </cfRule>
  </conditionalFormatting>
  <conditionalFormatting sqref="AG192">
    <cfRule type="cellIs" dxfId="599" priority="704" operator="equal">
      <formula>"INVALID"</formula>
    </cfRule>
  </conditionalFormatting>
  <conditionalFormatting sqref="AG231:AG232">
    <cfRule type="cellIs" dxfId="598" priority="703" operator="equal">
      <formula>"INVALID"</formula>
    </cfRule>
  </conditionalFormatting>
  <conditionalFormatting sqref="AG226:AG232">
    <cfRule type="cellIs" dxfId="597" priority="702" operator="equal">
      <formula>"INVALID"</formula>
    </cfRule>
  </conditionalFormatting>
  <conditionalFormatting sqref="AG106:AG111">
    <cfRule type="cellIs" dxfId="596" priority="699" operator="equal">
      <formula>"INVALID"</formula>
    </cfRule>
  </conditionalFormatting>
  <conditionalFormatting sqref="AG182:AG191">
    <cfRule type="cellIs" dxfId="595" priority="698" operator="equal">
      <formula>"INVALID"</formula>
    </cfRule>
  </conditionalFormatting>
  <conditionalFormatting sqref="AG182:AG191">
    <cfRule type="cellIs" dxfId="594" priority="697" operator="equal">
      <formula>"INVALID"</formula>
    </cfRule>
  </conditionalFormatting>
  <conditionalFormatting sqref="AG10:AG23">
    <cfRule type="cellIs" dxfId="593" priority="679" operator="equal">
      <formula>"INVALID"</formula>
    </cfRule>
  </conditionalFormatting>
  <conditionalFormatting sqref="AG106:AG111">
    <cfRule type="cellIs" dxfId="592" priority="700" operator="equal">
      <formula>"INVALID"</formula>
    </cfRule>
  </conditionalFormatting>
  <conditionalFormatting sqref="AG193:AG211">
    <cfRule type="cellIs" dxfId="591" priority="696" operator="equal">
      <formula>"INVALID"</formula>
    </cfRule>
  </conditionalFormatting>
  <conditionalFormatting sqref="AG193:AG211">
    <cfRule type="cellIs" dxfId="590" priority="695" operator="equal">
      <formula>"INVALID"</formula>
    </cfRule>
  </conditionalFormatting>
  <conditionalFormatting sqref="AG193:AG211">
    <cfRule type="cellIs" dxfId="589" priority="694" operator="equal">
      <formula>"INVALID"</formula>
    </cfRule>
  </conditionalFormatting>
  <conditionalFormatting sqref="AG226:AG232">
    <cfRule type="cellIs" dxfId="588" priority="693" operator="equal">
      <formula>"INVALID"</formula>
    </cfRule>
  </conditionalFormatting>
  <conditionalFormatting sqref="AG226:AG232">
    <cfRule type="cellIs" dxfId="587" priority="692" operator="equal">
      <formula>"INVALID"</formula>
    </cfRule>
  </conditionalFormatting>
  <conditionalFormatting sqref="AG226:AG232">
    <cfRule type="cellIs" dxfId="586" priority="691" operator="equal">
      <formula>"INVALID"</formula>
    </cfRule>
  </conditionalFormatting>
  <conditionalFormatting sqref="AG226:AG232">
    <cfRule type="cellIs" dxfId="585" priority="690" operator="equal">
      <formula>"INVALID"</formula>
    </cfRule>
  </conditionalFormatting>
  <conditionalFormatting sqref="AG226:AG232">
    <cfRule type="cellIs" dxfId="584" priority="689" operator="equal">
      <formula>"INVALID"</formula>
    </cfRule>
  </conditionalFormatting>
  <conditionalFormatting sqref="AG226:AG232">
    <cfRule type="cellIs" dxfId="583" priority="688" operator="equal">
      <formula>"INVALID"</formula>
    </cfRule>
  </conditionalFormatting>
  <conditionalFormatting sqref="AG234:AG244">
    <cfRule type="cellIs" dxfId="582" priority="687" operator="equal">
      <formula>"INVALID"</formula>
    </cfRule>
  </conditionalFormatting>
  <conditionalFormatting sqref="AG234:AG244">
    <cfRule type="cellIs" dxfId="581" priority="686" operator="equal">
      <formula>"INVALID"</formula>
    </cfRule>
  </conditionalFormatting>
  <conditionalFormatting sqref="AG234:AG244">
    <cfRule type="cellIs" dxfId="580" priority="685" operator="equal">
      <formula>"INVALID"</formula>
    </cfRule>
  </conditionalFormatting>
  <conditionalFormatting sqref="AG234:AG244">
    <cfRule type="cellIs" dxfId="579" priority="684" operator="equal">
      <formula>"INVALID"</formula>
    </cfRule>
  </conditionalFormatting>
  <conditionalFormatting sqref="AG234:AG244">
    <cfRule type="cellIs" dxfId="578" priority="683" operator="equal">
      <formula>"INVALID"</formula>
    </cfRule>
  </conditionalFormatting>
  <conditionalFormatting sqref="AG234:AG244">
    <cfRule type="cellIs" dxfId="577" priority="682" operator="equal">
      <formula>"INVALID"</formula>
    </cfRule>
  </conditionalFormatting>
  <conditionalFormatting sqref="AG234:AG244">
    <cfRule type="cellIs" dxfId="576" priority="681" operator="equal">
      <formula>"INVALID"</formula>
    </cfRule>
  </conditionalFormatting>
  <conditionalFormatting sqref="AG137:AG141">
    <cfRule type="cellIs" dxfId="575" priority="680" operator="equal">
      <formula>"INVALID"</formula>
    </cfRule>
  </conditionalFormatting>
  <conditionalFormatting sqref="AG23 AG19:AG21">
    <cfRule type="cellIs" dxfId="574" priority="678" operator="equal">
      <formula>"INVALID"</formula>
    </cfRule>
  </conditionalFormatting>
  <conditionalFormatting sqref="AG22">
    <cfRule type="cellIs" dxfId="573" priority="677" operator="equal">
      <formula>"INVALID"</formula>
    </cfRule>
  </conditionalFormatting>
  <conditionalFormatting sqref="AG30:AG33">
    <cfRule type="cellIs" dxfId="572" priority="676" operator="equal">
      <formula>"INVALID"</formula>
    </cfRule>
  </conditionalFormatting>
  <conditionalFormatting sqref="AG43">
    <cfRule type="cellIs" dxfId="571" priority="675" operator="equal">
      <formula>"INVALID"</formula>
    </cfRule>
  </conditionalFormatting>
  <conditionalFormatting sqref="AG64">
    <cfRule type="cellIs" dxfId="570" priority="674" operator="equal">
      <formula>"INVALID"</formula>
    </cfRule>
  </conditionalFormatting>
  <conditionalFormatting sqref="AG179 AG157:AG167">
    <cfRule type="cellIs" dxfId="569" priority="670" operator="equal">
      <formula>"INVALID"</formula>
    </cfRule>
  </conditionalFormatting>
  <conditionalFormatting sqref="AG149:AG180">
    <cfRule type="cellIs" dxfId="568" priority="669" operator="equal">
      <formula>"INVALID"</formula>
    </cfRule>
  </conditionalFormatting>
  <conditionalFormatting sqref="AG149:AG180">
    <cfRule type="cellIs" dxfId="567" priority="668" operator="equal">
      <formula>"INVALID"</formula>
    </cfRule>
  </conditionalFormatting>
  <conditionalFormatting sqref="AG149:AG180">
    <cfRule type="cellIs" dxfId="566" priority="667" operator="equal">
      <formula>"INVALID"</formula>
    </cfRule>
  </conditionalFormatting>
  <conditionalFormatting sqref="AG194:AG202">
    <cfRule type="cellIs" dxfId="565" priority="663" operator="equal">
      <formula>"INVALID"</formula>
    </cfRule>
  </conditionalFormatting>
  <conditionalFormatting sqref="AG194:AG202">
    <cfRule type="cellIs" dxfId="564" priority="662" operator="equal">
      <formula>"INVALID"</formula>
    </cfRule>
  </conditionalFormatting>
  <conditionalFormatting sqref="AG194:AG202">
    <cfRule type="cellIs" dxfId="563" priority="661" operator="equal">
      <formula>"INVALID"</formula>
    </cfRule>
  </conditionalFormatting>
  <conditionalFormatting sqref="AG194:AG202">
    <cfRule type="cellIs" dxfId="562" priority="660" operator="equal">
      <formula>"INVALID"</formula>
    </cfRule>
  </conditionalFormatting>
  <conditionalFormatting sqref="AG223:AG224 AG213">
    <cfRule type="cellIs" dxfId="561" priority="659" operator="equal">
      <formula>"INVALID"</formula>
    </cfRule>
  </conditionalFormatting>
  <conditionalFormatting sqref="AG212">
    <cfRule type="cellIs" dxfId="560" priority="658" operator="equal">
      <formula>"INVALID"</formula>
    </cfRule>
  </conditionalFormatting>
  <conditionalFormatting sqref="AG213 AG223:AG224">
    <cfRule type="cellIs" dxfId="559" priority="657" operator="equal">
      <formula>"INVALID"</formula>
    </cfRule>
  </conditionalFormatting>
  <conditionalFormatting sqref="AG213 AG223:AG224">
    <cfRule type="cellIs" dxfId="558" priority="656" operator="equal">
      <formula>"INVALID"</formula>
    </cfRule>
  </conditionalFormatting>
  <conditionalFormatting sqref="AG213 AG223:AG224">
    <cfRule type="cellIs" dxfId="557" priority="655" operator="equal">
      <formula>"INVALID"</formula>
    </cfRule>
  </conditionalFormatting>
  <conditionalFormatting sqref="AG214:AG222">
    <cfRule type="cellIs" dxfId="556" priority="654" operator="equal">
      <formula>"INVALID"</formula>
    </cfRule>
  </conditionalFormatting>
  <conditionalFormatting sqref="AG214:AG222">
    <cfRule type="cellIs" dxfId="555" priority="653" operator="equal">
      <formula>"INVALID"</formula>
    </cfRule>
  </conditionalFormatting>
  <conditionalFormatting sqref="AG214:AG222">
    <cfRule type="cellIs" dxfId="554" priority="652" operator="equal">
      <formula>"INVALID"</formula>
    </cfRule>
  </conditionalFormatting>
  <conditionalFormatting sqref="AG214:AG222">
    <cfRule type="cellIs" dxfId="553" priority="651" operator="equal">
      <formula>"INVALID"</formula>
    </cfRule>
  </conditionalFormatting>
  <conditionalFormatting sqref="AG79:AG80">
    <cfRule type="cellIs" dxfId="552" priority="649" operator="equal">
      <formula>"INVALID"</formula>
    </cfRule>
  </conditionalFormatting>
  <conditionalFormatting sqref="AG25:AG33">
    <cfRule type="cellIs" dxfId="551" priority="648" operator="equal">
      <formula>"INVALID"</formula>
    </cfRule>
  </conditionalFormatting>
  <conditionalFormatting sqref="AG25:AG33">
    <cfRule type="cellIs" dxfId="550" priority="647" operator="equal">
      <formula>"INVALID"</formula>
    </cfRule>
  </conditionalFormatting>
  <conditionalFormatting sqref="AG35:AG44">
    <cfRule type="cellIs" dxfId="549" priority="646" operator="equal">
      <formula>"INVALID"</formula>
    </cfRule>
  </conditionalFormatting>
  <conditionalFormatting sqref="AG35:AG44">
    <cfRule type="cellIs" dxfId="548" priority="645" operator="equal">
      <formula>"INVALID"</formula>
    </cfRule>
  </conditionalFormatting>
  <conditionalFormatting sqref="AG35:AG44">
    <cfRule type="cellIs" dxfId="547" priority="644" operator="equal">
      <formula>"INVALID"</formula>
    </cfRule>
  </conditionalFormatting>
  <conditionalFormatting sqref="AG46:AG53">
    <cfRule type="cellIs" dxfId="546" priority="643" operator="equal">
      <formula>"INVALID"</formula>
    </cfRule>
  </conditionalFormatting>
  <conditionalFormatting sqref="AG46:AG53">
    <cfRule type="cellIs" dxfId="545" priority="642" operator="equal">
      <formula>"INVALID"</formula>
    </cfRule>
  </conditionalFormatting>
  <conditionalFormatting sqref="AG46:AG53">
    <cfRule type="cellIs" dxfId="544" priority="641" operator="equal">
      <formula>"INVALID"</formula>
    </cfRule>
  </conditionalFormatting>
  <conditionalFormatting sqref="AG55:AG65">
    <cfRule type="cellIs" dxfId="543" priority="640" operator="equal">
      <formula>"INVALID"</formula>
    </cfRule>
  </conditionalFormatting>
  <conditionalFormatting sqref="AG55:AG65">
    <cfRule type="cellIs" dxfId="542" priority="639" operator="equal">
      <formula>"INVALID"</formula>
    </cfRule>
  </conditionalFormatting>
  <conditionalFormatting sqref="AG55:AG65">
    <cfRule type="cellIs" dxfId="541" priority="638" operator="equal">
      <formula>"INVALID"</formula>
    </cfRule>
  </conditionalFormatting>
  <conditionalFormatting sqref="AG67:AG73">
    <cfRule type="cellIs" dxfId="540" priority="637" operator="equal">
      <formula>"INVALID"</formula>
    </cfRule>
  </conditionalFormatting>
  <conditionalFormatting sqref="AG67:AG73">
    <cfRule type="cellIs" dxfId="539" priority="636" operator="equal">
      <formula>"INVALID"</formula>
    </cfRule>
  </conditionalFormatting>
  <conditionalFormatting sqref="AG67:AG73">
    <cfRule type="cellIs" dxfId="538" priority="635" operator="equal">
      <formula>"INVALID"</formula>
    </cfRule>
  </conditionalFormatting>
  <conditionalFormatting sqref="AG75:AG80">
    <cfRule type="cellIs" dxfId="537" priority="634" operator="equal">
      <formula>"INVALID"</formula>
    </cfRule>
  </conditionalFormatting>
  <conditionalFormatting sqref="AG75:AG80">
    <cfRule type="cellIs" dxfId="536" priority="633" operator="equal">
      <formula>"INVALID"</formula>
    </cfRule>
  </conditionalFormatting>
  <conditionalFormatting sqref="AG75:AG80">
    <cfRule type="cellIs" dxfId="535" priority="632" operator="equal">
      <formula>"INVALID"</formula>
    </cfRule>
  </conditionalFormatting>
  <conditionalFormatting sqref="AG82:AG87">
    <cfRule type="cellIs" dxfId="534" priority="631" operator="equal">
      <formula>"INVALID"</formula>
    </cfRule>
  </conditionalFormatting>
  <conditionalFormatting sqref="AG82:AG87">
    <cfRule type="cellIs" dxfId="533" priority="630" operator="equal">
      <formula>"INVALID"</formula>
    </cfRule>
  </conditionalFormatting>
  <conditionalFormatting sqref="AG82:AG87">
    <cfRule type="cellIs" dxfId="532" priority="629" operator="equal">
      <formula>"INVALID"</formula>
    </cfRule>
  </conditionalFormatting>
  <conditionalFormatting sqref="AG82:AG87">
    <cfRule type="cellIs" dxfId="531" priority="628" operator="equal">
      <formula>"INVALID"</formula>
    </cfRule>
  </conditionalFormatting>
  <conditionalFormatting sqref="AG106:AG111">
    <cfRule type="cellIs" dxfId="530" priority="622" operator="equal">
      <formula>"INVALID"</formula>
    </cfRule>
  </conditionalFormatting>
  <conditionalFormatting sqref="AG106:AG111">
    <cfRule type="cellIs" dxfId="529" priority="621" operator="equal">
      <formula>"INVALID"</formula>
    </cfRule>
  </conditionalFormatting>
  <conditionalFormatting sqref="AG106:AG111">
    <cfRule type="cellIs" dxfId="528" priority="618" operator="equal">
      <formula>"INVALID"</formula>
    </cfRule>
  </conditionalFormatting>
  <conditionalFormatting sqref="AG106:AG111">
    <cfRule type="cellIs" dxfId="527" priority="620" operator="equal">
      <formula>"INVALID"</formula>
    </cfRule>
  </conditionalFormatting>
  <conditionalFormatting sqref="AG106:AG111">
    <cfRule type="cellIs" dxfId="526" priority="619" operator="equal">
      <formula>"INVALID"</formula>
    </cfRule>
  </conditionalFormatting>
  <conditionalFormatting sqref="AG106:AG111">
    <cfRule type="cellIs" dxfId="525" priority="617" operator="equal">
      <formula>"INVALID"</formula>
    </cfRule>
  </conditionalFormatting>
  <conditionalFormatting sqref="AG106:AG111">
    <cfRule type="cellIs" dxfId="524" priority="616" operator="equal">
      <formula>"INVALID"</formula>
    </cfRule>
  </conditionalFormatting>
  <conditionalFormatting sqref="AG106:AG111">
    <cfRule type="cellIs" dxfId="523" priority="615" operator="equal">
      <formula>"INVALID"</formula>
    </cfRule>
  </conditionalFormatting>
  <conditionalFormatting sqref="AG106:AG111">
    <cfRule type="cellIs" dxfId="522" priority="614" operator="equal">
      <formula>"INVALID"</formula>
    </cfRule>
  </conditionalFormatting>
  <conditionalFormatting sqref="AG106:AG111">
    <cfRule type="cellIs" dxfId="521" priority="613" operator="equal">
      <formula>"INVALID"</formula>
    </cfRule>
  </conditionalFormatting>
  <conditionalFormatting sqref="AG127:AG147">
    <cfRule type="cellIs" dxfId="520" priority="600" operator="equal">
      <formula>"INVALID"</formula>
    </cfRule>
  </conditionalFormatting>
  <conditionalFormatting sqref="AG127:AG147">
    <cfRule type="cellIs" dxfId="519" priority="599" operator="equal">
      <formula>"INVALID"</formula>
    </cfRule>
  </conditionalFormatting>
  <conditionalFormatting sqref="AG127:AG147">
    <cfRule type="cellIs" dxfId="518" priority="597" operator="equal">
      <formula>"INVALID"</formula>
    </cfRule>
  </conditionalFormatting>
  <conditionalFormatting sqref="AG127:AG147">
    <cfRule type="cellIs" dxfId="517" priority="598" operator="equal">
      <formula>"INVALID"</formula>
    </cfRule>
  </conditionalFormatting>
  <conditionalFormatting sqref="AG127:AG147">
    <cfRule type="cellIs" dxfId="516" priority="596" operator="equal">
      <formula>"INVALID"</formula>
    </cfRule>
  </conditionalFormatting>
  <conditionalFormatting sqref="AG127:AG147">
    <cfRule type="cellIs" dxfId="515" priority="595" operator="equal">
      <formula>"INVALID"</formula>
    </cfRule>
  </conditionalFormatting>
  <conditionalFormatting sqref="AG127:AG147">
    <cfRule type="cellIs" dxfId="514" priority="592" operator="equal">
      <formula>"INVALID"</formula>
    </cfRule>
  </conditionalFormatting>
  <conditionalFormatting sqref="AG127:AG147">
    <cfRule type="cellIs" dxfId="513" priority="594" operator="equal">
      <formula>"INVALID"</formula>
    </cfRule>
  </conditionalFormatting>
  <conditionalFormatting sqref="AG127:AG147">
    <cfRule type="cellIs" dxfId="512" priority="593" operator="equal">
      <formula>"INVALID"</formula>
    </cfRule>
  </conditionalFormatting>
  <conditionalFormatting sqref="AG127:AG147">
    <cfRule type="cellIs" dxfId="511" priority="591" operator="equal">
      <formula>"INVALID"</formula>
    </cfRule>
  </conditionalFormatting>
  <conditionalFormatting sqref="AG127:AG147">
    <cfRule type="cellIs" dxfId="510" priority="590" operator="equal">
      <formula>"INVALID"</formula>
    </cfRule>
  </conditionalFormatting>
  <conditionalFormatting sqref="AG127:AG147">
    <cfRule type="cellIs" dxfId="509" priority="589" operator="equal">
      <formula>"INVALID"</formula>
    </cfRule>
  </conditionalFormatting>
  <conditionalFormatting sqref="AG127:AG147">
    <cfRule type="cellIs" dxfId="508" priority="588" operator="equal">
      <formula>"INVALID"</formula>
    </cfRule>
  </conditionalFormatting>
  <conditionalFormatting sqref="AG127:AG147">
    <cfRule type="cellIs" dxfId="507" priority="587" operator="equal">
      <formula>"INVALID"</formula>
    </cfRule>
  </conditionalFormatting>
  <conditionalFormatting sqref="AG149:AG180">
    <cfRule type="cellIs" dxfId="506" priority="586" operator="equal">
      <formula>"INVALID"</formula>
    </cfRule>
  </conditionalFormatting>
  <conditionalFormatting sqref="AG149:AG180">
    <cfRule type="cellIs" dxfId="505" priority="585" operator="equal">
      <formula>"INVALID"</formula>
    </cfRule>
  </conditionalFormatting>
  <conditionalFormatting sqref="AG149:AG180">
    <cfRule type="cellIs" dxfId="504" priority="584" operator="equal">
      <formula>"INVALID"</formula>
    </cfRule>
  </conditionalFormatting>
  <conditionalFormatting sqref="AG149:AG180">
    <cfRule type="cellIs" dxfId="503" priority="582" operator="equal">
      <formula>"INVALID"</formula>
    </cfRule>
  </conditionalFormatting>
  <conditionalFormatting sqref="AG149:AG180">
    <cfRule type="cellIs" dxfId="502" priority="583" operator="equal">
      <formula>"INVALID"</formula>
    </cfRule>
  </conditionalFormatting>
  <conditionalFormatting sqref="AG149:AG180">
    <cfRule type="cellIs" dxfId="501" priority="581" operator="equal">
      <formula>"INVALID"</formula>
    </cfRule>
  </conditionalFormatting>
  <conditionalFormatting sqref="AG149:AG180">
    <cfRule type="cellIs" dxfId="500" priority="580" operator="equal">
      <formula>"INVALID"</formula>
    </cfRule>
  </conditionalFormatting>
  <conditionalFormatting sqref="AG149:AG180">
    <cfRule type="cellIs" dxfId="499" priority="577" operator="equal">
      <formula>"INVALID"</formula>
    </cfRule>
  </conditionalFormatting>
  <conditionalFormatting sqref="AG149:AG180">
    <cfRule type="cellIs" dxfId="498" priority="579" operator="equal">
      <formula>"INVALID"</formula>
    </cfRule>
  </conditionalFormatting>
  <conditionalFormatting sqref="AG149:AG180">
    <cfRule type="cellIs" dxfId="497" priority="578" operator="equal">
      <formula>"INVALID"</formula>
    </cfRule>
  </conditionalFormatting>
  <conditionalFormatting sqref="AG149:AG180">
    <cfRule type="cellIs" dxfId="496" priority="576" operator="equal">
      <formula>"INVALID"</formula>
    </cfRule>
  </conditionalFormatting>
  <conditionalFormatting sqref="AG149:AG180">
    <cfRule type="cellIs" dxfId="495" priority="575" operator="equal">
      <formula>"INVALID"</formula>
    </cfRule>
  </conditionalFormatting>
  <conditionalFormatting sqref="AG149:AG180">
    <cfRule type="cellIs" dxfId="494" priority="574" operator="equal">
      <formula>"INVALID"</formula>
    </cfRule>
  </conditionalFormatting>
  <conditionalFormatting sqref="AG149:AG180">
    <cfRule type="cellIs" dxfId="493" priority="573" operator="equal">
      <formula>"INVALID"</formula>
    </cfRule>
  </conditionalFormatting>
  <conditionalFormatting sqref="AG149:AG180">
    <cfRule type="cellIs" dxfId="492" priority="572" operator="equal">
      <formula>"INVALID"</formula>
    </cfRule>
  </conditionalFormatting>
  <conditionalFormatting sqref="AG182:AG191">
    <cfRule type="cellIs" dxfId="491" priority="571" operator="equal">
      <formula>"INVALID"</formula>
    </cfRule>
  </conditionalFormatting>
  <conditionalFormatting sqref="AG182:AG191">
    <cfRule type="cellIs" dxfId="490" priority="570" operator="equal">
      <formula>"INVALID"</formula>
    </cfRule>
  </conditionalFormatting>
  <conditionalFormatting sqref="AG182:AG191">
    <cfRule type="cellIs" dxfId="489" priority="569" operator="equal">
      <formula>"INVALID"</formula>
    </cfRule>
  </conditionalFormatting>
  <conditionalFormatting sqref="AG182:AG191">
    <cfRule type="cellIs" dxfId="488" priority="568" operator="equal">
      <formula>"INVALID"</formula>
    </cfRule>
  </conditionalFormatting>
  <conditionalFormatting sqref="AG182:AG191">
    <cfRule type="cellIs" dxfId="487" priority="567" operator="equal">
      <formula>"INVALID"</formula>
    </cfRule>
  </conditionalFormatting>
  <conditionalFormatting sqref="AG182:AG191">
    <cfRule type="cellIs" dxfId="486" priority="566" operator="equal">
      <formula>"INVALID"</formula>
    </cfRule>
  </conditionalFormatting>
  <conditionalFormatting sqref="AG182:AG191">
    <cfRule type="cellIs" dxfId="485" priority="564" operator="equal">
      <formula>"INVALID"</formula>
    </cfRule>
  </conditionalFormatting>
  <conditionalFormatting sqref="AG182:AG191">
    <cfRule type="cellIs" dxfId="484" priority="565" operator="equal">
      <formula>"INVALID"</formula>
    </cfRule>
  </conditionalFormatting>
  <conditionalFormatting sqref="AG182:AG191">
    <cfRule type="cellIs" dxfId="483" priority="563" operator="equal">
      <formula>"INVALID"</formula>
    </cfRule>
  </conditionalFormatting>
  <conditionalFormatting sqref="AG182:AG191">
    <cfRule type="cellIs" dxfId="482" priority="562" operator="equal">
      <formula>"INVALID"</formula>
    </cfRule>
  </conditionalFormatting>
  <conditionalFormatting sqref="AG182:AG191">
    <cfRule type="cellIs" dxfId="481" priority="559" operator="equal">
      <formula>"INVALID"</formula>
    </cfRule>
  </conditionalFormatting>
  <conditionalFormatting sqref="AG182:AG191">
    <cfRule type="cellIs" dxfId="480" priority="561" operator="equal">
      <formula>"INVALID"</formula>
    </cfRule>
  </conditionalFormatting>
  <conditionalFormatting sqref="AG182:AG191">
    <cfRule type="cellIs" dxfId="479" priority="560" operator="equal">
      <formula>"INVALID"</formula>
    </cfRule>
  </conditionalFormatting>
  <conditionalFormatting sqref="AG182:AG191">
    <cfRule type="cellIs" dxfId="478" priority="558" operator="equal">
      <formula>"INVALID"</formula>
    </cfRule>
  </conditionalFormatting>
  <conditionalFormatting sqref="AG182:AG191">
    <cfRule type="cellIs" dxfId="477" priority="557" operator="equal">
      <formula>"INVALID"</formula>
    </cfRule>
  </conditionalFormatting>
  <conditionalFormatting sqref="AG182:AG191">
    <cfRule type="cellIs" dxfId="476" priority="556" operator="equal">
      <formula>"INVALID"</formula>
    </cfRule>
  </conditionalFormatting>
  <conditionalFormatting sqref="AG182:AG191">
    <cfRule type="cellIs" dxfId="475" priority="555" operator="equal">
      <formula>"INVALID"</formula>
    </cfRule>
  </conditionalFormatting>
  <conditionalFormatting sqref="AG182:AG191">
    <cfRule type="cellIs" dxfId="474" priority="554" operator="equal">
      <formula>"INVALID"</formula>
    </cfRule>
  </conditionalFormatting>
  <conditionalFormatting sqref="AG193:AG211">
    <cfRule type="cellIs" dxfId="473" priority="553" operator="equal">
      <formula>"INVALID"</formula>
    </cfRule>
  </conditionalFormatting>
  <conditionalFormatting sqref="AG193:AG211">
    <cfRule type="cellIs" dxfId="472" priority="552" operator="equal">
      <formula>"INVALID"</formula>
    </cfRule>
  </conditionalFormatting>
  <conditionalFormatting sqref="AG193:AG211">
    <cfRule type="cellIs" dxfId="471" priority="551" operator="equal">
      <formula>"INVALID"</formula>
    </cfRule>
  </conditionalFormatting>
  <conditionalFormatting sqref="AG193:AG211">
    <cfRule type="cellIs" dxfId="470" priority="550" operator="equal">
      <formula>"INVALID"</formula>
    </cfRule>
  </conditionalFormatting>
  <conditionalFormatting sqref="AG193:AG211">
    <cfRule type="cellIs" dxfId="469" priority="549" operator="equal">
      <formula>"INVALID"</formula>
    </cfRule>
  </conditionalFormatting>
  <conditionalFormatting sqref="AG193:AG211">
    <cfRule type="cellIs" dxfId="468" priority="548" operator="equal">
      <formula>"INVALID"</formula>
    </cfRule>
  </conditionalFormatting>
  <conditionalFormatting sqref="AG193:AG211">
    <cfRule type="cellIs" dxfId="467" priority="547" operator="equal">
      <formula>"INVALID"</formula>
    </cfRule>
  </conditionalFormatting>
  <conditionalFormatting sqref="AG193:AG211">
    <cfRule type="cellIs" dxfId="466" priority="546" operator="equal">
      <formula>"INVALID"</formula>
    </cfRule>
  </conditionalFormatting>
  <conditionalFormatting sqref="AG193:AG211">
    <cfRule type="cellIs" dxfId="465" priority="545" operator="equal">
      <formula>"INVALID"</formula>
    </cfRule>
  </conditionalFormatting>
  <conditionalFormatting sqref="AG193:AG211">
    <cfRule type="cellIs" dxfId="464" priority="544" operator="equal">
      <formula>"INVALID"</formula>
    </cfRule>
  </conditionalFormatting>
  <conditionalFormatting sqref="AG193:AG211">
    <cfRule type="cellIs" dxfId="463" priority="543" operator="equal">
      <formula>"INVALID"</formula>
    </cfRule>
  </conditionalFormatting>
  <conditionalFormatting sqref="AG193:AG211">
    <cfRule type="cellIs" dxfId="462" priority="542" operator="equal">
      <formula>"INVALID"</formula>
    </cfRule>
  </conditionalFormatting>
  <conditionalFormatting sqref="AG193:AG211">
    <cfRule type="cellIs" dxfId="461" priority="540" operator="equal">
      <formula>"INVALID"</formula>
    </cfRule>
  </conditionalFormatting>
  <conditionalFormatting sqref="AG193:AG211">
    <cfRule type="cellIs" dxfId="460" priority="541" operator="equal">
      <formula>"INVALID"</formula>
    </cfRule>
  </conditionalFormatting>
  <conditionalFormatting sqref="AG193:AG211">
    <cfRule type="cellIs" dxfId="459" priority="539" operator="equal">
      <formula>"INVALID"</formula>
    </cfRule>
  </conditionalFormatting>
  <conditionalFormatting sqref="AG193:AG211">
    <cfRule type="cellIs" dxfId="458" priority="538" operator="equal">
      <formula>"INVALID"</formula>
    </cfRule>
  </conditionalFormatting>
  <conditionalFormatting sqref="AG193:AG211">
    <cfRule type="cellIs" dxfId="457" priority="535" operator="equal">
      <formula>"INVALID"</formula>
    </cfRule>
  </conditionalFormatting>
  <conditionalFormatting sqref="AG193:AG211">
    <cfRule type="cellIs" dxfId="456" priority="537" operator="equal">
      <formula>"INVALID"</formula>
    </cfRule>
  </conditionalFormatting>
  <conditionalFormatting sqref="AG193:AG211">
    <cfRule type="cellIs" dxfId="455" priority="536" operator="equal">
      <formula>"INVALID"</formula>
    </cfRule>
  </conditionalFormatting>
  <conditionalFormatting sqref="AG193:AG211">
    <cfRule type="cellIs" dxfId="454" priority="534" operator="equal">
      <formula>"INVALID"</formula>
    </cfRule>
  </conditionalFormatting>
  <conditionalFormatting sqref="AG193:AG211">
    <cfRule type="cellIs" dxfId="453" priority="533" operator="equal">
      <formula>"INVALID"</formula>
    </cfRule>
  </conditionalFormatting>
  <conditionalFormatting sqref="AG193:AG211">
    <cfRule type="cellIs" dxfId="452" priority="532" operator="equal">
      <formula>"INVALID"</formula>
    </cfRule>
  </conditionalFormatting>
  <conditionalFormatting sqref="AG193:AG211">
    <cfRule type="cellIs" dxfId="451" priority="531" operator="equal">
      <formula>"INVALID"</formula>
    </cfRule>
  </conditionalFormatting>
  <conditionalFormatting sqref="AG193:AG211">
    <cfRule type="cellIs" dxfId="450" priority="530" operator="equal">
      <formula>"INVALID"</formula>
    </cfRule>
  </conditionalFormatting>
  <conditionalFormatting sqref="AG213:AG224">
    <cfRule type="cellIs" dxfId="449" priority="529" operator="equal">
      <formula>"INVALID"</formula>
    </cfRule>
  </conditionalFormatting>
  <conditionalFormatting sqref="AG213:AG224">
    <cfRule type="cellIs" dxfId="448" priority="528" operator="equal">
      <formula>"INVALID"</formula>
    </cfRule>
  </conditionalFormatting>
  <conditionalFormatting sqref="AG213:AG224">
    <cfRule type="cellIs" dxfId="447" priority="527" operator="equal">
      <formula>"INVALID"</formula>
    </cfRule>
  </conditionalFormatting>
  <conditionalFormatting sqref="AG213:AG224">
    <cfRule type="cellIs" dxfId="446" priority="526" operator="equal">
      <formula>"INVALID"</formula>
    </cfRule>
  </conditionalFormatting>
  <conditionalFormatting sqref="AG213:AG224">
    <cfRule type="cellIs" dxfId="445" priority="525" operator="equal">
      <formula>"INVALID"</formula>
    </cfRule>
  </conditionalFormatting>
  <conditionalFormatting sqref="AG213:AG224">
    <cfRule type="cellIs" dxfId="444" priority="524" operator="equal">
      <formula>"INVALID"</formula>
    </cfRule>
  </conditionalFormatting>
  <conditionalFormatting sqref="AG213:AG224">
    <cfRule type="cellIs" dxfId="443" priority="523" operator="equal">
      <formula>"INVALID"</formula>
    </cfRule>
  </conditionalFormatting>
  <conditionalFormatting sqref="AG213:AG224">
    <cfRule type="cellIs" dxfId="442" priority="522" operator="equal">
      <formula>"INVALID"</formula>
    </cfRule>
  </conditionalFormatting>
  <conditionalFormatting sqref="AG213:AG224">
    <cfRule type="cellIs" dxfId="441" priority="521" operator="equal">
      <formula>"INVALID"</formula>
    </cfRule>
  </conditionalFormatting>
  <conditionalFormatting sqref="AG213:AG224">
    <cfRule type="cellIs" dxfId="440" priority="520" operator="equal">
      <formula>"INVALID"</formula>
    </cfRule>
  </conditionalFormatting>
  <conditionalFormatting sqref="AG213:AG224">
    <cfRule type="cellIs" dxfId="439" priority="519" operator="equal">
      <formula>"INVALID"</formula>
    </cfRule>
  </conditionalFormatting>
  <conditionalFormatting sqref="AG213:AG224">
    <cfRule type="cellIs" dxfId="438" priority="518" operator="equal">
      <formula>"INVALID"</formula>
    </cfRule>
  </conditionalFormatting>
  <conditionalFormatting sqref="AG213:AG224">
    <cfRule type="cellIs" dxfId="437" priority="517" operator="equal">
      <formula>"INVALID"</formula>
    </cfRule>
  </conditionalFormatting>
  <conditionalFormatting sqref="AG213:AG224">
    <cfRule type="cellIs" dxfId="436" priority="516" operator="equal">
      <formula>"INVALID"</formula>
    </cfRule>
  </conditionalFormatting>
  <conditionalFormatting sqref="AG213:AG224">
    <cfRule type="cellIs" dxfId="435" priority="515" operator="equal">
      <formula>"INVALID"</formula>
    </cfRule>
  </conditionalFormatting>
  <conditionalFormatting sqref="AG213:AG224">
    <cfRule type="cellIs" dxfId="434" priority="514" operator="equal">
      <formula>"INVALID"</formula>
    </cfRule>
  </conditionalFormatting>
  <conditionalFormatting sqref="AG213:AG224">
    <cfRule type="cellIs" dxfId="433" priority="512" operator="equal">
      <formula>"INVALID"</formula>
    </cfRule>
  </conditionalFormatting>
  <conditionalFormatting sqref="AG213:AG224">
    <cfRule type="cellIs" dxfId="432" priority="513" operator="equal">
      <formula>"INVALID"</formula>
    </cfRule>
  </conditionalFormatting>
  <conditionalFormatting sqref="AG213:AG224">
    <cfRule type="cellIs" dxfId="431" priority="511" operator="equal">
      <formula>"INVALID"</formula>
    </cfRule>
  </conditionalFormatting>
  <conditionalFormatting sqref="AG213:AG224">
    <cfRule type="cellIs" dxfId="430" priority="510" operator="equal">
      <formula>"INVALID"</formula>
    </cfRule>
  </conditionalFormatting>
  <conditionalFormatting sqref="AG213:AG224">
    <cfRule type="cellIs" dxfId="429" priority="507" operator="equal">
      <formula>"INVALID"</formula>
    </cfRule>
  </conditionalFormatting>
  <conditionalFormatting sqref="AG213:AG224">
    <cfRule type="cellIs" dxfId="428" priority="509" operator="equal">
      <formula>"INVALID"</formula>
    </cfRule>
  </conditionalFormatting>
  <conditionalFormatting sqref="AG213:AG224">
    <cfRule type="cellIs" dxfId="427" priority="508" operator="equal">
      <formula>"INVALID"</formula>
    </cfRule>
  </conditionalFormatting>
  <conditionalFormatting sqref="AG213:AG224">
    <cfRule type="cellIs" dxfId="426" priority="506" operator="equal">
      <formula>"INVALID"</formula>
    </cfRule>
  </conditionalFormatting>
  <conditionalFormatting sqref="AG213:AG224">
    <cfRule type="cellIs" dxfId="425" priority="505" operator="equal">
      <formula>"INVALID"</formula>
    </cfRule>
  </conditionalFormatting>
  <conditionalFormatting sqref="AG213:AG224">
    <cfRule type="cellIs" dxfId="424" priority="504" operator="equal">
      <formula>"INVALID"</formula>
    </cfRule>
  </conditionalFormatting>
  <conditionalFormatting sqref="AG213:AG224">
    <cfRule type="cellIs" dxfId="423" priority="503" operator="equal">
      <formula>"INVALID"</formula>
    </cfRule>
  </conditionalFormatting>
  <conditionalFormatting sqref="AG213:AG224">
    <cfRule type="cellIs" dxfId="422" priority="502" operator="equal">
      <formula>"INVALID"</formula>
    </cfRule>
  </conditionalFormatting>
  <conditionalFormatting sqref="AG226:AG232">
    <cfRule type="cellIs" dxfId="421" priority="501" operator="equal">
      <formula>"INVALID"</formula>
    </cfRule>
  </conditionalFormatting>
  <conditionalFormatting sqref="AG226:AG232">
    <cfRule type="cellIs" dxfId="420" priority="500" operator="equal">
      <formula>"INVALID"</formula>
    </cfRule>
  </conditionalFormatting>
  <conditionalFormatting sqref="AG226:AG232">
    <cfRule type="cellIs" dxfId="419" priority="499" operator="equal">
      <formula>"INVALID"</formula>
    </cfRule>
  </conditionalFormatting>
  <conditionalFormatting sqref="AG226:AG232">
    <cfRule type="cellIs" dxfId="418" priority="498" operator="equal">
      <formula>"INVALID"</formula>
    </cfRule>
  </conditionalFormatting>
  <conditionalFormatting sqref="AG226:AG232">
    <cfRule type="cellIs" dxfId="417" priority="497" operator="equal">
      <formula>"INVALID"</formula>
    </cfRule>
  </conditionalFormatting>
  <conditionalFormatting sqref="AG226:AG232">
    <cfRule type="cellIs" dxfId="416" priority="496" operator="equal">
      <formula>"INVALID"</formula>
    </cfRule>
  </conditionalFormatting>
  <conditionalFormatting sqref="AG226:AG232">
    <cfRule type="cellIs" dxfId="415" priority="495" operator="equal">
      <formula>"INVALID"</formula>
    </cfRule>
  </conditionalFormatting>
  <conditionalFormatting sqref="AG226:AG232">
    <cfRule type="cellIs" dxfId="414" priority="494" operator="equal">
      <formula>"INVALID"</formula>
    </cfRule>
  </conditionalFormatting>
  <conditionalFormatting sqref="AG226:AG232">
    <cfRule type="cellIs" dxfId="413" priority="493" operator="equal">
      <formula>"INVALID"</formula>
    </cfRule>
  </conditionalFormatting>
  <conditionalFormatting sqref="AG226:AG232">
    <cfRule type="cellIs" dxfId="412" priority="492" operator="equal">
      <formula>"INVALID"</formula>
    </cfRule>
  </conditionalFormatting>
  <conditionalFormatting sqref="AG226:AG232">
    <cfRule type="cellIs" dxfId="411" priority="491" operator="equal">
      <formula>"INVALID"</formula>
    </cfRule>
  </conditionalFormatting>
  <conditionalFormatting sqref="AG226:AG232">
    <cfRule type="cellIs" dxfId="410" priority="490" operator="equal">
      <formula>"INVALID"</formula>
    </cfRule>
  </conditionalFormatting>
  <conditionalFormatting sqref="AG226:AG232">
    <cfRule type="cellIs" dxfId="409" priority="489" operator="equal">
      <formula>"INVALID"</formula>
    </cfRule>
  </conditionalFormatting>
  <conditionalFormatting sqref="AG226:AG232">
    <cfRule type="cellIs" dxfId="408" priority="488" operator="equal">
      <formula>"INVALID"</formula>
    </cfRule>
  </conditionalFormatting>
  <conditionalFormatting sqref="AG226:AG232">
    <cfRule type="cellIs" dxfId="407" priority="487" operator="equal">
      <formula>"INVALID"</formula>
    </cfRule>
  </conditionalFormatting>
  <conditionalFormatting sqref="AG226:AG232">
    <cfRule type="cellIs" dxfId="406" priority="486" operator="equal">
      <formula>"INVALID"</formula>
    </cfRule>
  </conditionalFormatting>
  <conditionalFormatting sqref="AG226:AG232">
    <cfRule type="cellIs" dxfId="405" priority="485" operator="equal">
      <formula>"INVALID"</formula>
    </cfRule>
  </conditionalFormatting>
  <conditionalFormatting sqref="AG226:AG232">
    <cfRule type="cellIs" dxfId="404" priority="484" operator="equal">
      <formula>"INVALID"</formula>
    </cfRule>
  </conditionalFormatting>
  <conditionalFormatting sqref="AG226:AG232">
    <cfRule type="cellIs" dxfId="403" priority="483" operator="equal">
      <formula>"INVALID"</formula>
    </cfRule>
  </conditionalFormatting>
  <conditionalFormatting sqref="AG226:AG232">
    <cfRule type="cellIs" dxfId="402" priority="482" operator="equal">
      <formula>"INVALID"</formula>
    </cfRule>
  </conditionalFormatting>
  <conditionalFormatting sqref="AG226:AG232">
    <cfRule type="cellIs" dxfId="401" priority="480" operator="equal">
      <formula>"INVALID"</formula>
    </cfRule>
  </conditionalFormatting>
  <conditionalFormatting sqref="AG226:AG232">
    <cfRule type="cellIs" dxfId="400" priority="481" operator="equal">
      <formula>"INVALID"</formula>
    </cfRule>
  </conditionalFormatting>
  <conditionalFormatting sqref="AG226:AG232">
    <cfRule type="cellIs" dxfId="399" priority="479" operator="equal">
      <formula>"INVALID"</formula>
    </cfRule>
  </conditionalFormatting>
  <conditionalFormatting sqref="AG226:AG232">
    <cfRule type="cellIs" dxfId="398" priority="478" operator="equal">
      <formula>"INVALID"</formula>
    </cfRule>
  </conditionalFormatting>
  <conditionalFormatting sqref="AG226:AG232">
    <cfRule type="cellIs" dxfId="397" priority="475" operator="equal">
      <formula>"INVALID"</formula>
    </cfRule>
  </conditionalFormatting>
  <conditionalFormatting sqref="AG226:AG232">
    <cfRule type="cellIs" dxfId="396" priority="477" operator="equal">
      <formula>"INVALID"</formula>
    </cfRule>
  </conditionalFormatting>
  <conditionalFormatting sqref="AG226:AG232">
    <cfRule type="cellIs" dxfId="395" priority="476" operator="equal">
      <formula>"INVALID"</formula>
    </cfRule>
  </conditionalFormatting>
  <conditionalFormatting sqref="AG226:AG232">
    <cfRule type="cellIs" dxfId="394" priority="474" operator="equal">
      <formula>"INVALID"</formula>
    </cfRule>
  </conditionalFormatting>
  <conditionalFormatting sqref="AG226:AG232">
    <cfRule type="cellIs" dxfId="393" priority="473" operator="equal">
      <formula>"INVALID"</formula>
    </cfRule>
  </conditionalFormatting>
  <conditionalFormatting sqref="AG226:AG232">
    <cfRule type="cellIs" dxfId="392" priority="472" operator="equal">
      <formula>"INVALID"</formula>
    </cfRule>
  </conditionalFormatting>
  <conditionalFormatting sqref="AG226:AG232">
    <cfRule type="cellIs" dxfId="391" priority="471" operator="equal">
      <formula>"INVALID"</formula>
    </cfRule>
  </conditionalFormatting>
  <conditionalFormatting sqref="AG226:AG232">
    <cfRule type="cellIs" dxfId="390" priority="470" operator="equal">
      <formula>"INVALID"</formula>
    </cfRule>
  </conditionalFormatting>
  <conditionalFormatting sqref="AG234:AG244">
    <cfRule type="cellIs" dxfId="389" priority="469" operator="equal">
      <formula>"INVALID"</formula>
    </cfRule>
  </conditionalFormatting>
  <conditionalFormatting sqref="AG234:AG244">
    <cfRule type="cellIs" dxfId="388" priority="468" operator="equal">
      <formula>"INVALID"</formula>
    </cfRule>
  </conditionalFormatting>
  <conditionalFormatting sqref="AG234:AG244">
    <cfRule type="cellIs" dxfId="387" priority="467" operator="equal">
      <formula>"INVALID"</formula>
    </cfRule>
  </conditionalFormatting>
  <conditionalFormatting sqref="AG234:AG244">
    <cfRule type="cellIs" dxfId="386" priority="466" operator="equal">
      <formula>"INVALID"</formula>
    </cfRule>
  </conditionalFormatting>
  <conditionalFormatting sqref="AG234:AG244">
    <cfRule type="cellIs" dxfId="385" priority="465" operator="equal">
      <formula>"INVALID"</formula>
    </cfRule>
  </conditionalFormatting>
  <conditionalFormatting sqref="AG234:AG244">
    <cfRule type="cellIs" dxfId="384" priority="464" operator="equal">
      <formula>"INVALID"</formula>
    </cfRule>
  </conditionalFormatting>
  <conditionalFormatting sqref="AG234:AG244">
    <cfRule type="cellIs" dxfId="383" priority="463" operator="equal">
      <formula>"INVALID"</formula>
    </cfRule>
  </conditionalFormatting>
  <conditionalFormatting sqref="AG234:AG244">
    <cfRule type="cellIs" dxfId="382" priority="462" operator="equal">
      <formula>"INVALID"</formula>
    </cfRule>
  </conditionalFormatting>
  <conditionalFormatting sqref="AG234:AG244">
    <cfRule type="cellIs" dxfId="381" priority="461" operator="equal">
      <formula>"INVALID"</formula>
    </cfRule>
  </conditionalFormatting>
  <conditionalFormatting sqref="AG234:AG244">
    <cfRule type="cellIs" dxfId="380" priority="460" operator="equal">
      <formula>"INVALID"</formula>
    </cfRule>
  </conditionalFormatting>
  <conditionalFormatting sqref="AG234:AG244">
    <cfRule type="cellIs" dxfId="379" priority="459" operator="equal">
      <formula>"INVALID"</formula>
    </cfRule>
  </conditionalFormatting>
  <conditionalFormatting sqref="AG234:AG244">
    <cfRule type="cellIs" dxfId="378" priority="458" operator="equal">
      <formula>"INVALID"</formula>
    </cfRule>
  </conditionalFormatting>
  <conditionalFormatting sqref="AG234:AG244">
    <cfRule type="cellIs" dxfId="377" priority="457" operator="equal">
      <formula>"INVALID"</formula>
    </cfRule>
  </conditionalFormatting>
  <conditionalFormatting sqref="AG234:AG244">
    <cfRule type="cellIs" dxfId="376" priority="456" operator="equal">
      <formula>"INVALID"</formula>
    </cfRule>
  </conditionalFormatting>
  <conditionalFormatting sqref="AG234:AG244">
    <cfRule type="cellIs" dxfId="375" priority="455" operator="equal">
      <formula>"INVALID"</formula>
    </cfRule>
  </conditionalFormatting>
  <conditionalFormatting sqref="AG234:AG244">
    <cfRule type="cellIs" dxfId="374" priority="454" operator="equal">
      <formula>"INVALID"</formula>
    </cfRule>
  </conditionalFormatting>
  <conditionalFormatting sqref="AG234:AG244">
    <cfRule type="cellIs" dxfId="373" priority="453" operator="equal">
      <formula>"INVALID"</formula>
    </cfRule>
  </conditionalFormatting>
  <conditionalFormatting sqref="AG234:AG244">
    <cfRule type="cellIs" dxfId="372" priority="452" operator="equal">
      <formula>"INVALID"</formula>
    </cfRule>
  </conditionalFormatting>
  <conditionalFormatting sqref="AG234:AG244">
    <cfRule type="cellIs" dxfId="371" priority="451" operator="equal">
      <formula>"INVALID"</formula>
    </cfRule>
  </conditionalFormatting>
  <conditionalFormatting sqref="AG234:AG244">
    <cfRule type="cellIs" dxfId="370" priority="450" operator="equal">
      <formula>"INVALID"</formula>
    </cfRule>
  </conditionalFormatting>
  <conditionalFormatting sqref="AG234:AG244">
    <cfRule type="cellIs" dxfId="369" priority="449" operator="equal">
      <formula>"INVALID"</formula>
    </cfRule>
  </conditionalFormatting>
  <conditionalFormatting sqref="AG234:AG244">
    <cfRule type="cellIs" dxfId="368" priority="448" operator="equal">
      <formula>"INVALID"</formula>
    </cfRule>
  </conditionalFormatting>
  <conditionalFormatting sqref="AG234:AG244">
    <cfRule type="cellIs" dxfId="367" priority="447" operator="equal">
      <formula>"INVALID"</formula>
    </cfRule>
  </conditionalFormatting>
  <conditionalFormatting sqref="AG234:AG244">
    <cfRule type="cellIs" dxfId="366" priority="446" operator="equal">
      <formula>"INVALID"</formula>
    </cfRule>
  </conditionalFormatting>
  <conditionalFormatting sqref="AG234:AG244">
    <cfRule type="cellIs" dxfId="365" priority="445" operator="equal">
      <formula>"INVALID"</formula>
    </cfRule>
  </conditionalFormatting>
  <conditionalFormatting sqref="AG234:AG244">
    <cfRule type="cellIs" dxfId="364" priority="444" operator="equal">
      <formula>"INVALID"</formula>
    </cfRule>
  </conditionalFormatting>
  <conditionalFormatting sqref="AG234:AG244">
    <cfRule type="cellIs" dxfId="363" priority="443" operator="equal">
      <formula>"INVALID"</formula>
    </cfRule>
  </conditionalFormatting>
  <conditionalFormatting sqref="AG234:AG244">
    <cfRule type="cellIs" dxfId="362" priority="442" operator="equal">
      <formula>"INVALID"</formula>
    </cfRule>
  </conditionalFormatting>
  <conditionalFormatting sqref="AG234:AG244">
    <cfRule type="cellIs" dxfId="361" priority="440" operator="equal">
      <formula>"INVALID"</formula>
    </cfRule>
  </conditionalFormatting>
  <conditionalFormatting sqref="AG234:AG244">
    <cfRule type="cellIs" dxfId="360" priority="441" operator="equal">
      <formula>"INVALID"</formula>
    </cfRule>
  </conditionalFormatting>
  <conditionalFormatting sqref="AG234:AG244">
    <cfRule type="cellIs" dxfId="359" priority="439" operator="equal">
      <formula>"INVALID"</formula>
    </cfRule>
  </conditionalFormatting>
  <conditionalFormatting sqref="AG234:AG244">
    <cfRule type="cellIs" dxfId="358" priority="438" operator="equal">
      <formula>"INVALID"</formula>
    </cfRule>
  </conditionalFormatting>
  <conditionalFormatting sqref="AG234:AG244">
    <cfRule type="cellIs" dxfId="357" priority="435" operator="equal">
      <formula>"INVALID"</formula>
    </cfRule>
  </conditionalFormatting>
  <conditionalFormatting sqref="AG234:AG244">
    <cfRule type="cellIs" dxfId="356" priority="437" operator="equal">
      <formula>"INVALID"</formula>
    </cfRule>
  </conditionalFormatting>
  <conditionalFormatting sqref="AG234:AG244">
    <cfRule type="cellIs" dxfId="355" priority="436" operator="equal">
      <formula>"INVALID"</formula>
    </cfRule>
  </conditionalFormatting>
  <conditionalFormatting sqref="AG234:AG244">
    <cfRule type="cellIs" dxfId="354" priority="434" operator="equal">
      <formula>"INVALID"</formula>
    </cfRule>
  </conditionalFormatting>
  <conditionalFormatting sqref="AG234:AG244">
    <cfRule type="cellIs" dxfId="353" priority="433" operator="equal">
      <formula>"INVALID"</formula>
    </cfRule>
  </conditionalFormatting>
  <conditionalFormatting sqref="AG234:AG244">
    <cfRule type="cellIs" dxfId="352" priority="432" operator="equal">
      <formula>"INVALID"</formula>
    </cfRule>
  </conditionalFormatting>
  <conditionalFormatting sqref="AG234:AG244">
    <cfRule type="cellIs" dxfId="351" priority="431" operator="equal">
      <formula>"INVALID"</formula>
    </cfRule>
  </conditionalFormatting>
  <conditionalFormatting sqref="AG234:AG244">
    <cfRule type="cellIs" dxfId="350" priority="430" operator="equal">
      <formula>"INVALID"</formula>
    </cfRule>
  </conditionalFormatting>
  <conditionalFormatting sqref="AG246:AG247">
    <cfRule type="cellIs" dxfId="349" priority="429" operator="equal">
      <formula>"INVALID"</formula>
    </cfRule>
  </conditionalFormatting>
  <conditionalFormatting sqref="AG246:AG247">
    <cfRule type="cellIs" dxfId="348" priority="428" operator="equal">
      <formula>"INVALID"</formula>
    </cfRule>
  </conditionalFormatting>
  <conditionalFormatting sqref="AG246:AG247">
    <cfRule type="cellIs" dxfId="347" priority="427" operator="equal">
      <formula>"INVALID"</formula>
    </cfRule>
  </conditionalFormatting>
  <conditionalFormatting sqref="AG246:AG247">
    <cfRule type="cellIs" dxfId="346" priority="426" operator="equal">
      <formula>"INVALID"</formula>
    </cfRule>
  </conditionalFormatting>
  <conditionalFormatting sqref="AG246:AG247">
    <cfRule type="cellIs" dxfId="345" priority="425" operator="equal">
      <formula>"INVALID"</formula>
    </cfRule>
  </conditionalFormatting>
  <conditionalFormatting sqref="AG246:AG247">
    <cfRule type="cellIs" dxfId="344" priority="424" operator="equal">
      <formula>"INVALID"</formula>
    </cfRule>
  </conditionalFormatting>
  <conditionalFormatting sqref="AG246:AG247">
    <cfRule type="cellIs" dxfId="343" priority="423" operator="equal">
      <formula>"INVALID"</formula>
    </cfRule>
  </conditionalFormatting>
  <conditionalFormatting sqref="AG246:AG247">
    <cfRule type="cellIs" dxfId="342" priority="422" operator="equal">
      <formula>"INVALID"</formula>
    </cfRule>
  </conditionalFormatting>
  <conditionalFormatting sqref="AG246:AG247">
    <cfRule type="cellIs" dxfId="341" priority="421" operator="equal">
      <formula>"INVALID"</formula>
    </cfRule>
  </conditionalFormatting>
  <conditionalFormatting sqref="AG246:AG247">
    <cfRule type="cellIs" dxfId="340" priority="420" operator="equal">
      <formula>"INVALID"</formula>
    </cfRule>
  </conditionalFormatting>
  <conditionalFormatting sqref="AG246:AG247">
    <cfRule type="cellIs" dxfId="339" priority="419" operator="equal">
      <formula>"INVALID"</formula>
    </cfRule>
  </conditionalFormatting>
  <conditionalFormatting sqref="AG246:AG247">
    <cfRule type="cellIs" dxfId="338" priority="418" operator="equal">
      <formula>"INVALID"</formula>
    </cfRule>
  </conditionalFormatting>
  <conditionalFormatting sqref="AG246:AG247">
    <cfRule type="cellIs" dxfId="337" priority="417" operator="equal">
      <formula>"INVALID"</formula>
    </cfRule>
  </conditionalFormatting>
  <conditionalFormatting sqref="AG246:AG247">
    <cfRule type="cellIs" dxfId="336" priority="416" operator="equal">
      <formula>"INVALID"</formula>
    </cfRule>
  </conditionalFormatting>
  <conditionalFormatting sqref="AG246:AG247">
    <cfRule type="cellIs" dxfId="335" priority="415" operator="equal">
      <formula>"INVALID"</formula>
    </cfRule>
  </conditionalFormatting>
  <conditionalFormatting sqref="AG246:AG247">
    <cfRule type="cellIs" dxfId="334" priority="414" operator="equal">
      <formula>"INVALID"</formula>
    </cfRule>
  </conditionalFormatting>
  <conditionalFormatting sqref="AG246:AG247">
    <cfRule type="cellIs" dxfId="333" priority="413" operator="equal">
      <formula>"INVALID"</formula>
    </cfRule>
  </conditionalFormatting>
  <conditionalFormatting sqref="AG246:AG247">
    <cfRule type="cellIs" dxfId="332" priority="412" operator="equal">
      <formula>"INVALID"</formula>
    </cfRule>
  </conditionalFormatting>
  <conditionalFormatting sqref="AG246:AG247">
    <cfRule type="cellIs" dxfId="331" priority="411" operator="equal">
      <formula>"INVALID"</formula>
    </cfRule>
  </conditionalFormatting>
  <conditionalFormatting sqref="AG246:AG247">
    <cfRule type="cellIs" dxfId="330" priority="410" operator="equal">
      <formula>"INVALID"</formula>
    </cfRule>
  </conditionalFormatting>
  <conditionalFormatting sqref="AG246:AG247">
    <cfRule type="cellIs" dxfId="329" priority="409" operator="equal">
      <formula>"INVALID"</formula>
    </cfRule>
  </conditionalFormatting>
  <conditionalFormatting sqref="AG246:AG247">
    <cfRule type="cellIs" dxfId="328" priority="408" operator="equal">
      <formula>"INVALID"</formula>
    </cfRule>
  </conditionalFormatting>
  <conditionalFormatting sqref="AG246:AG247">
    <cfRule type="cellIs" dxfId="327" priority="407" operator="equal">
      <formula>"INVALID"</formula>
    </cfRule>
  </conditionalFormatting>
  <conditionalFormatting sqref="AG246:AG247">
    <cfRule type="cellIs" dxfId="326" priority="406" operator="equal">
      <formula>"INVALID"</formula>
    </cfRule>
  </conditionalFormatting>
  <conditionalFormatting sqref="AG246:AG247">
    <cfRule type="cellIs" dxfId="325" priority="405" operator="equal">
      <formula>"INVALID"</formula>
    </cfRule>
  </conditionalFormatting>
  <conditionalFormatting sqref="AG246:AG247">
    <cfRule type="cellIs" dxfId="324" priority="404" operator="equal">
      <formula>"INVALID"</formula>
    </cfRule>
  </conditionalFormatting>
  <conditionalFormatting sqref="AG246:AG247">
    <cfRule type="cellIs" dxfId="323" priority="403" operator="equal">
      <formula>"INVALID"</formula>
    </cfRule>
  </conditionalFormatting>
  <conditionalFormatting sqref="AG246:AG247">
    <cfRule type="cellIs" dxfId="322" priority="402" operator="equal">
      <formula>"INVALID"</formula>
    </cfRule>
  </conditionalFormatting>
  <conditionalFormatting sqref="AG246:AG247">
    <cfRule type="cellIs" dxfId="321" priority="401" operator="equal">
      <formula>"INVALID"</formula>
    </cfRule>
  </conditionalFormatting>
  <conditionalFormatting sqref="AG246:AG247">
    <cfRule type="cellIs" dxfId="320" priority="400" operator="equal">
      <formula>"INVALID"</formula>
    </cfRule>
  </conditionalFormatting>
  <conditionalFormatting sqref="AG246:AG247">
    <cfRule type="cellIs" dxfId="319" priority="399" operator="equal">
      <formula>"INVALID"</formula>
    </cfRule>
  </conditionalFormatting>
  <conditionalFormatting sqref="AG246:AG247">
    <cfRule type="cellIs" dxfId="318" priority="398" operator="equal">
      <formula>"INVALID"</formula>
    </cfRule>
  </conditionalFormatting>
  <conditionalFormatting sqref="AG246:AG247">
    <cfRule type="cellIs" dxfId="317" priority="397" operator="equal">
      <formula>"INVALID"</formula>
    </cfRule>
  </conditionalFormatting>
  <conditionalFormatting sqref="AG246:AG247">
    <cfRule type="cellIs" dxfId="316" priority="396" operator="equal">
      <formula>"INVALID"</formula>
    </cfRule>
  </conditionalFormatting>
  <conditionalFormatting sqref="AG246:AG247">
    <cfRule type="cellIs" dxfId="315" priority="395" operator="equal">
      <formula>"INVALID"</formula>
    </cfRule>
  </conditionalFormatting>
  <conditionalFormatting sqref="AG246:AG247">
    <cfRule type="cellIs" dxfId="314" priority="394" operator="equal">
      <formula>"INVALID"</formula>
    </cfRule>
  </conditionalFormatting>
  <conditionalFormatting sqref="AG246:AG247">
    <cfRule type="cellIs" dxfId="313" priority="392" operator="equal">
      <formula>"INVALID"</formula>
    </cfRule>
  </conditionalFormatting>
  <conditionalFormatting sqref="AG246:AG247">
    <cfRule type="cellIs" dxfId="312" priority="393" operator="equal">
      <formula>"INVALID"</formula>
    </cfRule>
  </conditionalFormatting>
  <conditionalFormatting sqref="AG246:AG247">
    <cfRule type="cellIs" dxfId="311" priority="391" operator="equal">
      <formula>"INVALID"</formula>
    </cfRule>
  </conditionalFormatting>
  <conditionalFormatting sqref="AG246:AG247">
    <cfRule type="cellIs" dxfId="310" priority="390" operator="equal">
      <formula>"INVALID"</formula>
    </cfRule>
  </conditionalFormatting>
  <conditionalFormatting sqref="AG246:AG247">
    <cfRule type="cellIs" dxfId="309" priority="387" operator="equal">
      <formula>"INVALID"</formula>
    </cfRule>
  </conditionalFormatting>
  <conditionalFormatting sqref="AG246:AG247">
    <cfRule type="cellIs" dxfId="308" priority="389" operator="equal">
      <formula>"INVALID"</formula>
    </cfRule>
  </conditionalFormatting>
  <conditionalFormatting sqref="AG246:AG247">
    <cfRule type="cellIs" dxfId="307" priority="388" operator="equal">
      <formula>"INVALID"</formula>
    </cfRule>
  </conditionalFormatting>
  <conditionalFormatting sqref="AG246:AG247">
    <cfRule type="cellIs" dxfId="306" priority="386" operator="equal">
      <formula>"INVALID"</formula>
    </cfRule>
  </conditionalFormatting>
  <conditionalFormatting sqref="AG246:AG247">
    <cfRule type="cellIs" dxfId="305" priority="385" operator="equal">
      <formula>"INVALID"</formula>
    </cfRule>
  </conditionalFormatting>
  <conditionalFormatting sqref="AG246:AG247">
    <cfRule type="cellIs" dxfId="304" priority="384" operator="equal">
      <formula>"INVALID"</formula>
    </cfRule>
  </conditionalFormatting>
  <conditionalFormatting sqref="AG246:AG247">
    <cfRule type="cellIs" dxfId="303" priority="383" operator="equal">
      <formula>"INVALID"</formula>
    </cfRule>
  </conditionalFormatting>
  <conditionalFormatting sqref="AG246:AG247">
    <cfRule type="cellIs" dxfId="302" priority="382" operator="equal">
      <formula>"INVALID"</formula>
    </cfRule>
  </conditionalFormatting>
  <conditionalFormatting sqref="AV243">
    <cfRule type="expression" dxfId="301" priority="379">
      <formula>NOT($AO243)</formula>
    </cfRule>
  </conditionalFormatting>
  <conditionalFormatting sqref="AW10:AW23 AW25:AW33 AW55:AW65 AW67:AW73 AW127:AW137 AW139:AW147 AW149:AW178 AW182:AW185 AW193:AW211 AW236 AW239:AW244">
    <cfRule type="expression" dxfId="300" priority="380">
      <formula>NOT(#REF!)</formula>
    </cfRule>
  </conditionalFormatting>
  <conditionalFormatting sqref="AX82">
    <cfRule type="expression" dxfId="299" priority="367">
      <formula>NOT($AO82)</formula>
    </cfRule>
  </conditionalFormatting>
  <conditionalFormatting sqref="AX106">
    <cfRule type="expression" dxfId="298" priority="366">
      <formula>NOT($AO106)</formula>
    </cfRule>
  </conditionalFormatting>
  <conditionalFormatting sqref="AX228">
    <cfRule type="expression" dxfId="297" priority="365">
      <formula>NOT(#REF!)</formula>
    </cfRule>
  </conditionalFormatting>
  <conditionalFormatting sqref="AD92:AF93 AH92:AI93">
    <cfRule type="cellIs" dxfId="296" priority="364" operator="equal">
      <formula>"INVALID"</formula>
    </cfRule>
  </conditionalFormatting>
  <conditionalFormatting sqref="AQ92:AQ93">
    <cfRule type="expression" dxfId="295" priority="363" stopIfTrue="1">
      <formula>REPLACE($AQ92,8,LEN($AQ92),"")="unused_"</formula>
    </cfRule>
  </conditionalFormatting>
  <conditionalFormatting sqref="AJ92:AJ93">
    <cfRule type="cellIs" dxfId="294" priority="360" operator="equal">
      <formula>FALSE</formula>
    </cfRule>
  </conditionalFormatting>
  <conditionalFormatting sqref="AK92:AK93">
    <cfRule type="cellIs" dxfId="293" priority="359" operator="equal">
      <formula>FALSE</formula>
    </cfRule>
  </conditionalFormatting>
  <conditionalFormatting sqref="AL92:AL93">
    <cfRule type="cellIs" dxfId="292" priority="358" operator="equal">
      <formula>FALSE</formula>
    </cfRule>
  </conditionalFormatting>
  <conditionalFormatting sqref="AM92:AM93">
    <cfRule type="cellIs" dxfId="291" priority="357" operator="equal">
      <formula>FALSE</formula>
    </cfRule>
  </conditionalFormatting>
  <conditionalFormatting sqref="AN92:AN93">
    <cfRule type="cellIs" dxfId="290" priority="356" operator="equal">
      <formula>FALSE</formula>
    </cfRule>
  </conditionalFormatting>
  <conditionalFormatting sqref="AP92:AP93">
    <cfRule type="cellIs" dxfId="289" priority="355" operator="equal">
      <formula>"INVALID"</formula>
    </cfRule>
  </conditionalFormatting>
  <conditionalFormatting sqref="AJ92:AJ93">
    <cfRule type="cellIs" dxfId="288" priority="354" operator="equal">
      <formula>"INVALID"</formula>
    </cfRule>
  </conditionalFormatting>
  <conditionalFormatting sqref="AK92:AK93">
    <cfRule type="cellIs" dxfId="287" priority="353" operator="equal">
      <formula>"INVALID"</formula>
    </cfRule>
  </conditionalFormatting>
  <conditionalFormatting sqref="AL92:AM93">
    <cfRule type="cellIs" dxfId="286" priority="352" operator="equal">
      <formula>"INVALID"</formula>
    </cfRule>
  </conditionalFormatting>
  <conditionalFormatting sqref="AK92:AK93">
    <cfRule type="cellIs" dxfId="285" priority="351" operator="equal">
      <formula>"INVALID"</formula>
    </cfRule>
  </conditionalFormatting>
  <conditionalFormatting sqref="AL92:AL93">
    <cfRule type="cellIs" dxfId="284" priority="350" operator="equal">
      <formula>"INVALID"</formula>
    </cfRule>
  </conditionalFormatting>
  <conditionalFormatting sqref="AM92:AM93">
    <cfRule type="cellIs" dxfId="283" priority="349" operator="equal">
      <formula>"INVALID"</formula>
    </cfRule>
  </conditionalFormatting>
  <conditionalFormatting sqref="AN92:AN93">
    <cfRule type="cellIs" dxfId="282" priority="348" operator="equal">
      <formula>"INVALID"</formula>
    </cfRule>
  </conditionalFormatting>
  <conditionalFormatting sqref="AQ92:AQ93">
    <cfRule type="expression" dxfId="281" priority="347">
      <formula>NOT($AJ92)</formula>
    </cfRule>
    <cfRule type="expression" dxfId="280" priority="361">
      <formula>RIGHT($AQ92, 1)="*"</formula>
    </cfRule>
  </conditionalFormatting>
  <conditionalFormatting sqref="AY92:AZ93">
    <cfRule type="expression" dxfId="279" priority="346">
      <formula>NOT($AN92)</formula>
    </cfRule>
  </conditionalFormatting>
  <conditionalFormatting sqref="AO92:AO93">
    <cfRule type="cellIs" dxfId="278" priority="344" operator="equal">
      <formula>FALSE</formula>
    </cfRule>
  </conditionalFormatting>
  <conditionalFormatting sqref="AO92:AO93">
    <cfRule type="cellIs" dxfId="277" priority="343" operator="equal">
      <formula>"INVALID"</formula>
    </cfRule>
  </conditionalFormatting>
  <conditionalFormatting sqref="AO92:AO93">
    <cfRule type="cellIs" dxfId="276" priority="342" operator="equal">
      <formula>"INVALID"</formula>
    </cfRule>
  </conditionalFormatting>
  <conditionalFormatting sqref="AG92:AG93">
    <cfRule type="cellIs" dxfId="275" priority="341" operator="equal">
      <formula>"INVALID"</formula>
    </cfRule>
  </conditionalFormatting>
  <conditionalFormatting sqref="AD94:AF95 AH94:AI95">
    <cfRule type="cellIs" dxfId="274" priority="340" operator="equal">
      <formula>"INVALID"</formula>
    </cfRule>
  </conditionalFormatting>
  <conditionalFormatting sqref="AQ94:AQ95">
    <cfRule type="expression" dxfId="273" priority="339" stopIfTrue="1">
      <formula>REPLACE($AQ94,8,LEN($AQ94),"")="unused_"</formula>
    </cfRule>
  </conditionalFormatting>
  <conditionalFormatting sqref="AJ94:AJ95">
    <cfRule type="cellIs" dxfId="272" priority="336" operator="equal">
      <formula>FALSE</formula>
    </cfRule>
  </conditionalFormatting>
  <conditionalFormatting sqref="AK94:AK95">
    <cfRule type="cellIs" dxfId="271" priority="335" operator="equal">
      <formula>FALSE</formula>
    </cfRule>
  </conditionalFormatting>
  <conditionalFormatting sqref="AL94:AL95">
    <cfRule type="cellIs" dxfId="270" priority="334" operator="equal">
      <formula>FALSE</formula>
    </cfRule>
  </conditionalFormatting>
  <conditionalFormatting sqref="AM94:AM95">
    <cfRule type="cellIs" dxfId="269" priority="333" operator="equal">
      <formula>FALSE</formula>
    </cfRule>
  </conditionalFormatting>
  <conditionalFormatting sqref="AN94:AN95">
    <cfRule type="cellIs" dxfId="268" priority="332" operator="equal">
      <formula>FALSE</formula>
    </cfRule>
  </conditionalFormatting>
  <conditionalFormatting sqref="AP94:AP95">
    <cfRule type="cellIs" dxfId="267" priority="331" operator="equal">
      <formula>"INVALID"</formula>
    </cfRule>
  </conditionalFormatting>
  <conditionalFormatting sqref="AJ94:AJ95">
    <cfRule type="cellIs" dxfId="266" priority="330" operator="equal">
      <formula>"INVALID"</formula>
    </cfRule>
  </conditionalFormatting>
  <conditionalFormatting sqref="AK94:AK95">
    <cfRule type="cellIs" dxfId="265" priority="329" operator="equal">
      <formula>"INVALID"</formula>
    </cfRule>
  </conditionalFormatting>
  <conditionalFormatting sqref="AL94:AM95">
    <cfRule type="cellIs" dxfId="264" priority="328" operator="equal">
      <formula>"INVALID"</formula>
    </cfRule>
  </conditionalFormatting>
  <conditionalFormatting sqref="AK94:AK95">
    <cfRule type="cellIs" dxfId="263" priority="327" operator="equal">
      <formula>"INVALID"</formula>
    </cfRule>
  </conditionalFormatting>
  <conditionalFormatting sqref="AL94:AL95">
    <cfRule type="cellIs" dxfId="262" priority="326" operator="equal">
      <formula>"INVALID"</formula>
    </cfRule>
  </conditionalFormatting>
  <conditionalFormatting sqref="AM94:AM95">
    <cfRule type="cellIs" dxfId="261" priority="325" operator="equal">
      <formula>"INVALID"</formula>
    </cfRule>
  </conditionalFormatting>
  <conditionalFormatting sqref="AN94:AN95">
    <cfRule type="cellIs" dxfId="260" priority="324" operator="equal">
      <formula>"INVALID"</formula>
    </cfRule>
  </conditionalFormatting>
  <conditionalFormatting sqref="AQ94:AQ95">
    <cfRule type="expression" dxfId="259" priority="323">
      <formula>NOT($AJ94)</formula>
    </cfRule>
    <cfRule type="expression" dxfId="258" priority="337">
      <formula>RIGHT($AQ94, 1)="*"</formula>
    </cfRule>
  </conditionalFormatting>
  <conditionalFormatting sqref="AY94:AZ95">
    <cfRule type="expression" dxfId="257" priority="322">
      <formula>NOT($AN94)</formula>
    </cfRule>
  </conditionalFormatting>
  <conditionalFormatting sqref="AO94:AO95">
    <cfRule type="cellIs" dxfId="256" priority="320" operator="equal">
      <formula>FALSE</formula>
    </cfRule>
  </conditionalFormatting>
  <conditionalFormatting sqref="AO94:AO95">
    <cfRule type="cellIs" dxfId="255" priority="319" operator="equal">
      <formula>"INVALID"</formula>
    </cfRule>
  </conditionalFormatting>
  <conditionalFormatting sqref="AO94:AO95">
    <cfRule type="cellIs" dxfId="254" priority="318" operator="equal">
      <formula>"INVALID"</formula>
    </cfRule>
  </conditionalFormatting>
  <conditionalFormatting sqref="AG94:AG95">
    <cfRule type="cellIs" dxfId="253" priority="317" operator="equal">
      <formula>"INVALID"</formula>
    </cfRule>
  </conditionalFormatting>
  <conditionalFormatting sqref="AD96:AF97 AH96:AI97">
    <cfRule type="cellIs" dxfId="252" priority="316" operator="equal">
      <formula>"INVALID"</formula>
    </cfRule>
  </conditionalFormatting>
  <conditionalFormatting sqref="AQ96:AQ97">
    <cfRule type="expression" dxfId="251" priority="315" stopIfTrue="1">
      <formula>REPLACE($AQ96,8,LEN($AQ96),"")="unused_"</formula>
    </cfRule>
  </conditionalFormatting>
  <conditionalFormatting sqref="AJ96:AJ97">
    <cfRule type="cellIs" dxfId="250" priority="312" operator="equal">
      <formula>FALSE</formula>
    </cfRule>
  </conditionalFormatting>
  <conditionalFormatting sqref="AK96:AK97">
    <cfRule type="cellIs" dxfId="249" priority="311" operator="equal">
      <formula>FALSE</formula>
    </cfRule>
  </conditionalFormatting>
  <conditionalFormatting sqref="AL96:AL97">
    <cfRule type="cellIs" dxfId="248" priority="310" operator="equal">
      <formula>FALSE</formula>
    </cfRule>
  </conditionalFormatting>
  <conditionalFormatting sqref="AM96:AM97">
    <cfRule type="cellIs" dxfId="247" priority="309" operator="equal">
      <formula>FALSE</formula>
    </cfRule>
  </conditionalFormatting>
  <conditionalFormatting sqref="AN96:AN97">
    <cfRule type="cellIs" dxfId="246" priority="308" operator="equal">
      <formula>FALSE</formula>
    </cfRule>
  </conditionalFormatting>
  <conditionalFormatting sqref="AP96:AP97">
    <cfRule type="cellIs" dxfId="245" priority="307" operator="equal">
      <formula>"INVALID"</formula>
    </cfRule>
  </conditionalFormatting>
  <conditionalFormatting sqref="AJ96:AJ97">
    <cfRule type="cellIs" dxfId="244" priority="306" operator="equal">
      <formula>"INVALID"</formula>
    </cfRule>
  </conditionalFormatting>
  <conditionalFormatting sqref="AK96:AK97">
    <cfRule type="cellIs" dxfId="243" priority="305" operator="equal">
      <formula>"INVALID"</formula>
    </cfRule>
  </conditionalFormatting>
  <conditionalFormatting sqref="AL96:AM97">
    <cfRule type="cellIs" dxfId="242" priority="304" operator="equal">
      <formula>"INVALID"</formula>
    </cfRule>
  </conditionalFormatting>
  <conditionalFormatting sqref="AK96:AK97">
    <cfRule type="cellIs" dxfId="241" priority="303" operator="equal">
      <formula>"INVALID"</formula>
    </cfRule>
  </conditionalFormatting>
  <conditionalFormatting sqref="AL96:AL97">
    <cfRule type="cellIs" dxfId="240" priority="302" operator="equal">
      <formula>"INVALID"</formula>
    </cfRule>
  </conditionalFormatting>
  <conditionalFormatting sqref="AM96:AM97">
    <cfRule type="cellIs" dxfId="239" priority="301" operator="equal">
      <formula>"INVALID"</formula>
    </cfRule>
  </conditionalFormatting>
  <conditionalFormatting sqref="AN96:AN97">
    <cfRule type="cellIs" dxfId="238" priority="300" operator="equal">
      <formula>"INVALID"</formula>
    </cfRule>
  </conditionalFormatting>
  <conditionalFormatting sqref="AQ96:AQ97">
    <cfRule type="expression" dxfId="237" priority="299">
      <formula>NOT($AJ96)</formula>
    </cfRule>
    <cfRule type="expression" dxfId="236" priority="313">
      <formula>RIGHT($AQ96, 1)="*"</formula>
    </cfRule>
  </conditionalFormatting>
  <conditionalFormatting sqref="AY96:AZ97">
    <cfRule type="expression" dxfId="235" priority="298">
      <formula>NOT($AN96)</formula>
    </cfRule>
  </conditionalFormatting>
  <conditionalFormatting sqref="AO96:AO97">
    <cfRule type="cellIs" dxfId="234" priority="296" operator="equal">
      <formula>FALSE</formula>
    </cfRule>
  </conditionalFormatting>
  <conditionalFormatting sqref="AO96:AO97">
    <cfRule type="cellIs" dxfId="233" priority="295" operator="equal">
      <formula>"INVALID"</formula>
    </cfRule>
  </conditionalFormatting>
  <conditionalFormatting sqref="AO96:AO97">
    <cfRule type="cellIs" dxfId="232" priority="294" operator="equal">
      <formula>"INVALID"</formula>
    </cfRule>
  </conditionalFormatting>
  <conditionalFormatting sqref="AG96:AG97">
    <cfRule type="cellIs" dxfId="231" priority="293" operator="equal">
      <formula>"INVALID"</formula>
    </cfRule>
  </conditionalFormatting>
  <conditionalFormatting sqref="AH98:AI99 AD98:AF99">
    <cfRule type="cellIs" dxfId="230" priority="292" operator="equal">
      <formula>"INVALID"</formula>
    </cfRule>
  </conditionalFormatting>
  <conditionalFormatting sqref="AQ98:AQ99">
    <cfRule type="expression" dxfId="229" priority="291" stopIfTrue="1">
      <formula>REPLACE($AQ98,8,LEN($AQ98),"")="unused_"</formula>
    </cfRule>
  </conditionalFormatting>
  <conditionalFormatting sqref="AJ98:AJ99">
    <cfRule type="cellIs" dxfId="228" priority="288" operator="equal">
      <formula>FALSE</formula>
    </cfRule>
  </conditionalFormatting>
  <conditionalFormatting sqref="AK98:AK99">
    <cfRule type="cellIs" dxfId="227" priority="287" operator="equal">
      <formula>FALSE</formula>
    </cfRule>
  </conditionalFormatting>
  <conditionalFormatting sqref="AL98:AL99">
    <cfRule type="cellIs" dxfId="226" priority="286" operator="equal">
      <formula>FALSE</formula>
    </cfRule>
  </conditionalFormatting>
  <conditionalFormatting sqref="AM98:AM99">
    <cfRule type="cellIs" dxfId="225" priority="285" operator="equal">
      <formula>FALSE</formula>
    </cfRule>
  </conditionalFormatting>
  <conditionalFormatting sqref="AN98:AN99">
    <cfRule type="cellIs" dxfId="224" priority="284" operator="equal">
      <formula>FALSE</formula>
    </cfRule>
  </conditionalFormatting>
  <conditionalFormatting sqref="AP98:AP99">
    <cfRule type="cellIs" dxfId="223" priority="283" operator="equal">
      <formula>"INVALID"</formula>
    </cfRule>
  </conditionalFormatting>
  <conditionalFormatting sqref="AJ98:AJ99">
    <cfRule type="cellIs" dxfId="222" priority="282" operator="equal">
      <formula>"INVALID"</formula>
    </cfRule>
  </conditionalFormatting>
  <conditionalFormatting sqref="AK98:AK99">
    <cfRule type="cellIs" dxfId="221" priority="281" operator="equal">
      <formula>"INVALID"</formula>
    </cfRule>
  </conditionalFormatting>
  <conditionalFormatting sqref="AL98:AM99">
    <cfRule type="cellIs" dxfId="220" priority="280" operator="equal">
      <formula>"INVALID"</formula>
    </cfRule>
  </conditionalFormatting>
  <conditionalFormatting sqref="AK98:AK99">
    <cfRule type="cellIs" dxfId="219" priority="279" operator="equal">
      <formula>"INVALID"</formula>
    </cfRule>
  </conditionalFormatting>
  <conditionalFormatting sqref="AL98:AL99">
    <cfRule type="cellIs" dxfId="218" priority="278" operator="equal">
      <formula>"INVALID"</formula>
    </cfRule>
  </conditionalFormatting>
  <conditionalFormatting sqref="AM98:AM99">
    <cfRule type="cellIs" dxfId="217" priority="277" operator="equal">
      <formula>"INVALID"</formula>
    </cfRule>
  </conditionalFormatting>
  <conditionalFormatting sqref="AN98:AN99">
    <cfRule type="cellIs" dxfId="216" priority="276" operator="equal">
      <formula>"INVALID"</formula>
    </cfRule>
  </conditionalFormatting>
  <conditionalFormatting sqref="AQ98:AQ99">
    <cfRule type="expression" dxfId="215" priority="275">
      <formula>NOT($AJ98)</formula>
    </cfRule>
    <cfRule type="expression" dxfId="214" priority="289">
      <formula>RIGHT($AQ98, 1)="*"</formula>
    </cfRule>
  </conditionalFormatting>
  <conditionalFormatting sqref="AY98:AZ99">
    <cfRule type="expression" dxfId="213" priority="274">
      <formula>NOT($AN98)</formula>
    </cfRule>
  </conditionalFormatting>
  <conditionalFormatting sqref="AO98:AO99">
    <cfRule type="cellIs" dxfId="212" priority="272" operator="equal">
      <formula>FALSE</formula>
    </cfRule>
  </conditionalFormatting>
  <conditionalFormatting sqref="AO98:AO99">
    <cfRule type="cellIs" dxfId="211" priority="271" operator="equal">
      <formula>"INVALID"</formula>
    </cfRule>
  </conditionalFormatting>
  <conditionalFormatting sqref="AO98:AO99">
    <cfRule type="cellIs" dxfId="210" priority="270" operator="equal">
      <formula>"INVALID"</formula>
    </cfRule>
  </conditionalFormatting>
  <conditionalFormatting sqref="AG98:AG99">
    <cfRule type="cellIs" dxfId="209" priority="269" operator="equal">
      <formula>"INVALID"</formula>
    </cfRule>
  </conditionalFormatting>
  <conditionalFormatting sqref="AD100:AF101 AH100:AI101">
    <cfRule type="cellIs" dxfId="208" priority="268" operator="equal">
      <formula>"INVALID"</formula>
    </cfRule>
  </conditionalFormatting>
  <conditionalFormatting sqref="AQ100:AQ101">
    <cfRule type="expression" dxfId="207" priority="267" stopIfTrue="1">
      <formula>REPLACE($AQ100,8,LEN($AQ100),"")="unused_"</formula>
    </cfRule>
  </conditionalFormatting>
  <conditionalFormatting sqref="AJ100:AJ101">
    <cfRule type="cellIs" dxfId="206" priority="264" operator="equal">
      <formula>FALSE</formula>
    </cfRule>
  </conditionalFormatting>
  <conditionalFormatting sqref="AK100:AK101">
    <cfRule type="cellIs" dxfId="205" priority="263" operator="equal">
      <formula>FALSE</formula>
    </cfRule>
  </conditionalFormatting>
  <conditionalFormatting sqref="AL100:AL101">
    <cfRule type="cellIs" dxfId="204" priority="262" operator="equal">
      <formula>FALSE</formula>
    </cfRule>
  </conditionalFormatting>
  <conditionalFormatting sqref="AM100:AM101">
    <cfRule type="cellIs" dxfId="203" priority="261" operator="equal">
      <formula>FALSE</formula>
    </cfRule>
  </conditionalFormatting>
  <conditionalFormatting sqref="AN100:AN101">
    <cfRule type="cellIs" dxfId="202" priority="260" operator="equal">
      <formula>FALSE</formula>
    </cfRule>
  </conditionalFormatting>
  <conditionalFormatting sqref="AP100:AP101">
    <cfRule type="cellIs" dxfId="201" priority="259" operator="equal">
      <formula>"INVALID"</formula>
    </cfRule>
  </conditionalFormatting>
  <conditionalFormatting sqref="AJ100:AJ101">
    <cfRule type="cellIs" dxfId="200" priority="258" operator="equal">
      <formula>"INVALID"</formula>
    </cfRule>
  </conditionalFormatting>
  <conditionalFormatting sqref="AK100:AK101">
    <cfRule type="cellIs" dxfId="199" priority="257" operator="equal">
      <formula>"INVALID"</formula>
    </cfRule>
  </conditionalFormatting>
  <conditionalFormatting sqref="AL100:AM101">
    <cfRule type="cellIs" dxfId="198" priority="256" operator="equal">
      <formula>"INVALID"</formula>
    </cfRule>
  </conditionalFormatting>
  <conditionalFormatting sqref="AK100:AK101">
    <cfRule type="cellIs" dxfId="197" priority="255" operator="equal">
      <formula>"INVALID"</formula>
    </cfRule>
  </conditionalFormatting>
  <conditionalFormatting sqref="AL100:AL101">
    <cfRule type="cellIs" dxfId="196" priority="254" operator="equal">
      <formula>"INVALID"</formula>
    </cfRule>
  </conditionalFormatting>
  <conditionalFormatting sqref="AM100:AM101">
    <cfRule type="cellIs" dxfId="195" priority="253" operator="equal">
      <formula>"INVALID"</formula>
    </cfRule>
  </conditionalFormatting>
  <conditionalFormatting sqref="AN100:AN101">
    <cfRule type="cellIs" dxfId="194" priority="252" operator="equal">
      <formula>"INVALID"</formula>
    </cfRule>
  </conditionalFormatting>
  <conditionalFormatting sqref="AQ100:AQ101">
    <cfRule type="expression" dxfId="193" priority="251">
      <formula>NOT($AJ100)</formula>
    </cfRule>
    <cfRule type="expression" dxfId="192" priority="265">
      <formula>RIGHT($AQ100, 1)="*"</formula>
    </cfRule>
  </conditionalFormatting>
  <conditionalFormatting sqref="AY100:AZ101">
    <cfRule type="expression" dxfId="191" priority="250">
      <formula>NOT($AN100)</formula>
    </cfRule>
  </conditionalFormatting>
  <conditionalFormatting sqref="AO100:AO101">
    <cfRule type="cellIs" dxfId="190" priority="248" operator="equal">
      <formula>FALSE</formula>
    </cfRule>
  </conditionalFormatting>
  <conditionalFormatting sqref="AO100:AO101">
    <cfRule type="cellIs" dxfId="189" priority="247" operator="equal">
      <formula>"INVALID"</formula>
    </cfRule>
  </conditionalFormatting>
  <conditionalFormatting sqref="AO100:AO101">
    <cfRule type="cellIs" dxfId="188" priority="246" operator="equal">
      <formula>"INVALID"</formula>
    </cfRule>
  </conditionalFormatting>
  <conditionalFormatting sqref="AG100:AG101">
    <cfRule type="cellIs" dxfId="187" priority="245" operator="equal">
      <formula>"INVALID"</formula>
    </cfRule>
  </conditionalFormatting>
  <conditionalFormatting sqref="AD102:AF103 AH102:AI103">
    <cfRule type="cellIs" dxfId="186" priority="244" operator="equal">
      <formula>"INVALID"</formula>
    </cfRule>
  </conditionalFormatting>
  <conditionalFormatting sqref="AQ102:AQ103">
    <cfRule type="expression" dxfId="185" priority="243" stopIfTrue="1">
      <formula>REPLACE($AQ102,8,LEN($AQ102),"")="unused_"</formula>
    </cfRule>
  </conditionalFormatting>
  <conditionalFormatting sqref="AJ102:AJ103">
    <cfRule type="cellIs" dxfId="184" priority="240" operator="equal">
      <formula>FALSE</formula>
    </cfRule>
  </conditionalFormatting>
  <conditionalFormatting sqref="AK102:AK103">
    <cfRule type="cellIs" dxfId="183" priority="239" operator="equal">
      <formula>FALSE</formula>
    </cfRule>
  </conditionalFormatting>
  <conditionalFormatting sqref="AL102:AL103">
    <cfRule type="cellIs" dxfId="182" priority="238" operator="equal">
      <formula>FALSE</formula>
    </cfRule>
  </conditionalFormatting>
  <conditionalFormatting sqref="AM102:AM103">
    <cfRule type="cellIs" dxfId="181" priority="237" operator="equal">
      <formula>FALSE</formula>
    </cfRule>
  </conditionalFormatting>
  <conditionalFormatting sqref="AN102:AN103">
    <cfRule type="cellIs" dxfId="180" priority="236" operator="equal">
      <formula>FALSE</formula>
    </cfRule>
  </conditionalFormatting>
  <conditionalFormatting sqref="AP102:AP103">
    <cfRule type="cellIs" dxfId="179" priority="235" operator="equal">
      <formula>"INVALID"</formula>
    </cfRule>
  </conditionalFormatting>
  <conditionalFormatting sqref="AJ102:AJ103">
    <cfRule type="cellIs" dxfId="178" priority="234" operator="equal">
      <formula>"INVALID"</formula>
    </cfRule>
  </conditionalFormatting>
  <conditionalFormatting sqref="AK102:AK103">
    <cfRule type="cellIs" dxfId="177" priority="233" operator="equal">
      <formula>"INVALID"</formula>
    </cfRule>
  </conditionalFormatting>
  <conditionalFormatting sqref="AL102:AM103">
    <cfRule type="cellIs" dxfId="176" priority="232" operator="equal">
      <formula>"INVALID"</formula>
    </cfRule>
  </conditionalFormatting>
  <conditionalFormatting sqref="AK102:AK103">
    <cfRule type="cellIs" dxfId="175" priority="231" operator="equal">
      <formula>"INVALID"</formula>
    </cfRule>
  </conditionalFormatting>
  <conditionalFormatting sqref="AL102:AL103">
    <cfRule type="cellIs" dxfId="174" priority="230" operator="equal">
      <formula>"INVALID"</formula>
    </cfRule>
  </conditionalFormatting>
  <conditionalFormatting sqref="AM102:AM103">
    <cfRule type="cellIs" dxfId="173" priority="229" operator="equal">
      <formula>"INVALID"</formula>
    </cfRule>
  </conditionalFormatting>
  <conditionalFormatting sqref="AN102:AN103">
    <cfRule type="cellIs" dxfId="172" priority="228" operator="equal">
      <formula>"INVALID"</formula>
    </cfRule>
  </conditionalFormatting>
  <conditionalFormatting sqref="AQ102:AQ103">
    <cfRule type="expression" dxfId="171" priority="227">
      <formula>NOT($AJ102)</formula>
    </cfRule>
    <cfRule type="expression" dxfId="170" priority="241">
      <formula>RIGHT($AQ102, 1)="*"</formula>
    </cfRule>
  </conditionalFormatting>
  <conditionalFormatting sqref="AY102:AZ103">
    <cfRule type="expression" dxfId="169" priority="226">
      <formula>NOT($AN102)</formula>
    </cfRule>
  </conditionalFormatting>
  <conditionalFormatting sqref="AO102:AO103">
    <cfRule type="cellIs" dxfId="168" priority="224" operator="equal">
      <formula>FALSE</formula>
    </cfRule>
  </conditionalFormatting>
  <conditionalFormatting sqref="AO102:AO103">
    <cfRule type="cellIs" dxfId="167" priority="223" operator="equal">
      <formula>"INVALID"</formula>
    </cfRule>
  </conditionalFormatting>
  <conditionalFormatting sqref="AO102:AO103">
    <cfRule type="cellIs" dxfId="166" priority="222" operator="equal">
      <formula>"INVALID"</formula>
    </cfRule>
  </conditionalFormatting>
  <conditionalFormatting sqref="AG102:AG103">
    <cfRule type="cellIs" dxfId="165" priority="221" operator="equal">
      <formula>"INVALID"</formula>
    </cfRule>
  </conditionalFormatting>
  <conditionalFormatting sqref="AD104:AF104 AH104:AI104">
    <cfRule type="cellIs" dxfId="164" priority="220" operator="equal">
      <formula>"INVALID"</formula>
    </cfRule>
  </conditionalFormatting>
  <conditionalFormatting sqref="AJ104">
    <cfRule type="cellIs" dxfId="163" priority="216" operator="equal">
      <formula>FALSE</formula>
    </cfRule>
  </conditionalFormatting>
  <conditionalFormatting sqref="AK104">
    <cfRule type="cellIs" dxfId="162" priority="215" operator="equal">
      <formula>FALSE</formula>
    </cfRule>
  </conditionalFormatting>
  <conditionalFormatting sqref="AL104">
    <cfRule type="cellIs" dxfId="161" priority="214" operator="equal">
      <formula>FALSE</formula>
    </cfRule>
  </conditionalFormatting>
  <conditionalFormatting sqref="AM104">
    <cfRule type="cellIs" dxfId="160" priority="213" operator="equal">
      <formula>FALSE</formula>
    </cfRule>
  </conditionalFormatting>
  <conditionalFormatting sqref="AN104">
    <cfRule type="cellIs" dxfId="159" priority="212" operator="equal">
      <formula>FALSE</formula>
    </cfRule>
  </conditionalFormatting>
  <conditionalFormatting sqref="AP104">
    <cfRule type="cellIs" dxfId="158" priority="211" operator="equal">
      <formula>"INVALID"</formula>
    </cfRule>
  </conditionalFormatting>
  <conditionalFormatting sqref="AJ104">
    <cfRule type="cellIs" dxfId="157" priority="210" operator="equal">
      <formula>"INVALID"</formula>
    </cfRule>
  </conditionalFormatting>
  <conditionalFormatting sqref="AK104">
    <cfRule type="cellIs" dxfId="156" priority="209" operator="equal">
      <formula>"INVALID"</formula>
    </cfRule>
  </conditionalFormatting>
  <conditionalFormatting sqref="AL104:AM104">
    <cfRule type="cellIs" dxfId="155" priority="208" operator="equal">
      <formula>"INVALID"</formula>
    </cfRule>
  </conditionalFormatting>
  <conditionalFormatting sqref="AK104">
    <cfRule type="cellIs" dxfId="154" priority="207" operator="equal">
      <formula>"INVALID"</formula>
    </cfRule>
  </conditionalFormatting>
  <conditionalFormatting sqref="AL104">
    <cfRule type="cellIs" dxfId="153" priority="206" operator="equal">
      <formula>"INVALID"</formula>
    </cfRule>
  </conditionalFormatting>
  <conditionalFormatting sqref="AM104">
    <cfRule type="cellIs" dxfId="152" priority="205" operator="equal">
      <formula>"INVALID"</formula>
    </cfRule>
  </conditionalFormatting>
  <conditionalFormatting sqref="AN104">
    <cfRule type="cellIs" dxfId="151" priority="204" operator="equal">
      <formula>"INVALID"</formula>
    </cfRule>
  </conditionalFormatting>
  <conditionalFormatting sqref="AO104">
    <cfRule type="cellIs" dxfId="150" priority="200" operator="equal">
      <formula>FALSE</formula>
    </cfRule>
  </conditionalFormatting>
  <conditionalFormatting sqref="AO104">
    <cfRule type="cellIs" dxfId="149" priority="199" operator="equal">
      <formula>"INVALID"</formula>
    </cfRule>
  </conditionalFormatting>
  <conditionalFormatting sqref="AO104">
    <cfRule type="cellIs" dxfId="148" priority="198" operator="equal">
      <formula>"INVALID"</formula>
    </cfRule>
  </conditionalFormatting>
  <conditionalFormatting sqref="AG104">
    <cfRule type="cellIs" dxfId="147" priority="197" operator="equal">
      <formula>"INVALID"</formula>
    </cfRule>
  </conditionalFormatting>
  <conditionalFormatting sqref="AH89:AI89 AD89:AF89">
    <cfRule type="cellIs" dxfId="146" priority="196" operator="equal">
      <formula>"INVALID"</formula>
    </cfRule>
  </conditionalFormatting>
  <conditionalFormatting sqref="AG89">
    <cfRule type="cellIs" dxfId="145" priority="195" operator="equal">
      <formula>"INVALID"</formula>
    </cfRule>
  </conditionalFormatting>
  <conditionalFormatting sqref="AX99">
    <cfRule type="expression" dxfId="144" priority="194">
      <formula>NOT($AO99)</formula>
    </cfRule>
  </conditionalFormatting>
  <conditionalFormatting sqref="AT93">
    <cfRule type="expression" dxfId="143" priority="193">
      <formula>NOT($AM93)</formula>
    </cfRule>
  </conditionalFormatting>
  <conditionalFormatting sqref="AT100">
    <cfRule type="expression" dxfId="142" priority="192">
      <formula>NOT($AM100)</formula>
    </cfRule>
  </conditionalFormatting>
  <conditionalFormatting sqref="AT102">
    <cfRule type="expression" dxfId="141" priority="191">
      <formula>NOT($AM102)</formula>
    </cfRule>
  </conditionalFormatting>
  <conditionalFormatting sqref="AR90:AR103">
    <cfRule type="cellIs" dxfId="140" priority="190" operator="equal">
      <formula>"Not Assigned"</formula>
    </cfRule>
  </conditionalFormatting>
  <conditionalFormatting sqref="AR90:AR103">
    <cfRule type="expression" dxfId="139" priority="189">
      <formula>NOT($AL90)</formula>
    </cfRule>
  </conditionalFormatting>
  <conditionalFormatting sqref="AS90:AS103">
    <cfRule type="expression" dxfId="138" priority="186">
      <formula>NOT($AK90)</formula>
    </cfRule>
  </conditionalFormatting>
  <conditionalFormatting sqref="AS90:AS103">
    <cfRule type="expression" dxfId="137" priority="188">
      <formula>EXACT(AF90, "INVALID")</formula>
    </cfRule>
  </conditionalFormatting>
  <conditionalFormatting sqref="AS90:AS103">
    <cfRule type="expression" dxfId="136" priority="187">
      <formula>NOT($AN90)</formula>
    </cfRule>
  </conditionalFormatting>
  <conditionalFormatting sqref="AH114:AI115 AD114:AF115">
    <cfRule type="cellIs" dxfId="135" priority="185" operator="equal">
      <formula>"INVALID"</formula>
    </cfRule>
  </conditionalFormatting>
  <conditionalFormatting sqref="AQ114:AQ115">
    <cfRule type="expression" dxfId="134" priority="184" stopIfTrue="1">
      <formula>REPLACE($AQ114,8,LEN($AQ114),"")="unused_"</formula>
    </cfRule>
  </conditionalFormatting>
  <conditionalFormatting sqref="AJ114:AJ115">
    <cfRule type="cellIs" dxfId="133" priority="181" operator="equal">
      <formula>FALSE</formula>
    </cfRule>
  </conditionalFormatting>
  <conditionalFormatting sqref="AK114:AK115">
    <cfRule type="cellIs" dxfId="132" priority="180" operator="equal">
      <formula>FALSE</formula>
    </cfRule>
  </conditionalFormatting>
  <conditionalFormatting sqref="AL114:AL115">
    <cfRule type="cellIs" dxfId="131" priority="179" operator="equal">
      <formula>FALSE</formula>
    </cfRule>
  </conditionalFormatting>
  <conditionalFormatting sqref="AM114:AM115">
    <cfRule type="cellIs" dxfId="130" priority="178" operator="equal">
      <formula>FALSE</formula>
    </cfRule>
  </conditionalFormatting>
  <conditionalFormatting sqref="AN114:AN115">
    <cfRule type="cellIs" dxfId="129" priority="177" operator="equal">
      <formula>FALSE</formula>
    </cfRule>
  </conditionalFormatting>
  <conditionalFormatting sqref="AP114:AP115">
    <cfRule type="cellIs" dxfId="128" priority="176" operator="equal">
      <formula>"INVALID"</formula>
    </cfRule>
  </conditionalFormatting>
  <conditionalFormatting sqref="AJ114:AJ115">
    <cfRule type="cellIs" dxfId="127" priority="175" operator="equal">
      <formula>"INVALID"</formula>
    </cfRule>
  </conditionalFormatting>
  <conditionalFormatting sqref="AK114:AK115">
    <cfRule type="cellIs" dxfId="126" priority="174" operator="equal">
      <formula>"INVALID"</formula>
    </cfRule>
  </conditionalFormatting>
  <conditionalFormatting sqref="AL114:AM115">
    <cfRule type="cellIs" dxfId="125" priority="173" operator="equal">
      <formula>"INVALID"</formula>
    </cfRule>
  </conditionalFormatting>
  <conditionalFormatting sqref="AK114:AK115">
    <cfRule type="cellIs" dxfId="124" priority="172" operator="equal">
      <formula>"INVALID"</formula>
    </cfRule>
  </conditionalFormatting>
  <conditionalFormatting sqref="AL114:AL115">
    <cfRule type="cellIs" dxfId="123" priority="171" operator="equal">
      <formula>"INVALID"</formula>
    </cfRule>
  </conditionalFormatting>
  <conditionalFormatting sqref="AM114:AM115">
    <cfRule type="cellIs" dxfId="122" priority="170" operator="equal">
      <formula>"INVALID"</formula>
    </cfRule>
  </conditionalFormatting>
  <conditionalFormatting sqref="AN114:AN115">
    <cfRule type="cellIs" dxfId="121" priority="169" operator="equal">
      <formula>"INVALID"</formula>
    </cfRule>
  </conditionalFormatting>
  <conditionalFormatting sqref="AQ114:AQ115">
    <cfRule type="expression" dxfId="120" priority="168">
      <formula>NOT($AJ114)</formula>
    </cfRule>
    <cfRule type="expression" dxfId="119" priority="182">
      <formula>RIGHT($AQ114, 1)="*"</formula>
    </cfRule>
  </conditionalFormatting>
  <conditionalFormatting sqref="AY114:AZ115">
    <cfRule type="expression" dxfId="118" priority="167">
      <formula>NOT($AN114)</formula>
    </cfRule>
  </conditionalFormatting>
  <conditionalFormatting sqref="AO114:AO115">
    <cfRule type="cellIs" dxfId="117" priority="165" operator="equal">
      <formula>FALSE</formula>
    </cfRule>
  </conditionalFormatting>
  <conditionalFormatting sqref="AO114:AO115">
    <cfRule type="cellIs" dxfId="116" priority="164" operator="equal">
      <formula>"INVALID"</formula>
    </cfRule>
  </conditionalFormatting>
  <conditionalFormatting sqref="AO114:AO115">
    <cfRule type="cellIs" dxfId="115" priority="163" operator="equal">
      <formula>"INVALID"</formula>
    </cfRule>
  </conditionalFormatting>
  <conditionalFormatting sqref="AG114:AG115">
    <cfRule type="cellIs" dxfId="114" priority="162" operator="equal">
      <formula>"INVALID"</formula>
    </cfRule>
  </conditionalFormatting>
  <conditionalFormatting sqref="AD116:AF117 AH116:AI117">
    <cfRule type="cellIs" dxfId="113" priority="161" operator="equal">
      <formula>"INVALID"</formula>
    </cfRule>
  </conditionalFormatting>
  <conditionalFormatting sqref="AQ116:AQ117">
    <cfRule type="expression" dxfId="112" priority="160" stopIfTrue="1">
      <formula>REPLACE($AQ116,8,LEN($AQ116),"")="unused_"</formula>
    </cfRule>
  </conditionalFormatting>
  <conditionalFormatting sqref="AJ116:AJ117">
    <cfRule type="cellIs" dxfId="111" priority="158" operator="equal">
      <formula>FALSE</formula>
    </cfRule>
  </conditionalFormatting>
  <conditionalFormatting sqref="AK116:AK117">
    <cfRule type="cellIs" dxfId="110" priority="157" operator="equal">
      <formula>FALSE</formula>
    </cfRule>
  </conditionalFormatting>
  <conditionalFormatting sqref="AL116:AL117">
    <cfRule type="cellIs" dxfId="109" priority="156" operator="equal">
      <formula>FALSE</formula>
    </cfRule>
  </conditionalFormatting>
  <conditionalFormatting sqref="AM116:AM117">
    <cfRule type="cellIs" dxfId="108" priority="155" operator="equal">
      <formula>FALSE</formula>
    </cfRule>
  </conditionalFormatting>
  <conditionalFormatting sqref="AN116:AN117">
    <cfRule type="cellIs" dxfId="107" priority="154" operator="equal">
      <formula>FALSE</formula>
    </cfRule>
  </conditionalFormatting>
  <conditionalFormatting sqref="AP116:AP117">
    <cfRule type="cellIs" dxfId="106" priority="153" operator="equal">
      <formula>"INVALID"</formula>
    </cfRule>
  </conditionalFormatting>
  <conditionalFormatting sqref="AJ116:AJ117">
    <cfRule type="cellIs" dxfId="105" priority="152" operator="equal">
      <formula>"INVALID"</formula>
    </cfRule>
  </conditionalFormatting>
  <conditionalFormatting sqref="AK116:AK117">
    <cfRule type="cellIs" dxfId="104" priority="151" operator="equal">
      <formula>"INVALID"</formula>
    </cfRule>
  </conditionalFormatting>
  <conditionalFormatting sqref="AL116:AM117">
    <cfRule type="cellIs" dxfId="103" priority="150" operator="equal">
      <formula>"INVALID"</formula>
    </cfRule>
  </conditionalFormatting>
  <conditionalFormatting sqref="AK116:AK117">
    <cfRule type="cellIs" dxfId="102" priority="149" operator="equal">
      <formula>"INVALID"</formula>
    </cfRule>
  </conditionalFormatting>
  <conditionalFormatting sqref="AL116:AL117">
    <cfRule type="cellIs" dxfId="101" priority="148" operator="equal">
      <formula>"INVALID"</formula>
    </cfRule>
  </conditionalFormatting>
  <conditionalFormatting sqref="AM116:AM117">
    <cfRule type="cellIs" dxfId="100" priority="147" operator="equal">
      <formula>"INVALID"</formula>
    </cfRule>
  </conditionalFormatting>
  <conditionalFormatting sqref="AN116:AN117">
    <cfRule type="cellIs" dxfId="99" priority="146" operator="equal">
      <formula>"INVALID"</formula>
    </cfRule>
  </conditionalFormatting>
  <conditionalFormatting sqref="AQ116:AQ117">
    <cfRule type="expression" dxfId="98" priority="145">
      <formula>NOT($AJ116)</formula>
    </cfRule>
    <cfRule type="expression" dxfId="97" priority="159">
      <formula>RIGHT($AQ116, 1)="*"</formula>
    </cfRule>
  </conditionalFormatting>
  <conditionalFormatting sqref="AY116:AZ117">
    <cfRule type="expression" dxfId="96" priority="144">
      <formula>NOT($AN116)</formula>
    </cfRule>
  </conditionalFormatting>
  <conditionalFormatting sqref="AO116:AO117">
    <cfRule type="cellIs" dxfId="95" priority="143" operator="equal">
      <formula>FALSE</formula>
    </cfRule>
  </conditionalFormatting>
  <conditionalFormatting sqref="AO116:AO117">
    <cfRule type="cellIs" dxfId="94" priority="142" operator="equal">
      <formula>"INVALID"</formula>
    </cfRule>
  </conditionalFormatting>
  <conditionalFormatting sqref="AO116:AO117">
    <cfRule type="cellIs" dxfId="93" priority="141" operator="equal">
      <formula>"INVALID"</formula>
    </cfRule>
  </conditionalFormatting>
  <conditionalFormatting sqref="AG116:AG117">
    <cfRule type="cellIs" dxfId="92" priority="140" operator="equal">
      <formula>"INVALID"</formula>
    </cfRule>
  </conditionalFormatting>
  <conditionalFormatting sqref="AD118:AF119 AH118:AI119">
    <cfRule type="cellIs" dxfId="91" priority="139" operator="equal">
      <formula>"INVALID"</formula>
    </cfRule>
  </conditionalFormatting>
  <conditionalFormatting sqref="AQ118:AQ119">
    <cfRule type="expression" dxfId="90" priority="138" stopIfTrue="1">
      <formula>REPLACE($AQ118,8,LEN($AQ118),"")="unused_"</formula>
    </cfRule>
  </conditionalFormatting>
  <conditionalFormatting sqref="AJ118:AJ119">
    <cfRule type="cellIs" dxfId="89" priority="136" operator="equal">
      <formula>FALSE</formula>
    </cfRule>
  </conditionalFormatting>
  <conditionalFormatting sqref="AK118:AK119">
    <cfRule type="cellIs" dxfId="88" priority="135" operator="equal">
      <formula>FALSE</formula>
    </cfRule>
  </conditionalFormatting>
  <conditionalFormatting sqref="AL118:AL119">
    <cfRule type="cellIs" dxfId="87" priority="134" operator="equal">
      <formula>FALSE</formula>
    </cfRule>
  </conditionalFormatting>
  <conditionalFormatting sqref="AM118:AM119">
    <cfRule type="cellIs" dxfId="86" priority="133" operator="equal">
      <formula>FALSE</formula>
    </cfRule>
  </conditionalFormatting>
  <conditionalFormatting sqref="AN118:AN119">
    <cfRule type="cellIs" dxfId="85" priority="132" operator="equal">
      <formula>FALSE</formula>
    </cfRule>
  </conditionalFormatting>
  <conditionalFormatting sqref="AP118:AP119">
    <cfRule type="cellIs" dxfId="84" priority="131" operator="equal">
      <formula>"INVALID"</formula>
    </cfRule>
  </conditionalFormatting>
  <conditionalFormatting sqref="AJ118:AJ119">
    <cfRule type="cellIs" dxfId="83" priority="130" operator="equal">
      <formula>"INVALID"</formula>
    </cfRule>
  </conditionalFormatting>
  <conditionalFormatting sqref="AK118:AK119">
    <cfRule type="cellIs" dxfId="82" priority="129" operator="equal">
      <formula>"INVALID"</formula>
    </cfRule>
  </conditionalFormatting>
  <conditionalFormatting sqref="AL118:AM119">
    <cfRule type="cellIs" dxfId="81" priority="128" operator="equal">
      <formula>"INVALID"</formula>
    </cfRule>
  </conditionalFormatting>
  <conditionalFormatting sqref="AK118:AK119">
    <cfRule type="cellIs" dxfId="80" priority="127" operator="equal">
      <formula>"INVALID"</formula>
    </cfRule>
  </conditionalFormatting>
  <conditionalFormatting sqref="AL118:AL119">
    <cfRule type="cellIs" dxfId="79" priority="126" operator="equal">
      <formula>"INVALID"</formula>
    </cfRule>
  </conditionalFormatting>
  <conditionalFormatting sqref="AM118:AM119">
    <cfRule type="cellIs" dxfId="78" priority="125" operator="equal">
      <formula>"INVALID"</formula>
    </cfRule>
  </conditionalFormatting>
  <conditionalFormatting sqref="AN118:AN119">
    <cfRule type="cellIs" dxfId="77" priority="124" operator="equal">
      <formula>"INVALID"</formula>
    </cfRule>
  </conditionalFormatting>
  <conditionalFormatting sqref="AQ118:AQ119">
    <cfRule type="expression" dxfId="76" priority="123">
      <formula>NOT($AJ118)</formula>
    </cfRule>
    <cfRule type="expression" dxfId="75" priority="137">
      <formula>RIGHT($AQ118, 1)="*"</formula>
    </cfRule>
  </conditionalFormatting>
  <conditionalFormatting sqref="AY118:AZ119">
    <cfRule type="expression" dxfId="74" priority="122">
      <formula>NOT($AN118)</formula>
    </cfRule>
  </conditionalFormatting>
  <conditionalFormatting sqref="AO118:AO119">
    <cfRule type="cellIs" dxfId="73" priority="121" operator="equal">
      <formula>FALSE</formula>
    </cfRule>
  </conditionalFormatting>
  <conditionalFormatting sqref="AO118:AO119">
    <cfRule type="cellIs" dxfId="72" priority="120" operator="equal">
      <formula>"INVALID"</formula>
    </cfRule>
  </conditionalFormatting>
  <conditionalFormatting sqref="AO118:AO119">
    <cfRule type="cellIs" dxfId="71" priority="119" operator="equal">
      <formula>"INVALID"</formula>
    </cfRule>
  </conditionalFormatting>
  <conditionalFormatting sqref="AG118:AG119">
    <cfRule type="cellIs" dxfId="70" priority="118" operator="equal">
      <formula>"INVALID"</formula>
    </cfRule>
  </conditionalFormatting>
  <conditionalFormatting sqref="AD120:AF121 AH120:AI121">
    <cfRule type="cellIs" dxfId="69" priority="117" operator="equal">
      <formula>"INVALID"</formula>
    </cfRule>
  </conditionalFormatting>
  <conditionalFormatting sqref="AQ120:AQ121">
    <cfRule type="expression" dxfId="68" priority="116" stopIfTrue="1">
      <formula>REPLACE($AQ120,8,LEN($AQ120),"")="unused_"</formula>
    </cfRule>
  </conditionalFormatting>
  <conditionalFormatting sqref="AJ120:AJ121">
    <cfRule type="cellIs" dxfId="67" priority="114" operator="equal">
      <formula>FALSE</formula>
    </cfRule>
  </conditionalFormatting>
  <conditionalFormatting sqref="AK120:AK121">
    <cfRule type="cellIs" dxfId="66" priority="113" operator="equal">
      <formula>FALSE</formula>
    </cfRule>
  </conditionalFormatting>
  <conditionalFormatting sqref="AL120:AL121">
    <cfRule type="cellIs" dxfId="65" priority="112" operator="equal">
      <formula>FALSE</formula>
    </cfRule>
  </conditionalFormatting>
  <conditionalFormatting sqref="AM120:AM121">
    <cfRule type="cellIs" dxfId="64" priority="111" operator="equal">
      <formula>FALSE</formula>
    </cfRule>
  </conditionalFormatting>
  <conditionalFormatting sqref="AN120:AN121">
    <cfRule type="cellIs" dxfId="63" priority="110" operator="equal">
      <formula>FALSE</formula>
    </cfRule>
  </conditionalFormatting>
  <conditionalFormatting sqref="AP120:AP121">
    <cfRule type="cellIs" dxfId="62" priority="109" operator="equal">
      <formula>"INVALID"</formula>
    </cfRule>
  </conditionalFormatting>
  <conditionalFormatting sqref="AJ120:AJ121">
    <cfRule type="cellIs" dxfId="61" priority="108" operator="equal">
      <formula>"INVALID"</formula>
    </cfRule>
  </conditionalFormatting>
  <conditionalFormatting sqref="AK120:AK121">
    <cfRule type="cellIs" dxfId="60" priority="107" operator="equal">
      <formula>"INVALID"</formula>
    </cfRule>
  </conditionalFormatting>
  <conditionalFormatting sqref="AL120:AM121">
    <cfRule type="cellIs" dxfId="59" priority="106" operator="equal">
      <formula>"INVALID"</formula>
    </cfRule>
  </conditionalFormatting>
  <conditionalFormatting sqref="AK120:AK121">
    <cfRule type="cellIs" dxfId="58" priority="105" operator="equal">
      <formula>"INVALID"</formula>
    </cfRule>
  </conditionalFormatting>
  <conditionalFormatting sqref="AL120:AL121">
    <cfRule type="cellIs" dxfId="57" priority="104" operator="equal">
      <formula>"INVALID"</formula>
    </cfRule>
  </conditionalFormatting>
  <conditionalFormatting sqref="AM120:AM121">
    <cfRule type="cellIs" dxfId="56" priority="103" operator="equal">
      <formula>"INVALID"</formula>
    </cfRule>
  </conditionalFormatting>
  <conditionalFormatting sqref="AN120:AN121">
    <cfRule type="cellIs" dxfId="55" priority="102" operator="equal">
      <formula>"INVALID"</formula>
    </cfRule>
  </conditionalFormatting>
  <conditionalFormatting sqref="AQ120:AQ121">
    <cfRule type="expression" dxfId="54" priority="101">
      <formula>NOT($AJ120)</formula>
    </cfRule>
    <cfRule type="expression" dxfId="53" priority="115">
      <formula>RIGHT($AQ120, 1)="*"</formula>
    </cfRule>
  </conditionalFormatting>
  <conditionalFormatting sqref="AY120:AZ121">
    <cfRule type="expression" dxfId="52" priority="100">
      <formula>NOT($AN120)</formula>
    </cfRule>
  </conditionalFormatting>
  <conditionalFormatting sqref="AO120:AO121">
    <cfRule type="cellIs" dxfId="51" priority="99" operator="equal">
      <formula>FALSE</formula>
    </cfRule>
  </conditionalFormatting>
  <conditionalFormatting sqref="AO120:AO121">
    <cfRule type="cellIs" dxfId="50" priority="98" operator="equal">
      <formula>"INVALID"</formula>
    </cfRule>
  </conditionalFormatting>
  <conditionalFormatting sqref="AO120:AO121">
    <cfRule type="cellIs" dxfId="49" priority="97" operator="equal">
      <formula>"INVALID"</formula>
    </cfRule>
  </conditionalFormatting>
  <conditionalFormatting sqref="AG120:AG121">
    <cfRule type="cellIs" dxfId="48" priority="96" operator="equal">
      <formula>"INVALID"</formula>
    </cfRule>
  </conditionalFormatting>
  <conditionalFormatting sqref="AH122:AI123 AD122:AF123">
    <cfRule type="cellIs" dxfId="47" priority="95" operator="equal">
      <formula>"INVALID"</formula>
    </cfRule>
  </conditionalFormatting>
  <conditionalFormatting sqref="AQ122:AQ123">
    <cfRule type="expression" dxfId="46" priority="94" stopIfTrue="1">
      <formula>REPLACE($AQ122,8,LEN($AQ122),"")="unused_"</formula>
    </cfRule>
  </conditionalFormatting>
  <conditionalFormatting sqref="AJ122:AJ123">
    <cfRule type="cellIs" dxfId="45" priority="92" operator="equal">
      <formula>FALSE</formula>
    </cfRule>
  </conditionalFormatting>
  <conditionalFormatting sqref="AK122:AK123">
    <cfRule type="cellIs" dxfId="44" priority="91" operator="equal">
      <formula>FALSE</formula>
    </cfRule>
  </conditionalFormatting>
  <conditionalFormatting sqref="AL122:AL123">
    <cfRule type="cellIs" dxfId="43" priority="90" operator="equal">
      <formula>FALSE</formula>
    </cfRule>
  </conditionalFormatting>
  <conditionalFormatting sqref="AM122:AM123">
    <cfRule type="cellIs" dxfId="42" priority="89" operator="equal">
      <formula>FALSE</formula>
    </cfRule>
  </conditionalFormatting>
  <conditionalFormatting sqref="AN122:AN123">
    <cfRule type="cellIs" dxfId="41" priority="88" operator="equal">
      <formula>FALSE</formula>
    </cfRule>
  </conditionalFormatting>
  <conditionalFormatting sqref="AP122:AP123">
    <cfRule type="cellIs" dxfId="40" priority="87" operator="equal">
      <formula>"INVALID"</formula>
    </cfRule>
  </conditionalFormatting>
  <conditionalFormatting sqref="AJ122:AJ123">
    <cfRule type="cellIs" dxfId="39" priority="86" operator="equal">
      <formula>"INVALID"</formula>
    </cfRule>
  </conditionalFormatting>
  <conditionalFormatting sqref="AK122:AK123">
    <cfRule type="cellIs" dxfId="38" priority="85" operator="equal">
      <formula>"INVALID"</formula>
    </cfRule>
  </conditionalFormatting>
  <conditionalFormatting sqref="AL122:AM123">
    <cfRule type="cellIs" dxfId="37" priority="84" operator="equal">
      <formula>"INVALID"</formula>
    </cfRule>
  </conditionalFormatting>
  <conditionalFormatting sqref="AK122:AK123">
    <cfRule type="cellIs" dxfId="36" priority="83" operator="equal">
      <formula>"INVALID"</formula>
    </cfRule>
  </conditionalFormatting>
  <conditionalFormatting sqref="AL122:AL123">
    <cfRule type="cellIs" dxfId="35" priority="82" operator="equal">
      <formula>"INVALID"</formula>
    </cfRule>
  </conditionalFormatting>
  <conditionalFormatting sqref="AM122:AM123">
    <cfRule type="cellIs" dxfId="34" priority="81" operator="equal">
      <formula>"INVALID"</formula>
    </cfRule>
  </conditionalFormatting>
  <conditionalFormatting sqref="AN122:AN123">
    <cfRule type="cellIs" dxfId="33" priority="80" operator="equal">
      <formula>"INVALID"</formula>
    </cfRule>
  </conditionalFormatting>
  <conditionalFormatting sqref="AQ122:AQ123">
    <cfRule type="expression" dxfId="32" priority="79">
      <formula>NOT($AJ122)</formula>
    </cfRule>
    <cfRule type="expression" dxfId="31" priority="93">
      <formula>RIGHT($AQ122, 1)="*"</formula>
    </cfRule>
  </conditionalFormatting>
  <conditionalFormatting sqref="AY122:AZ123">
    <cfRule type="expression" dxfId="30" priority="78">
      <formula>NOT($AN122)</formula>
    </cfRule>
  </conditionalFormatting>
  <conditionalFormatting sqref="AO122:AO123">
    <cfRule type="cellIs" dxfId="29" priority="77" operator="equal">
      <formula>FALSE</formula>
    </cfRule>
  </conditionalFormatting>
  <conditionalFormatting sqref="AO122:AO123">
    <cfRule type="cellIs" dxfId="28" priority="76" operator="equal">
      <formula>"INVALID"</formula>
    </cfRule>
  </conditionalFormatting>
  <conditionalFormatting sqref="AO122:AO123">
    <cfRule type="cellIs" dxfId="27" priority="75" operator="equal">
      <formula>"INVALID"</formula>
    </cfRule>
  </conditionalFormatting>
  <conditionalFormatting sqref="AG122:AG123">
    <cfRule type="cellIs" dxfId="26" priority="74" operator="equal">
      <formula>"INVALID"</formula>
    </cfRule>
  </conditionalFormatting>
  <conditionalFormatting sqref="AD124:AF125 AH124:AI125">
    <cfRule type="cellIs" dxfId="25" priority="73" operator="equal">
      <formula>"INVALID"</formula>
    </cfRule>
  </conditionalFormatting>
  <conditionalFormatting sqref="AQ124:AQ125">
    <cfRule type="expression" dxfId="24" priority="72" stopIfTrue="1">
      <formula>REPLACE($AQ124,8,LEN($AQ124),"")="unused_"</formula>
    </cfRule>
  </conditionalFormatting>
  <conditionalFormatting sqref="AJ124:AJ125">
    <cfRule type="cellIs" dxfId="23" priority="70" operator="equal">
      <formula>FALSE</formula>
    </cfRule>
  </conditionalFormatting>
  <conditionalFormatting sqref="AK124:AK125">
    <cfRule type="cellIs" dxfId="22" priority="69" operator="equal">
      <formula>FALSE</formula>
    </cfRule>
  </conditionalFormatting>
  <conditionalFormatting sqref="AL124:AL125">
    <cfRule type="cellIs" dxfId="21" priority="68" operator="equal">
      <formula>FALSE</formula>
    </cfRule>
  </conditionalFormatting>
  <conditionalFormatting sqref="AM124:AM125">
    <cfRule type="cellIs" dxfId="20" priority="67" operator="equal">
      <formula>FALSE</formula>
    </cfRule>
  </conditionalFormatting>
  <conditionalFormatting sqref="AN124:AN125">
    <cfRule type="cellIs" dxfId="19" priority="66" operator="equal">
      <formula>FALSE</formula>
    </cfRule>
  </conditionalFormatting>
  <conditionalFormatting sqref="AP124:AP125">
    <cfRule type="cellIs" dxfId="18" priority="65" operator="equal">
      <formula>"INVALID"</formula>
    </cfRule>
  </conditionalFormatting>
  <conditionalFormatting sqref="AJ124:AJ125">
    <cfRule type="cellIs" dxfId="17" priority="64" operator="equal">
      <formula>"INVALID"</formula>
    </cfRule>
  </conditionalFormatting>
  <conditionalFormatting sqref="AK124:AK125">
    <cfRule type="cellIs" dxfId="16" priority="63" operator="equal">
      <formula>"INVALID"</formula>
    </cfRule>
  </conditionalFormatting>
  <conditionalFormatting sqref="AL124:AM125">
    <cfRule type="cellIs" dxfId="15" priority="62" operator="equal">
      <formula>"INVALID"</formula>
    </cfRule>
  </conditionalFormatting>
  <conditionalFormatting sqref="AK124:AK125">
    <cfRule type="cellIs" dxfId="14" priority="61" operator="equal">
      <formula>"INVALID"</formula>
    </cfRule>
  </conditionalFormatting>
  <conditionalFormatting sqref="AL124:AL125">
    <cfRule type="cellIs" dxfId="13" priority="60" operator="equal">
      <formula>"INVALID"</formula>
    </cfRule>
  </conditionalFormatting>
  <conditionalFormatting sqref="AM124:AM125">
    <cfRule type="cellIs" dxfId="12" priority="59" operator="equal">
      <formula>"INVALID"</formula>
    </cfRule>
  </conditionalFormatting>
  <conditionalFormatting sqref="AN124:AN125">
    <cfRule type="cellIs" dxfId="11" priority="58" operator="equal">
      <formula>"INVALID"</formula>
    </cfRule>
  </conditionalFormatting>
  <conditionalFormatting sqref="AQ124:AQ125">
    <cfRule type="expression" dxfId="10" priority="57">
      <formula>NOT($AJ124)</formula>
    </cfRule>
    <cfRule type="expression" dxfId="9" priority="71">
      <formula>RIGHT($AQ124, 1)="*"</formula>
    </cfRule>
  </conditionalFormatting>
  <conditionalFormatting sqref="AY124:AZ125">
    <cfRule type="expression" dxfId="8" priority="56">
      <formula>NOT($AN124)</formula>
    </cfRule>
  </conditionalFormatting>
  <conditionalFormatting sqref="AO124:AO125">
    <cfRule type="cellIs" dxfId="7" priority="55" operator="equal">
      <formula>FALSE</formula>
    </cfRule>
  </conditionalFormatting>
  <conditionalFormatting sqref="AO124:AO125">
    <cfRule type="cellIs" dxfId="6" priority="54" operator="equal">
      <formula>"INVALID"</formula>
    </cfRule>
  </conditionalFormatting>
  <conditionalFormatting sqref="AO124:AO125">
    <cfRule type="cellIs" dxfId="5" priority="53" operator="equal">
      <formula>"INVALID"</formula>
    </cfRule>
  </conditionalFormatting>
  <conditionalFormatting sqref="AG124:AG125">
    <cfRule type="cellIs" dxfId="4" priority="52" operator="equal">
      <formula>"INVALID"</formula>
    </cfRule>
  </conditionalFormatting>
  <conditionalFormatting sqref="AH113:AI113 AD113:AF113">
    <cfRule type="cellIs" dxfId="3" priority="11" operator="equal">
      <formula>"INVALID"</formula>
    </cfRule>
  </conditionalFormatting>
  <conditionalFormatting sqref="AG113">
    <cfRule type="cellIs" dxfId="2" priority="10" operator="equal">
      <formula>"INVALID"</formula>
    </cfRule>
  </conditionalFormatting>
  <conditionalFormatting sqref="AT117">
    <cfRule type="expression" dxfId="1" priority="8">
      <formula>NOT($AM117)</formula>
    </cfRule>
  </conditionalFormatting>
  <conditionalFormatting sqref="AR114:AR125">
    <cfRule type="cellIs" dxfId="0" priority="5" operator="equal">
      <formula>"Not Assigned"</formula>
    </cfRule>
  </conditionalFormatting>
  <dataValidations count="13">
    <dataValidation type="list" allowBlank="1" showInputMessage="1" showErrorMessage="1" sqref="BB245">
      <formula1>"OFF, 1.8V, 1.2V"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formula1>"No, Yes"</formula1>
    </dataValidation>
    <dataValidation type="list" allowBlank="1" showInputMessage="1" showErrorMessage="1" sqref="BB312 BB346 BB323">
      <formula1>"OFF, 1.05V"</formula1>
    </dataValidation>
    <dataValidation type="list" allowBlank="1" showInputMessage="1" showErrorMessage="1" sqref="BB81 BB105 BB89 BB113">
      <formula1>"OFF,1.8V, 3.3V, 1.8V/3.3V"</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formula1>"Disable, Enable"</formula1>
    </dataValidation>
    <dataValidation type="list" showInputMessage="1" showErrorMessage="1" sqref="AQ523:AQ666 AR670:BA675 BC671:BC675 AQ668:AQ675 AQ324:AQ333 AQ75:AQ80 AQ10:AQ23 AQ25:AQ33 AQ46:AQ53 AQ55:AQ65 AQ90:AQ104 AQ246:AQ247 AQ127:AQ147 AQ149:AQ180 AQ313:AQ322 AQ335:AQ337 AQ35:AQ44 AQ67:AQ73 AQ193:AQ211 AQ213:AQ224 AQ226:AQ232 AQ250:AQ311 AQ339:AQ345 AQ347:AQ376 AQ378:AQ521 AQ234:AQ244 AQ182:AQ191 AQ82:AQ88 AQ106:AQ112 AQ114:AQ125">
      <formula1>$F10:$K10</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formula1>"Not Assigned, Input, Output, Bidirectional, Open-Drain, N/A"</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formula1>"Z, Int PU, Int PD, Drive 0, Drive 1, N/A"</formula1>
    </dataValidation>
    <dataValidation type="list" allowBlank="1" showInputMessage="1" showErrorMessage="1" sqref="BB24 BB74 BB126 BB9 BB54 BB66 BB181 BB148 BB233 BB192 BB225 BB34">
      <formula1>"OFF, 1.8V"</formula1>
    </dataValidation>
    <dataValidation type="list" allowBlank="1" showInputMessage="1" showErrorMessage="1" sqref="BB377 BB522">
      <formula1>"OFF, 1.1V,  1.2V, 1.35V"</formula1>
    </dataValidation>
    <dataValidation type="list" allowBlank="1" showInputMessage="1" showErrorMessage="1" sqref="BB334 BB249">
      <formula1>"OFF, 1.2V"</formula1>
    </dataValidation>
    <dataValidation type="list" allowBlank="1" showInputMessage="1" showErrorMessage="1" sqref="BB338 BB212">
      <formula1>"OFF, 3.3V"</formula1>
    </dataValidation>
    <dataValidation type="list" allowBlank="1" showInputMessage="1" showErrorMessage="1" sqref="BB45">
      <formula1>"OFF, 1.8V, 3.3V"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Generate_Device_Tree.Generate_Device_Tree" altText="Generate C Code">
                <anchor moveWithCells="1" sizeWithCells="1">
                  <from>
                    <xdr:col>42</xdr:col>
                    <xdr:colOff>504825</xdr:colOff>
                    <xdr:row>0</xdr:row>
                    <xdr:rowOff>123825</xdr:rowOff>
                  </from>
                  <to>
                    <xdr:col>43</xdr:col>
                    <xdr:colOff>466725</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Customer-Readme</vt:lpstr>
      <vt:lpstr>Jetson-TX2-Config-Template</vt:lpstr>
      <vt:lpstr>'Jetson-TX2-Config-Template'!AllowedPinDirection_GPIO</vt:lpstr>
      <vt:lpstr>'Jetson-TX2-Config-Template'!AllowedPinDirection_SFIO0</vt:lpstr>
      <vt:lpstr>'Jetson-TX2-Config-Template'!AllowedPinDirection_SFIO1</vt:lpstr>
      <vt:lpstr>'Jetson-TX2-Config-Template'!AllowedPinDirection_SFIO2</vt:lpstr>
      <vt:lpstr>'Jetson-TX2-Config-Template'!AllowedPinDirection_SFIO3</vt:lpstr>
      <vt:lpstr>'Jetson-TX2-Config-Template'!ConfigFirstCell</vt:lpstr>
      <vt:lpstr>'Jetson-TX2-Config-Template'!ConfigLastCell</vt:lpstr>
      <vt:lpstr>'Jetson-TX2-Config-Template'!Customer_Usage</vt:lpstr>
      <vt:lpstr>'Jetson-TX2-Config-Template'!Customer_Usage_Checker</vt:lpstr>
      <vt:lpstr>'Jetson-TX2-Config-Template'!E_Input</vt:lpstr>
      <vt:lpstr>'Jetson-TX2-Config-Template'!EQOS_LPBK_Enable</vt:lpstr>
      <vt:lpstr>'Jetson-TX2-Config-Template'!Error_Check</vt:lpstr>
      <vt:lpstr>'Jetson-TX2-Config-Template'!Ext_Pull_Down</vt:lpstr>
      <vt:lpstr>'Jetson-TX2-Config-Template'!Ext_Pull_Up</vt:lpstr>
      <vt:lpstr>'Jetson-TX2-Config-Template'!FirstMPIO</vt:lpstr>
      <vt:lpstr>'Jetson-TX2-Config-Template'!FirstPadVoltageConfig</vt:lpstr>
      <vt:lpstr>'Jetson-TX2-Config-Template'!FirstPinMuxingOption</vt:lpstr>
      <vt:lpstr>'Jetson-TX2-Config-Template'!Function_0</vt:lpstr>
      <vt:lpstr>'Jetson-TX2-Config-Template'!Function_Safe</vt:lpstr>
      <vt:lpstr>'Jetson-TX2-Config-Template'!GPIO_Init_Value</vt:lpstr>
      <vt:lpstr>'Jetson-TX2-Config-Template'!Initial_State</vt:lpstr>
      <vt:lpstr>'Jetson-TX2-Config-Template'!Initial_State_Checker</vt:lpstr>
      <vt:lpstr>'Jetson-TX2-Config-Template'!LastMPIO</vt:lpstr>
      <vt:lpstr>'Jetson-TX2-Config-Template'!LastPadVoltageConfig</vt:lpstr>
      <vt:lpstr>'Jetson-TX2-Config-Template'!Lock</vt:lpstr>
      <vt:lpstr>'Jetson-TX2-Config-Template'!LPDR_Enable</vt:lpstr>
      <vt:lpstr>'Jetson-TX2-Config-Template'!MPIOName</vt:lpstr>
      <vt:lpstr>'Jetson-TX2-Config-Template'!PadVoltageConfig</vt:lpstr>
      <vt:lpstr>'Jetson-TX2-Config-Template'!Pin_Direction</vt:lpstr>
      <vt:lpstr>'Jetson-TX2-Config-Template'!Pin_Direction_Checker</vt:lpstr>
      <vt:lpstr>'Jetson-TX2-Config-Template'!Pin_Group</vt:lpstr>
      <vt:lpstr>'Jetson-TX2-Config-Template'!Pinmux_GPIO</vt:lpstr>
      <vt:lpstr>'Jetson-TX2-Config-Template'!Pinmux_SFIO0</vt:lpstr>
      <vt:lpstr>'Jetson-TX2-Config-Template'!Pinmux_SFIO1</vt:lpstr>
      <vt:lpstr>'Jetson-TX2-Config-Template'!Pinmux_SFIO2</vt:lpstr>
      <vt:lpstr>'Jetson-TX2-Config-Template'!Pinmux_SFIO3</vt:lpstr>
      <vt:lpstr>'Jetson-TX2-Config-Template'!Pinmux_Unused</vt:lpstr>
      <vt:lpstr>'Jetson-TX2-Config-Template'!PUPD</vt:lpstr>
      <vt:lpstr>'Jetson-TX2-Config-Template'!RCV_SEL</vt:lpstr>
      <vt:lpstr>'Jetson-TX2-Config-Template'!RCV_SEL_Checker</vt:lpstr>
      <vt:lpstr>'Jetson-TX2-Config-Template'!Resistor_Checker</vt:lpstr>
      <vt:lpstr>'Jetson-TX2-Config-Template'!Tristate</vt:lpstr>
      <vt:lpstr>'Jetson-TX2-Config-Template'!Wake_Checker</vt:lpstr>
      <vt:lpstr>'Jetson-TX2-Config-Template'!Wake_Pin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Richard Shen</cp:lastModifiedBy>
  <cp:lastPrinted>2012-04-03T22:50:50Z</cp:lastPrinted>
  <dcterms:created xsi:type="dcterms:W3CDTF">2011-01-18T21:59:40Z</dcterms:created>
  <dcterms:modified xsi:type="dcterms:W3CDTF">2018-01-31T02:21:12Z</dcterms:modified>
</cp:coreProperties>
</file>